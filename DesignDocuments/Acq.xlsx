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mocs_proto\DesignDocuments\"/>
    </mc:Choice>
  </mc:AlternateContent>
  <xr:revisionPtr revIDLastSave="0" documentId="8_{EA640A8E-CA00-4989-A7BB-1BD52238B985}" xr6:coauthVersionLast="47" xr6:coauthVersionMax="47" xr10:uidLastSave="{00000000-0000-0000-0000-000000000000}"/>
  <bookViews>
    <workbookView xWindow="-23148" yWindow="4332" windowWidth="23256" windowHeight="12576" xr2:uid="{802CD080-5359-420E-A5F2-C84AF40F48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1" l="1"/>
  <c r="L7" i="1"/>
  <c r="M7" i="1" s="1"/>
  <c r="K7" i="1"/>
  <c r="K4" i="1"/>
  <c r="K6" i="1" s="1"/>
  <c r="L6" i="1" s="1"/>
  <c r="M6" i="1" s="1"/>
  <c r="J4" i="1"/>
  <c r="J5" i="1"/>
  <c r="I5" i="1"/>
  <c r="I4" i="1"/>
  <c r="G13" i="1"/>
  <c r="F10" i="1"/>
  <c r="F8" i="1"/>
  <c r="F6" i="1"/>
  <c r="F4" i="1"/>
  <c r="F13" i="1" s="1"/>
  <c r="E13" i="1" l="1"/>
  <c r="C13" i="1" l="1"/>
</calcChain>
</file>

<file path=xl/sharedStrings.xml><?xml version="1.0" encoding="utf-8"?>
<sst xmlns="http://schemas.openxmlformats.org/spreadsheetml/2006/main" count="22" uniqueCount="16">
  <si>
    <t>Comm</t>
    <phoneticPr fontId="1" type="noConversion"/>
  </si>
  <si>
    <t>Indv</t>
    <phoneticPr fontId="1" type="noConversion"/>
  </si>
  <si>
    <t>Liftime</t>
    <phoneticPr fontId="1" type="noConversion"/>
  </si>
  <si>
    <t>Para</t>
    <phoneticPr fontId="1" type="noConversion"/>
  </si>
  <si>
    <t>IO</t>
    <phoneticPr fontId="1" type="noConversion"/>
  </si>
  <si>
    <t>DI</t>
    <phoneticPr fontId="1" type="noConversion"/>
  </si>
  <si>
    <t>DO</t>
    <phoneticPr fontId="1" type="noConversion"/>
  </si>
  <si>
    <t>AI</t>
    <phoneticPr fontId="1" type="noConversion"/>
  </si>
  <si>
    <t>AO</t>
    <phoneticPr fontId="1" type="noConversion"/>
  </si>
  <si>
    <t>Alarm</t>
    <phoneticPr fontId="1" type="noConversion"/>
  </si>
  <si>
    <t>Total</t>
    <phoneticPr fontId="1" type="noConversion"/>
  </si>
  <si>
    <t>-</t>
    <phoneticPr fontId="1" type="noConversion"/>
  </si>
  <si>
    <t>bool</t>
    <phoneticPr fontId="1" type="noConversion"/>
  </si>
  <si>
    <t>single</t>
    <phoneticPr fontId="1" type="noConversion"/>
  </si>
  <si>
    <t>bit</t>
    <phoneticPr fontId="1" type="noConversion"/>
  </si>
  <si>
    <t>byte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</si>
</sst>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33CC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78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52436-4CEC-4984-98BB-0B6DE40844E7}">
  <dimension ref="B2:M13"/>
  <sheetViews>
    <sheetView tabSelected="1" workbookViewId="0">
      <selection activeCell="I11" sqref="I11"/>
    </sheetView>
  </sheetViews>
  <sheetFormatPr defaultRowHeight="17.399999999999999" x14ac:dyDescent="0.4"/>
  <cols>
    <col min="12" max="12" width="14.19921875" bestFit="1" customWidth="1"/>
    <col min="13" max="13" width="12.796875" bestFit="1" customWidth="1"/>
  </cols>
  <sheetData>
    <row r="2" spans="2:13" ht="18" thickBot="1" x14ac:dyDescent="0.45"/>
    <row r="3" spans="2:13" ht="18" thickBot="1" x14ac:dyDescent="0.45">
      <c r="B3" s="10"/>
      <c r="C3" s="11" t="s">
        <v>3</v>
      </c>
      <c r="D3" s="12"/>
      <c r="E3" s="12" t="s">
        <v>4</v>
      </c>
      <c r="F3" s="13" t="s">
        <v>9</v>
      </c>
      <c r="J3" t="s">
        <v>14</v>
      </c>
      <c r="K3" t="s">
        <v>14</v>
      </c>
      <c r="L3" t="s">
        <v>14</v>
      </c>
      <c r="M3" t="s">
        <v>15</v>
      </c>
    </row>
    <row r="4" spans="2:13" x14ac:dyDescent="0.4">
      <c r="B4" s="15" t="s">
        <v>0</v>
      </c>
      <c r="C4" s="16">
        <v>54</v>
      </c>
      <c r="D4" s="21" t="s">
        <v>5</v>
      </c>
      <c r="E4" s="22">
        <v>15</v>
      </c>
      <c r="F4" s="23">
        <f>E4*1</f>
        <v>15</v>
      </c>
      <c r="H4" s="20" t="s">
        <v>12</v>
      </c>
      <c r="I4">
        <f>SUM(E4:F4,E5,E8:F8,E9)</f>
        <v>80</v>
      </c>
      <c r="J4">
        <f>I4*1</f>
        <v>80</v>
      </c>
      <c r="K4">
        <f>8*12</f>
        <v>96</v>
      </c>
    </row>
    <row r="5" spans="2:13" x14ac:dyDescent="0.4">
      <c r="B5" s="6"/>
      <c r="C5" s="8"/>
      <c r="D5" s="24" t="s">
        <v>6</v>
      </c>
      <c r="E5" s="25">
        <v>7</v>
      </c>
      <c r="F5" s="26"/>
      <c r="H5" s="20" t="s">
        <v>13</v>
      </c>
      <c r="I5">
        <f>SUM(C4,C8,C12,E6:F6,E7,E10:F10,E11)</f>
        <v>318</v>
      </c>
      <c r="J5">
        <f>I5*32</f>
        <v>10176</v>
      </c>
      <c r="K5">
        <f>400*16</f>
        <v>6400</v>
      </c>
    </row>
    <row r="6" spans="2:13" x14ac:dyDescent="0.4">
      <c r="B6" s="6"/>
      <c r="C6" s="8"/>
      <c r="D6" s="2" t="s">
        <v>7</v>
      </c>
      <c r="E6" s="1">
        <v>2</v>
      </c>
      <c r="F6" s="3">
        <f>E6*5</f>
        <v>10</v>
      </c>
      <c r="K6">
        <f>K5+K4</f>
        <v>6496</v>
      </c>
      <c r="L6" s="27">
        <f>K6*3600*24*365*2</f>
        <v>409715712000</v>
      </c>
      <c r="M6">
        <f>L6/8/10^9</f>
        <v>51.214464</v>
      </c>
    </row>
    <row r="7" spans="2:13" x14ac:dyDescent="0.4">
      <c r="B7" s="6"/>
      <c r="C7" s="8"/>
      <c r="D7" s="2" t="s">
        <v>8</v>
      </c>
      <c r="E7" s="1">
        <v>2</v>
      </c>
      <c r="F7" s="3"/>
      <c r="K7">
        <f>K4+150*16</f>
        <v>2496</v>
      </c>
      <c r="L7" s="27">
        <f>K7*3600*24*365*2</f>
        <v>157427712000</v>
      </c>
      <c r="M7">
        <f>L7/8/10^9</f>
        <v>19.678464000000002</v>
      </c>
    </row>
    <row r="8" spans="2:13" x14ac:dyDescent="0.4">
      <c r="B8" s="6" t="s">
        <v>1</v>
      </c>
      <c r="C8" s="8">
        <v>88</v>
      </c>
      <c r="D8" s="24" t="s">
        <v>5</v>
      </c>
      <c r="E8" s="25">
        <v>15</v>
      </c>
      <c r="F8" s="26">
        <f>E8*1</f>
        <v>15</v>
      </c>
    </row>
    <row r="9" spans="2:13" x14ac:dyDescent="0.4">
      <c r="B9" s="6"/>
      <c r="C9" s="8"/>
      <c r="D9" s="24" t="s">
        <v>6</v>
      </c>
      <c r="E9" s="25">
        <v>13</v>
      </c>
      <c r="F9" s="26"/>
    </row>
    <row r="10" spans="2:13" x14ac:dyDescent="0.4">
      <c r="B10" s="6"/>
      <c r="C10" s="8"/>
      <c r="D10" s="2" t="s">
        <v>7</v>
      </c>
      <c r="E10" s="1">
        <v>24</v>
      </c>
      <c r="F10" s="3">
        <f>E10*5</f>
        <v>120</v>
      </c>
    </row>
    <row r="11" spans="2:13" x14ac:dyDescent="0.4">
      <c r="B11" s="6"/>
      <c r="C11" s="8"/>
      <c r="D11" s="2" t="s">
        <v>8</v>
      </c>
      <c r="E11" s="1">
        <v>2</v>
      </c>
      <c r="F11" s="3"/>
    </row>
    <row r="12" spans="2:13" ht="18" thickBot="1" x14ac:dyDescent="0.45">
      <c r="B12" s="7" t="s">
        <v>2</v>
      </c>
      <c r="C12" s="9">
        <v>16</v>
      </c>
      <c r="D12" s="4" t="s">
        <v>11</v>
      </c>
      <c r="E12" s="4"/>
      <c r="F12" s="5"/>
    </row>
    <row r="13" spans="2:13" ht="18" thickBot="1" x14ac:dyDescent="0.45">
      <c r="B13" s="14" t="s">
        <v>10</v>
      </c>
      <c r="C13" s="17">
        <f>SUM(C4:C12)</f>
        <v>158</v>
      </c>
      <c r="D13" s="18"/>
      <c r="E13" s="18">
        <f>SUM(E4:E12)</f>
        <v>80</v>
      </c>
      <c r="F13" s="19">
        <f>SUM(F4:F12)</f>
        <v>160</v>
      </c>
      <c r="G13">
        <f>SUM(C13:F13)</f>
        <v>398</v>
      </c>
    </row>
  </sheetData>
  <mergeCells count="4">
    <mergeCell ref="B4:B7"/>
    <mergeCell ref="B8:B11"/>
    <mergeCell ref="C4:C7"/>
    <mergeCell ref="C8:C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HHI</dc:creator>
  <cp:lastModifiedBy>HHI</cp:lastModifiedBy>
  <dcterms:created xsi:type="dcterms:W3CDTF">2026-05-06T00:51:39Z</dcterms:created>
  <dcterms:modified xsi:type="dcterms:W3CDTF">2026-05-06T08:10:42Z</dcterms:modified>
</cp:coreProperties>
</file>