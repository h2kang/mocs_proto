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Y:\21. MOCS\LP_MOCS_양산\03_IO_List\"/>
    </mc:Choice>
  </mc:AlternateContent>
  <xr:revisionPtr revIDLastSave="0" documentId="13_ncr:1_{5852DEBB-65C0-417A-9156-BF3804C29D2E}" xr6:coauthVersionLast="47" xr6:coauthVersionMax="47" xr10:uidLastSave="{00000000-0000-0000-0000-000000000000}"/>
  <bookViews>
    <workbookView xWindow="32484" yWindow="4452" windowWidth="17280" windowHeight="11964" xr2:uid="{00000000-000D-0000-FFFF-FFFF00000000}"/>
  </bookViews>
  <sheets>
    <sheet name="History" sheetId="20" r:id="rId1"/>
    <sheet name="LP MOCS 구성" sheetId="19" r:id="rId2"/>
    <sheet name="Module_Arr" sheetId="17" r:id="rId3"/>
    <sheet name="Common module" sheetId="11" r:id="rId4"/>
    <sheet name="No.# Module" sheetId="12" r:id="rId5"/>
    <sheet name="Terminal_Arr" sheetId="14" r:id="rId6"/>
    <sheet name="Common TB" sheetId="15" r:id="rId7"/>
    <sheet name="No.# TB" sheetId="16" r:id="rId8"/>
    <sheet name="Tag numbering" sheetId="9" r:id="rId9"/>
    <sheet name="Reserved Tag" sheetId="10" r:id="rId10"/>
  </sheets>
  <externalReferences>
    <externalReference r:id="rId11"/>
    <externalReference r:id="rId12"/>
    <externalReference r:id="rId13"/>
    <externalReference r:id="rId14"/>
  </externalReferences>
  <definedNames>
    <definedName name="_xlnm._FilterDatabase" localSheetId="3" hidden="1">'Common module'!$A$4:$Y$4</definedName>
    <definedName name="_xlnm._FilterDatabase" localSheetId="6" hidden="1">'Common TB'!$A$2:$AL$41</definedName>
    <definedName name="_xlnm._FilterDatabase" localSheetId="4" hidden="1">'No.# Module'!$A$4:$X$90</definedName>
    <definedName name="_xlnm._FilterDatabase" localSheetId="7" hidden="1">'No.# TB'!$A$2:$AL$57</definedName>
    <definedName name="BR" localSheetId="6">[1]Module_Arr!$C$3:$C$17</definedName>
    <definedName name="BR" localSheetId="2">Module_Arr!$C$3:$C$18</definedName>
    <definedName name="BR" localSheetId="7">[1]Module_Arr!$C$3:$C$17</definedName>
    <definedName name="BR" localSheetId="5">[1]Module_Arr!$C$3:$C$17</definedName>
    <definedName name="BR">[2]Module_Arr!$C$3:$C$17</definedName>
    <definedName name="Cylinders" localSheetId="6">'[3]I_O functional list'!$B$2</definedName>
    <definedName name="Cylinders" localSheetId="2">'[3]I_O functional list'!$B$2</definedName>
    <definedName name="Cylinders" localSheetId="7">'[3]I_O functional list'!$B$2</definedName>
    <definedName name="Cylinders" localSheetId="5">'[3]I_O functional list'!$B$2</definedName>
    <definedName name="Cylinders">'[4]I_O functional list'!$B$2</definedName>
    <definedName name="_xlnm.Print_Area" localSheetId="3">'Common module'!$A$3:$X$48</definedName>
    <definedName name="_xlnm.Print_Area" localSheetId="4">'No.# Module'!$A$3:$X$64</definedName>
    <definedName name="_xlnm.Print_Titles" localSheetId="3">'Common module'!$3:$4</definedName>
    <definedName name="_xlnm.Print_Titles" localSheetId="4">'No.# Module'!$3:$4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19" l="1"/>
  <c r="D33" i="19"/>
  <c r="D32" i="19"/>
  <c r="D31" i="19"/>
  <c r="D28" i="19"/>
  <c r="D27" i="19"/>
  <c r="D26" i="19"/>
  <c r="D25" i="19"/>
  <c r="D15" i="19"/>
  <c r="D14" i="19"/>
  <c r="D13" i="19"/>
  <c r="D12" i="19"/>
  <c r="D9" i="19"/>
  <c r="D8" i="19"/>
  <c r="D7" i="19"/>
  <c r="D6" i="19"/>
  <c r="M9" i="19" l="1"/>
  <c r="N36" i="19" l="1"/>
  <c r="N35" i="19"/>
  <c r="M34" i="19"/>
  <c r="N34" i="19" s="1"/>
  <c r="L34" i="19"/>
  <c r="H34" i="19"/>
  <c r="M33" i="19" s="1"/>
  <c r="C34" i="19"/>
  <c r="H33" i="19"/>
  <c r="M32" i="19" s="1"/>
  <c r="C33" i="19"/>
  <c r="H32" i="19"/>
  <c r="M31" i="19" s="1"/>
  <c r="E32" i="19"/>
  <c r="C32" i="19"/>
  <c r="H31" i="19"/>
  <c r="C31" i="19"/>
  <c r="M30" i="19"/>
  <c r="N30" i="19" s="1"/>
  <c r="M29" i="19"/>
  <c r="N29" i="19" s="1"/>
  <c r="M28" i="19"/>
  <c r="N28" i="19" s="1"/>
  <c r="H28" i="19"/>
  <c r="L33" i="19" s="1"/>
  <c r="C28" i="19"/>
  <c r="M27" i="19"/>
  <c r="N27" i="19" s="1"/>
  <c r="H27" i="19"/>
  <c r="L32" i="19" s="1"/>
  <c r="C27" i="19"/>
  <c r="N26" i="19"/>
  <c r="H26" i="19"/>
  <c r="L31" i="19" s="1"/>
  <c r="C26" i="19"/>
  <c r="N25" i="19"/>
  <c r="H25" i="19"/>
  <c r="C25" i="19"/>
  <c r="N17" i="19"/>
  <c r="N16" i="19"/>
  <c r="H15" i="19"/>
  <c r="M15" i="19" s="1"/>
  <c r="C15" i="19"/>
  <c r="H14" i="19"/>
  <c r="M14" i="19" s="1"/>
  <c r="C14" i="19"/>
  <c r="H13" i="19"/>
  <c r="M13" i="19" s="1"/>
  <c r="C13" i="19"/>
  <c r="H12" i="19"/>
  <c r="M12" i="19" s="1"/>
  <c r="C12" i="19"/>
  <c r="M11" i="19"/>
  <c r="N11" i="19" s="1"/>
  <c r="M10" i="19"/>
  <c r="N10" i="19" s="1"/>
  <c r="N9" i="19"/>
  <c r="H9" i="19"/>
  <c r="L15" i="19" s="1"/>
  <c r="C9" i="19"/>
  <c r="E9" i="19" s="1"/>
  <c r="M8" i="19"/>
  <c r="N8" i="19" s="1"/>
  <c r="H8" i="19"/>
  <c r="L14" i="19" s="1"/>
  <c r="C8" i="19"/>
  <c r="N7" i="19"/>
  <c r="H7" i="19"/>
  <c r="L13" i="19" s="1"/>
  <c r="E7" i="19"/>
  <c r="C7" i="19"/>
  <c r="N6" i="19"/>
  <c r="H6" i="19"/>
  <c r="L12" i="19" s="1"/>
  <c r="C6" i="19"/>
  <c r="N33" i="19" l="1"/>
  <c r="N15" i="19"/>
  <c r="N14" i="19"/>
  <c r="N13" i="19"/>
  <c r="E6" i="19"/>
  <c r="N12" i="19"/>
  <c r="E12" i="19"/>
  <c r="E25" i="19"/>
  <c r="E13" i="19"/>
  <c r="E31" i="19"/>
  <c r="N32" i="19"/>
  <c r="N31" i="19"/>
  <c r="E27" i="19"/>
  <c r="E33" i="19"/>
  <c r="E14" i="19"/>
  <c r="E8" i="19"/>
  <c r="E34" i="19"/>
  <c r="E15" i="19"/>
  <c r="E26" i="19"/>
  <c r="X83" i="17"/>
  <c r="W83" i="17"/>
  <c r="U83" i="17"/>
  <c r="T83" i="17"/>
  <c r="X82" i="17"/>
  <c r="W82" i="17"/>
  <c r="U82" i="17"/>
  <c r="T82" i="17"/>
  <c r="X81" i="17"/>
  <c r="W81" i="17"/>
  <c r="U81" i="17"/>
  <c r="T81" i="17"/>
  <c r="X80" i="17"/>
  <c r="W80" i="17"/>
  <c r="U80" i="17"/>
  <c r="T80" i="17"/>
  <c r="X79" i="17"/>
  <c r="W79" i="17"/>
  <c r="U79" i="17"/>
  <c r="T79" i="17"/>
  <c r="X78" i="17"/>
  <c r="W78" i="17"/>
  <c r="U78" i="17"/>
  <c r="T78" i="17"/>
  <c r="X77" i="17"/>
  <c r="W77" i="17"/>
  <c r="U77" i="17"/>
  <c r="T77" i="17"/>
  <c r="X76" i="17"/>
  <c r="W76" i="17"/>
  <c r="U76" i="17"/>
  <c r="T76" i="17"/>
  <c r="X75" i="17"/>
  <c r="W75" i="17"/>
  <c r="U75" i="17"/>
  <c r="T75" i="17"/>
  <c r="X74" i="17"/>
  <c r="W74" i="17"/>
  <c r="U74" i="17"/>
  <c r="T74" i="17"/>
  <c r="X73" i="17"/>
  <c r="W73" i="17"/>
  <c r="U73" i="17"/>
  <c r="T73" i="17"/>
  <c r="X72" i="17"/>
  <c r="W72" i="17"/>
  <c r="U72" i="17"/>
  <c r="T72" i="17"/>
  <c r="X71" i="17"/>
  <c r="W71" i="17"/>
  <c r="U71" i="17"/>
  <c r="T71" i="17"/>
  <c r="X70" i="17"/>
  <c r="W70" i="17"/>
  <c r="U70" i="17"/>
  <c r="T70" i="17"/>
  <c r="O70" i="17"/>
  <c r="N70" i="17"/>
  <c r="L70" i="17"/>
  <c r="K70" i="17"/>
  <c r="X69" i="17"/>
  <c r="W69" i="17"/>
  <c r="U69" i="17"/>
  <c r="T69" i="17"/>
  <c r="O69" i="17"/>
  <c r="N69" i="17"/>
  <c r="L69" i="17"/>
  <c r="K69" i="17"/>
  <c r="X68" i="17"/>
  <c r="W68" i="17"/>
  <c r="U68" i="17"/>
  <c r="T68" i="17"/>
  <c r="O68" i="17"/>
  <c r="N68" i="17"/>
  <c r="L68" i="17"/>
  <c r="K68" i="17"/>
  <c r="X67" i="17"/>
  <c r="W67" i="17"/>
  <c r="U67" i="17"/>
  <c r="T67" i="17"/>
  <c r="O67" i="17"/>
  <c r="N67" i="17"/>
  <c r="L67" i="17"/>
  <c r="K67" i="17"/>
  <c r="X66" i="17"/>
  <c r="W66" i="17"/>
  <c r="U66" i="17"/>
  <c r="T66" i="17"/>
  <c r="O66" i="17"/>
  <c r="N66" i="17"/>
  <c r="L66" i="17"/>
  <c r="K66" i="17"/>
  <c r="X65" i="17"/>
  <c r="W65" i="17"/>
  <c r="U65" i="17"/>
  <c r="T65" i="17"/>
  <c r="O65" i="17"/>
  <c r="N65" i="17"/>
  <c r="L65" i="17"/>
  <c r="K65" i="17"/>
  <c r="X64" i="17"/>
  <c r="W64" i="17"/>
  <c r="U64" i="17"/>
  <c r="T64" i="17"/>
  <c r="O64" i="17"/>
  <c r="N64" i="17"/>
  <c r="L64" i="17"/>
  <c r="K64" i="17"/>
  <c r="X63" i="17"/>
  <c r="W63" i="17"/>
  <c r="U63" i="17"/>
  <c r="T63" i="17"/>
  <c r="O63" i="17"/>
  <c r="N63" i="17"/>
  <c r="L63" i="17"/>
  <c r="K63" i="17"/>
  <c r="X62" i="17"/>
  <c r="W62" i="17"/>
  <c r="U62" i="17"/>
  <c r="T62" i="17"/>
  <c r="O62" i="17"/>
  <c r="N62" i="17"/>
  <c r="L62" i="17"/>
  <c r="K62" i="17"/>
  <c r="X61" i="17"/>
  <c r="W61" i="17"/>
  <c r="U61" i="17"/>
  <c r="T61" i="17"/>
  <c r="O61" i="17"/>
  <c r="N61" i="17"/>
  <c r="L61" i="17"/>
  <c r="K61" i="17"/>
  <c r="X60" i="17"/>
  <c r="W60" i="17"/>
  <c r="U60" i="17"/>
  <c r="T60" i="17"/>
  <c r="O60" i="17"/>
  <c r="N60" i="17"/>
  <c r="L60" i="17"/>
  <c r="K60" i="17"/>
  <c r="X59" i="17"/>
  <c r="W59" i="17"/>
  <c r="U59" i="17"/>
  <c r="T59" i="17"/>
  <c r="O59" i="17"/>
  <c r="N59" i="17"/>
  <c r="L59" i="17"/>
  <c r="K59" i="17"/>
  <c r="X58" i="17"/>
  <c r="W58" i="17"/>
  <c r="U58" i="17"/>
  <c r="T58" i="17"/>
  <c r="O58" i="17"/>
  <c r="N58" i="17"/>
  <c r="L58" i="17"/>
  <c r="K58" i="17"/>
  <c r="X57" i="17"/>
  <c r="W57" i="17"/>
  <c r="U57" i="17"/>
  <c r="T57" i="17"/>
  <c r="O57" i="17"/>
  <c r="N57" i="17"/>
  <c r="L57" i="17"/>
  <c r="K57" i="17"/>
  <c r="X56" i="17"/>
  <c r="W56" i="17"/>
  <c r="U56" i="17"/>
  <c r="T56" i="17"/>
  <c r="O56" i="17"/>
  <c r="N56" i="17"/>
  <c r="L56" i="17"/>
  <c r="K56" i="17"/>
  <c r="X55" i="17"/>
  <c r="W55" i="17"/>
  <c r="U55" i="17"/>
  <c r="T55" i="17"/>
  <c r="O55" i="17"/>
  <c r="N55" i="17"/>
  <c r="L55" i="17"/>
  <c r="K55" i="17"/>
  <c r="X54" i="17"/>
  <c r="W54" i="17"/>
  <c r="U54" i="17"/>
  <c r="T54" i="17"/>
  <c r="O54" i="17"/>
  <c r="N54" i="17"/>
  <c r="L54" i="17"/>
  <c r="K54" i="17"/>
  <c r="X53" i="17"/>
  <c r="W53" i="17"/>
  <c r="U53" i="17"/>
  <c r="T53" i="17"/>
  <c r="O53" i="17"/>
  <c r="N53" i="17"/>
  <c r="L53" i="17"/>
  <c r="K53" i="17"/>
  <c r="X52" i="17"/>
  <c r="W52" i="17"/>
  <c r="U52" i="17"/>
  <c r="T52" i="17"/>
  <c r="O52" i="17"/>
  <c r="Q52" i="17" s="1"/>
  <c r="N52" i="17"/>
  <c r="P52" i="17" s="1"/>
  <c r="L52" i="17"/>
  <c r="K52" i="17"/>
  <c r="X51" i="17"/>
  <c r="W51" i="17"/>
  <c r="U51" i="17"/>
  <c r="T51" i="17"/>
  <c r="O51" i="17"/>
  <c r="N51" i="17"/>
  <c r="L51" i="17"/>
  <c r="K51" i="17"/>
  <c r="X50" i="17"/>
  <c r="W50" i="17"/>
  <c r="U50" i="17"/>
  <c r="T50" i="17"/>
  <c r="O50" i="17"/>
  <c r="N50" i="17"/>
  <c r="L50" i="17"/>
  <c r="K50" i="17"/>
  <c r="X43" i="17"/>
  <c r="W43" i="17"/>
  <c r="U43" i="17"/>
  <c r="T43" i="17"/>
  <c r="X42" i="17"/>
  <c r="W42" i="17"/>
  <c r="U42" i="17"/>
  <c r="T42" i="17"/>
  <c r="X41" i="17"/>
  <c r="W41" i="17"/>
  <c r="U41" i="17"/>
  <c r="T41" i="17"/>
  <c r="X40" i="17"/>
  <c r="W40" i="17"/>
  <c r="U40" i="17"/>
  <c r="T40" i="17"/>
  <c r="X39" i="17"/>
  <c r="W39" i="17"/>
  <c r="U39" i="17"/>
  <c r="T39" i="17"/>
  <c r="X38" i="17"/>
  <c r="W38" i="17"/>
  <c r="U38" i="17"/>
  <c r="T38" i="17"/>
  <c r="X37" i="17"/>
  <c r="W37" i="17"/>
  <c r="U37" i="17"/>
  <c r="T37" i="17"/>
  <c r="X36" i="17"/>
  <c r="W36" i="17"/>
  <c r="U36" i="17"/>
  <c r="T36" i="17"/>
  <c r="X35" i="17"/>
  <c r="W35" i="17"/>
  <c r="U35" i="17"/>
  <c r="T35" i="17"/>
  <c r="X34" i="17"/>
  <c r="W34" i="17"/>
  <c r="U34" i="17"/>
  <c r="T34" i="17"/>
  <c r="X33" i="17"/>
  <c r="W33" i="17"/>
  <c r="U33" i="17"/>
  <c r="T33" i="17"/>
  <c r="X32" i="17"/>
  <c r="W32" i="17"/>
  <c r="U32" i="17"/>
  <c r="T32" i="17"/>
  <c r="X31" i="17"/>
  <c r="W31" i="17"/>
  <c r="U31" i="17"/>
  <c r="T31" i="17"/>
  <c r="X30" i="17"/>
  <c r="W30" i="17"/>
  <c r="U30" i="17"/>
  <c r="T30" i="17"/>
  <c r="O30" i="17"/>
  <c r="N30" i="17"/>
  <c r="L30" i="17"/>
  <c r="K30" i="17"/>
  <c r="X29" i="17"/>
  <c r="W29" i="17"/>
  <c r="U29" i="17"/>
  <c r="T29" i="17"/>
  <c r="O29" i="17"/>
  <c r="N29" i="17"/>
  <c r="L29" i="17"/>
  <c r="K29" i="17"/>
  <c r="X28" i="17"/>
  <c r="W28" i="17"/>
  <c r="U28" i="17"/>
  <c r="T28" i="17"/>
  <c r="O28" i="17"/>
  <c r="N28" i="17"/>
  <c r="L28" i="17"/>
  <c r="K28" i="17"/>
  <c r="X27" i="17"/>
  <c r="W27" i="17"/>
  <c r="U27" i="17"/>
  <c r="T27" i="17"/>
  <c r="O27" i="17"/>
  <c r="N27" i="17"/>
  <c r="L27" i="17"/>
  <c r="K27" i="17"/>
  <c r="X26" i="17"/>
  <c r="W26" i="17"/>
  <c r="U26" i="17"/>
  <c r="T26" i="17"/>
  <c r="O26" i="17"/>
  <c r="N26" i="17"/>
  <c r="L26" i="17"/>
  <c r="K26" i="17"/>
  <c r="X25" i="17"/>
  <c r="W25" i="17"/>
  <c r="U25" i="17"/>
  <c r="T25" i="17"/>
  <c r="O25" i="17"/>
  <c r="N25" i="17"/>
  <c r="L25" i="17"/>
  <c r="K25" i="17"/>
  <c r="X24" i="17"/>
  <c r="W24" i="17"/>
  <c r="U24" i="17"/>
  <c r="T24" i="17"/>
  <c r="O24" i="17"/>
  <c r="N24" i="17"/>
  <c r="L24" i="17"/>
  <c r="K24" i="17"/>
  <c r="X23" i="17"/>
  <c r="W23" i="17"/>
  <c r="U23" i="17"/>
  <c r="T23" i="17"/>
  <c r="O23" i="17"/>
  <c r="N23" i="17"/>
  <c r="L23" i="17"/>
  <c r="K23" i="17"/>
  <c r="X22" i="17"/>
  <c r="W22" i="17"/>
  <c r="U22" i="17"/>
  <c r="T22" i="17"/>
  <c r="O22" i="17"/>
  <c r="N22" i="17"/>
  <c r="L22" i="17"/>
  <c r="K22" i="17"/>
  <c r="X21" i="17"/>
  <c r="W21" i="17"/>
  <c r="U21" i="17"/>
  <c r="T21" i="17"/>
  <c r="O21" i="17"/>
  <c r="N21" i="17"/>
  <c r="L21" i="17"/>
  <c r="K21" i="17"/>
  <c r="X20" i="17"/>
  <c r="W20" i="17"/>
  <c r="U20" i="17"/>
  <c r="T20" i="17"/>
  <c r="O20" i="17"/>
  <c r="N20" i="17"/>
  <c r="L20" i="17"/>
  <c r="K20" i="17"/>
  <c r="X19" i="17"/>
  <c r="W19" i="17"/>
  <c r="U19" i="17"/>
  <c r="T19" i="17"/>
  <c r="O19" i="17"/>
  <c r="N19" i="17"/>
  <c r="L19" i="17"/>
  <c r="K19" i="17"/>
  <c r="X18" i="17"/>
  <c r="W18" i="17"/>
  <c r="U18" i="17"/>
  <c r="T18" i="17"/>
  <c r="O18" i="17"/>
  <c r="N18" i="17"/>
  <c r="L18" i="17"/>
  <c r="K18" i="17"/>
  <c r="X17" i="17"/>
  <c r="W17" i="17"/>
  <c r="U17" i="17"/>
  <c r="T17" i="17"/>
  <c r="O17" i="17"/>
  <c r="N17" i="17"/>
  <c r="L17" i="17"/>
  <c r="K17" i="17"/>
  <c r="X16" i="17"/>
  <c r="W16" i="17"/>
  <c r="U16" i="17"/>
  <c r="T16" i="17"/>
  <c r="O16" i="17"/>
  <c r="N16" i="17"/>
  <c r="L16" i="17"/>
  <c r="K16" i="17"/>
  <c r="X15" i="17"/>
  <c r="W15" i="17"/>
  <c r="U15" i="17"/>
  <c r="T15" i="17"/>
  <c r="O15" i="17"/>
  <c r="N15" i="17"/>
  <c r="L15" i="17"/>
  <c r="K15" i="17"/>
  <c r="X14" i="17"/>
  <c r="W14" i="17"/>
  <c r="U14" i="17"/>
  <c r="T14" i="17"/>
  <c r="O14" i="17"/>
  <c r="N14" i="17"/>
  <c r="L14" i="17"/>
  <c r="K14" i="17"/>
  <c r="X13" i="17"/>
  <c r="W13" i="17"/>
  <c r="U13" i="17"/>
  <c r="T13" i="17"/>
  <c r="O13" i="17"/>
  <c r="N13" i="17"/>
  <c r="L13" i="17"/>
  <c r="K13" i="17"/>
  <c r="X12" i="17"/>
  <c r="W12" i="17"/>
  <c r="U12" i="17"/>
  <c r="T12" i="17"/>
  <c r="O12" i="17"/>
  <c r="Q12" i="17" s="1"/>
  <c r="N12" i="17"/>
  <c r="P12" i="17" s="1"/>
  <c r="L12" i="17"/>
  <c r="K12" i="17"/>
  <c r="X11" i="17"/>
  <c r="W11" i="17"/>
  <c r="U11" i="17"/>
  <c r="T11" i="17"/>
  <c r="O11" i="17"/>
  <c r="N11" i="17"/>
  <c r="L11" i="17"/>
  <c r="K11" i="17"/>
  <c r="X10" i="17"/>
  <c r="W10" i="17"/>
  <c r="U10" i="17"/>
  <c r="T10" i="17"/>
  <c r="O10" i="17"/>
  <c r="N10" i="17"/>
  <c r="L10" i="17"/>
  <c r="K10" i="17"/>
  <c r="Y51" i="17" l="1"/>
  <c r="Z51" i="17"/>
  <c r="U7" i="17"/>
  <c r="P13" i="17"/>
  <c r="P14" i="17" s="1"/>
  <c r="P15" i="17" s="1"/>
  <c r="P16" i="17" s="1"/>
  <c r="P17" i="17" s="1"/>
  <c r="P18" i="17" s="1"/>
  <c r="P19" i="17" s="1"/>
  <c r="P20" i="17" s="1"/>
  <c r="P21" i="17" s="1"/>
  <c r="P22" i="17" s="1"/>
  <c r="P23" i="17" s="1"/>
  <c r="P24" i="17" s="1"/>
  <c r="P25" i="17" s="1"/>
  <c r="P26" i="17" s="1"/>
  <c r="P27" i="17" s="1"/>
  <c r="P28" i="17" s="1"/>
  <c r="P29" i="17" s="1"/>
  <c r="P30" i="17" s="1"/>
  <c r="Q13" i="17"/>
  <c r="Q14" i="17" s="1"/>
  <c r="Q15" i="17" s="1"/>
  <c r="Q16" i="17" s="1"/>
  <c r="Q17" i="17" s="1"/>
  <c r="Q18" i="17" s="1"/>
  <c r="Q19" i="17" s="1"/>
  <c r="Q20" i="17" s="1"/>
  <c r="Q21" i="17" s="1"/>
  <c r="Q22" i="17" s="1"/>
  <c r="Q23" i="17" s="1"/>
  <c r="Q24" i="17" s="1"/>
  <c r="Q25" i="17" s="1"/>
  <c r="Q26" i="17" s="1"/>
  <c r="Q27" i="17" s="1"/>
  <c r="Q28" i="17" s="1"/>
  <c r="Q29" i="17" s="1"/>
  <c r="Q30" i="17" s="1"/>
  <c r="P53" i="17"/>
  <c r="P54" i="17" s="1"/>
  <c r="P55" i="17" s="1"/>
  <c r="P56" i="17" s="1"/>
  <c r="P57" i="17" s="1"/>
  <c r="P58" i="17" s="1"/>
  <c r="P59" i="17" s="1"/>
  <c r="P60" i="17" s="1"/>
  <c r="P61" i="17" s="1"/>
  <c r="P62" i="17" s="1"/>
  <c r="P63" i="17" s="1"/>
  <c r="P64" i="17" s="1"/>
  <c r="P65" i="17" s="1"/>
  <c r="P66" i="17" s="1"/>
  <c r="P67" i="17" s="1"/>
  <c r="P68" i="17" s="1"/>
  <c r="P69" i="17" s="1"/>
  <c r="P70" i="17" s="1"/>
  <c r="U47" i="17"/>
  <c r="L47" i="17"/>
  <c r="Q53" i="17"/>
  <c r="Q54" i="17" s="1"/>
  <c r="Q55" i="17" s="1"/>
  <c r="Q56" i="17" s="1"/>
  <c r="Q57" i="17" s="1"/>
  <c r="Q58" i="17" s="1"/>
  <c r="Q59" i="17" s="1"/>
  <c r="Q60" i="17" s="1"/>
  <c r="Q61" i="17" s="1"/>
  <c r="Q62" i="17" s="1"/>
  <c r="Q63" i="17" s="1"/>
  <c r="Q64" i="17" s="1"/>
  <c r="Q65" i="17" s="1"/>
  <c r="Q66" i="17" s="1"/>
  <c r="Q67" i="17" s="1"/>
  <c r="Q68" i="17" s="1"/>
  <c r="Q69" i="17" s="1"/>
  <c r="Q70" i="17" s="1"/>
  <c r="Y52" i="17"/>
  <c r="Y53" i="17" s="1"/>
  <c r="Y54" i="17" s="1"/>
  <c r="Y55" i="17" s="1"/>
  <c r="Y56" i="17" s="1"/>
  <c r="Y57" i="17" s="1"/>
  <c r="Y58" i="17" s="1"/>
  <c r="Y59" i="17" s="1"/>
  <c r="Y60" i="17" s="1"/>
  <c r="Y61" i="17" s="1"/>
  <c r="Y62" i="17" s="1"/>
  <c r="Y63" i="17" s="1"/>
  <c r="Y64" i="17" s="1"/>
  <c r="Y65" i="17" s="1"/>
  <c r="Y66" i="17" s="1"/>
  <c r="Y67" i="17" s="1"/>
  <c r="Y68" i="17" s="1"/>
  <c r="Y69" i="17" s="1"/>
  <c r="Y70" i="17" s="1"/>
  <c r="Y71" i="17" s="1"/>
  <c r="Y72" i="17" s="1"/>
  <c r="Y73" i="17" s="1"/>
  <c r="Y74" i="17" s="1"/>
  <c r="Y75" i="17" s="1"/>
  <c r="Y76" i="17" s="1"/>
  <c r="Y77" i="17" s="1"/>
  <c r="Y78" i="17" s="1"/>
  <c r="Y79" i="17" s="1"/>
  <c r="Y80" i="17" s="1"/>
  <c r="Y81" i="17" s="1"/>
  <c r="Y82" i="17" s="1"/>
  <c r="Y83" i="17" s="1"/>
  <c r="Z52" i="17"/>
  <c r="Z53" i="17" s="1"/>
  <c r="Z54" i="17" s="1"/>
  <c r="Z55" i="17" s="1"/>
  <c r="Z56" i="17" s="1"/>
  <c r="Z57" i="17" s="1"/>
  <c r="Z58" i="17" s="1"/>
  <c r="Z59" i="17" s="1"/>
  <c r="Z60" i="17" s="1"/>
  <c r="Z61" i="17" s="1"/>
  <c r="Z62" i="17" s="1"/>
  <c r="Z63" i="17" s="1"/>
  <c r="Z64" i="17" s="1"/>
  <c r="Z65" i="17" s="1"/>
  <c r="Z66" i="17" s="1"/>
  <c r="Z67" i="17" s="1"/>
  <c r="Z68" i="17" s="1"/>
  <c r="Z69" i="17" s="1"/>
  <c r="Z70" i="17" s="1"/>
  <c r="Z71" i="17" s="1"/>
  <c r="Z72" i="17" s="1"/>
  <c r="Z73" i="17" s="1"/>
  <c r="Z74" i="17" s="1"/>
  <c r="Z75" i="17" s="1"/>
  <c r="Z76" i="17" s="1"/>
  <c r="Z77" i="17" s="1"/>
  <c r="Z78" i="17" s="1"/>
  <c r="Z79" i="17" s="1"/>
  <c r="Z80" i="17" s="1"/>
  <c r="Z81" i="17" s="1"/>
  <c r="Z82" i="17" s="1"/>
  <c r="Z83" i="17" s="1"/>
  <c r="Y11" i="17"/>
  <c r="Y12" i="17" s="1"/>
  <c r="Y13" i="17" s="1"/>
  <c r="Y14" i="17" s="1"/>
  <c r="Y15" i="17" s="1"/>
  <c r="Y16" i="17" s="1"/>
  <c r="Y17" i="17" s="1"/>
  <c r="Y18" i="17" s="1"/>
  <c r="Y19" i="17" s="1"/>
  <c r="Y20" i="17" s="1"/>
  <c r="Y21" i="17" s="1"/>
  <c r="Y22" i="17" s="1"/>
  <c r="Y23" i="17" s="1"/>
  <c r="Y24" i="17" s="1"/>
  <c r="Y25" i="17" s="1"/>
  <c r="Y26" i="17" s="1"/>
  <c r="Y27" i="17" s="1"/>
  <c r="Y28" i="17" s="1"/>
  <c r="Y29" i="17" s="1"/>
  <c r="Y30" i="17" s="1"/>
  <c r="Y31" i="17" s="1"/>
  <c r="Y32" i="17" s="1"/>
  <c r="Y33" i="17" s="1"/>
  <c r="Y34" i="17" s="1"/>
  <c r="Y35" i="17" s="1"/>
  <c r="Y36" i="17" s="1"/>
  <c r="Y37" i="17" s="1"/>
  <c r="Y38" i="17" s="1"/>
  <c r="Y39" i="17" s="1"/>
  <c r="Y40" i="17" s="1"/>
  <c r="Y41" i="17" s="1"/>
  <c r="Y42" i="17" s="1"/>
  <c r="Y43" i="17" s="1"/>
  <c r="Z11" i="17"/>
  <c r="Z12" i="17" s="1"/>
  <c r="Z13" i="17" s="1"/>
  <c r="Z14" i="17" s="1"/>
  <c r="Z15" i="17" s="1"/>
  <c r="Z16" i="17" s="1"/>
  <c r="Z17" i="17" s="1"/>
  <c r="Z18" i="17" s="1"/>
  <c r="Z19" i="17" s="1"/>
  <c r="Z20" i="17" s="1"/>
  <c r="Z21" i="17" s="1"/>
  <c r="Z22" i="17" s="1"/>
  <c r="Z23" i="17" s="1"/>
  <c r="Z24" i="17" s="1"/>
  <c r="Z25" i="17" s="1"/>
  <c r="Z26" i="17" s="1"/>
  <c r="Z27" i="17" s="1"/>
  <c r="Z28" i="17" s="1"/>
  <c r="Z29" i="17" s="1"/>
  <c r="Z30" i="17" s="1"/>
  <c r="Z31" i="17" s="1"/>
  <c r="Z32" i="17" s="1"/>
  <c r="Z33" i="17" s="1"/>
  <c r="Z34" i="17" s="1"/>
  <c r="Z35" i="17" s="1"/>
  <c r="Z36" i="17" s="1"/>
  <c r="Z37" i="17" s="1"/>
  <c r="Z38" i="17" s="1"/>
  <c r="Z39" i="17" s="1"/>
  <c r="Z40" i="17" s="1"/>
  <c r="Z41" i="17" s="1"/>
  <c r="Z42" i="17" s="1"/>
  <c r="Z43" i="17" s="1"/>
  <c r="L7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HHI</author>
  </authors>
  <commentList>
    <comment ref="P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HHI:</t>
        </r>
        <r>
          <rPr>
            <sz val="9"/>
            <color indexed="81"/>
            <rFont val="Tahoma"/>
            <family val="2"/>
          </rPr>
          <t xml:space="preserve">
Power module </t>
        </r>
        <r>
          <rPr>
            <sz val="9"/>
            <color indexed="81"/>
            <rFont val="돋움"/>
            <family val="3"/>
            <charset val="129"/>
          </rPr>
          <t>전단에서</t>
        </r>
        <r>
          <rPr>
            <sz val="9"/>
            <color indexed="81"/>
            <rFont val="Tahoma"/>
            <family val="2"/>
          </rPr>
          <t xml:space="preserve"> consumption </t>
        </r>
        <r>
          <rPr>
            <sz val="9"/>
            <color indexed="81"/>
            <rFont val="돋움"/>
            <family val="3"/>
            <charset val="129"/>
          </rPr>
          <t>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Y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HHI:</t>
        </r>
        <r>
          <rPr>
            <sz val="9"/>
            <color indexed="81"/>
            <rFont val="Tahoma"/>
            <family val="2"/>
          </rPr>
          <t xml:space="preserve">
Power module </t>
        </r>
        <r>
          <rPr>
            <sz val="9"/>
            <color indexed="81"/>
            <rFont val="돋움"/>
            <family val="3"/>
            <charset val="129"/>
          </rPr>
          <t>전단에서</t>
        </r>
        <r>
          <rPr>
            <sz val="9"/>
            <color indexed="81"/>
            <rFont val="Tahoma"/>
            <family val="2"/>
          </rPr>
          <t xml:space="preserve"> consumption </t>
        </r>
        <r>
          <rPr>
            <sz val="9"/>
            <color indexed="81"/>
            <rFont val="돋움"/>
            <family val="3"/>
            <charset val="129"/>
          </rPr>
          <t>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P4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HHI:</t>
        </r>
        <r>
          <rPr>
            <sz val="9"/>
            <color indexed="81"/>
            <rFont val="Tahoma"/>
            <family val="2"/>
          </rPr>
          <t xml:space="preserve">
Power module </t>
        </r>
        <r>
          <rPr>
            <sz val="9"/>
            <color indexed="81"/>
            <rFont val="돋움"/>
            <family val="3"/>
            <charset val="129"/>
          </rPr>
          <t>전단에서</t>
        </r>
        <r>
          <rPr>
            <sz val="9"/>
            <color indexed="81"/>
            <rFont val="Tahoma"/>
            <family val="2"/>
          </rPr>
          <t xml:space="preserve"> consumption </t>
        </r>
        <r>
          <rPr>
            <sz val="9"/>
            <color indexed="81"/>
            <rFont val="돋움"/>
            <family val="3"/>
            <charset val="129"/>
          </rPr>
          <t>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Y48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HHI:</t>
        </r>
        <r>
          <rPr>
            <sz val="9"/>
            <color indexed="81"/>
            <rFont val="Tahoma"/>
            <family val="2"/>
          </rPr>
          <t xml:space="preserve">
Power module </t>
        </r>
        <r>
          <rPr>
            <sz val="9"/>
            <color indexed="81"/>
            <rFont val="돋움"/>
            <family val="3"/>
            <charset val="129"/>
          </rPr>
          <t>전단에서</t>
        </r>
        <r>
          <rPr>
            <sz val="9"/>
            <color indexed="81"/>
            <rFont val="Tahoma"/>
            <family val="2"/>
          </rPr>
          <t xml:space="preserve"> consumption </t>
        </r>
        <r>
          <rPr>
            <sz val="9"/>
            <color indexed="81"/>
            <rFont val="돋움"/>
            <family val="3"/>
            <charset val="129"/>
          </rPr>
          <t>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sharedStrings.xml><?xml version="1.0" encoding="utf-8"?>
<sst xmlns="http://schemas.openxmlformats.org/spreadsheetml/2006/main" count="4000" uniqueCount="1235">
  <si>
    <t>DI</t>
    <phoneticPr fontId="1" type="noConversion"/>
  </si>
  <si>
    <t>DO</t>
    <phoneticPr fontId="3" type="noConversion"/>
  </si>
  <si>
    <t>AI</t>
    <phoneticPr fontId="1" type="noConversion"/>
  </si>
  <si>
    <t>AO</t>
    <phoneticPr fontId="1" type="noConversion"/>
  </si>
  <si>
    <t>No.</t>
    <phoneticPr fontId="1" type="noConversion"/>
  </si>
  <si>
    <t>CH</t>
    <phoneticPr fontId="1" type="noConversion"/>
  </si>
  <si>
    <t>(+)</t>
    <phoneticPr fontId="1" type="noConversion"/>
  </si>
  <si>
    <t>(-)</t>
    <phoneticPr fontId="1" type="noConversion"/>
  </si>
  <si>
    <t>Tag No.</t>
    <phoneticPr fontId="1" type="noConversion"/>
  </si>
  <si>
    <t>Signal type</t>
    <phoneticPr fontId="1" type="noConversion"/>
  </si>
  <si>
    <t>Connection point</t>
    <phoneticPr fontId="3" type="noConversion"/>
  </si>
  <si>
    <t>Remark</t>
    <phoneticPr fontId="3" type="noConversion"/>
  </si>
  <si>
    <t>DI</t>
    <phoneticPr fontId="3" type="noConversion"/>
  </si>
  <si>
    <t>AI</t>
    <phoneticPr fontId="3" type="noConversion"/>
  </si>
  <si>
    <t>4-20mA</t>
    <phoneticPr fontId="3" type="noConversion"/>
  </si>
  <si>
    <t>AO</t>
    <phoneticPr fontId="3" type="noConversion"/>
  </si>
  <si>
    <t>DO</t>
    <phoneticPr fontId="1" type="noConversion"/>
  </si>
  <si>
    <t>Range</t>
    <phoneticPr fontId="1" type="noConversion"/>
  </si>
  <si>
    <t>Min</t>
    <phoneticPr fontId="1" type="noConversion"/>
  </si>
  <si>
    <t>Max</t>
    <phoneticPr fontId="1" type="noConversion"/>
  </si>
  <si>
    <t>Unit</t>
    <phoneticPr fontId="1" type="noConversion"/>
  </si>
  <si>
    <t>Alarm</t>
    <phoneticPr fontId="1" type="noConversion"/>
  </si>
  <si>
    <t>Low-Low</t>
    <phoneticPr fontId="1" type="noConversion"/>
  </si>
  <si>
    <t>Low</t>
    <phoneticPr fontId="1" type="noConversion"/>
  </si>
  <si>
    <t>High</t>
    <phoneticPr fontId="1" type="noConversion"/>
  </si>
  <si>
    <t>High-High</t>
    <phoneticPr fontId="1" type="noConversion"/>
  </si>
  <si>
    <t>Delay</t>
    <phoneticPr fontId="1" type="noConversion"/>
  </si>
  <si>
    <t>N/O</t>
    <phoneticPr fontId="1" type="noConversion"/>
  </si>
  <si>
    <t>bar</t>
    <phoneticPr fontId="1" type="noConversion"/>
  </si>
  <si>
    <t>mbar</t>
    <phoneticPr fontId="1" type="noConversion"/>
  </si>
  <si>
    <t>°C</t>
  </si>
  <si>
    <t>0</t>
    <phoneticPr fontId="1" type="noConversion"/>
  </si>
  <si>
    <t>100</t>
    <phoneticPr fontId="1" type="noConversion"/>
  </si>
  <si>
    <t>%</t>
    <phoneticPr fontId="1" type="noConversion"/>
  </si>
  <si>
    <t>Description</t>
    <phoneticPr fontId="1" type="noConversion"/>
  </si>
  <si>
    <t>60</t>
    <phoneticPr fontId="1" type="noConversion"/>
  </si>
  <si>
    <t>N/O</t>
  </si>
  <si>
    <t>1=Close</t>
  </si>
  <si>
    <t>DO</t>
  </si>
  <si>
    <t>AI</t>
  </si>
  <si>
    <t>4-20mA</t>
  </si>
  <si>
    <t>%</t>
  </si>
  <si>
    <t>0</t>
  </si>
  <si>
    <t>100</t>
  </si>
  <si>
    <t>800</t>
  </si>
  <si>
    <t>AO</t>
  </si>
  <si>
    <t>DI</t>
  </si>
  <si>
    <t>N/C</t>
  </si>
  <si>
    <t>1=Lamp on</t>
    <phoneticPr fontId="1" type="noConversion"/>
  </si>
  <si>
    <t>10</t>
    <phoneticPr fontId="1" type="noConversion"/>
  </si>
  <si>
    <t>3</t>
    <phoneticPr fontId="1" type="noConversion"/>
  </si>
  <si>
    <t>L/h</t>
    <phoneticPr fontId="1" type="noConversion"/>
  </si>
  <si>
    <t>1=Start</t>
    <phoneticPr fontId="1" type="noConversion"/>
  </si>
  <si>
    <t>1=Stop</t>
    <phoneticPr fontId="1" type="noConversion"/>
  </si>
  <si>
    <t>1=Reset</t>
    <phoneticPr fontId="1" type="noConversion"/>
  </si>
  <si>
    <t>1=Remote</t>
    <phoneticPr fontId="1" type="noConversion"/>
  </si>
  <si>
    <t>1=Open</t>
  </si>
  <si>
    <t>1= Close</t>
  </si>
  <si>
    <t>1=Open</t>
    <phoneticPr fontId="1" type="noConversion"/>
  </si>
  <si>
    <t>1=Running</t>
    <phoneticPr fontId="1" type="noConversion"/>
  </si>
  <si>
    <t>FODS</t>
    <phoneticPr fontId="1" type="noConversion"/>
  </si>
  <si>
    <t>Common</t>
    <phoneticPr fontId="1" type="noConversion"/>
  </si>
  <si>
    <t>1=Close</t>
    <phoneticPr fontId="1" type="noConversion"/>
  </si>
  <si>
    <t>°C</t>
    <phoneticPr fontId="1" type="noConversion"/>
  </si>
  <si>
    <t>1=0.1% Sulfur</t>
    <phoneticPr fontId="1" type="noConversion"/>
  </si>
  <si>
    <t>N/C</t>
    <phoneticPr fontId="1" type="noConversion"/>
  </si>
  <si>
    <t>MOCS control unit → Venting&amp;Sealing unit</t>
    <phoneticPr fontId="1" type="noConversion"/>
  </si>
  <si>
    <t>DC24V</t>
    <phoneticPr fontId="1" type="noConversion"/>
  </si>
  <si>
    <t>Isolated</t>
    <phoneticPr fontId="1" type="noConversion"/>
  </si>
  <si>
    <t>-</t>
    <phoneticPr fontId="1" type="noConversion"/>
  </si>
  <si>
    <t>MOC00-370</t>
    <phoneticPr fontId="1" type="noConversion"/>
  </si>
  <si>
    <t>FSP00-201</t>
    <phoneticPr fontId="1" type="noConversion"/>
  </si>
  <si>
    <t>FSP00-202</t>
    <phoneticPr fontId="1" type="noConversion"/>
  </si>
  <si>
    <t>FSP00-301</t>
    <phoneticPr fontId="1" type="noConversion"/>
  </si>
  <si>
    <t>FSP00-302</t>
    <phoneticPr fontId="1" type="noConversion"/>
  </si>
  <si>
    <t>FSP00-221</t>
    <phoneticPr fontId="1" type="noConversion"/>
  </si>
  <si>
    <t>FSP00-222</t>
    <phoneticPr fontId="1" type="noConversion"/>
  </si>
  <si>
    <t>MOC01-381</t>
    <phoneticPr fontId="1" type="noConversion"/>
  </si>
  <si>
    <t>MOC</t>
    <phoneticPr fontId="1" type="noConversion"/>
  </si>
  <si>
    <t>Skid</t>
    <phoneticPr fontId="1" type="noConversion"/>
  </si>
  <si>
    <t>Interface</t>
    <phoneticPr fontId="1" type="noConversion"/>
  </si>
  <si>
    <t>In/Out</t>
    <phoneticPr fontId="1" type="noConversion"/>
  </si>
  <si>
    <t>Type</t>
    <phoneticPr fontId="1" type="noConversion"/>
  </si>
  <si>
    <t>Function</t>
    <phoneticPr fontId="1" type="noConversion"/>
  </si>
  <si>
    <t>Order</t>
    <phoneticPr fontId="1" type="noConversion"/>
  </si>
  <si>
    <t>1) Skid description</t>
    <phoneticPr fontId="1" type="noConversion"/>
  </si>
  <si>
    <t>MOC: MOC</t>
    <phoneticPr fontId="1" type="noConversion"/>
  </si>
  <si>
    <t>ENG: Engine</t>
    <phoneticPr fontId="1" type="noConversion"/>
  </si>
  <si>
    <t>BNR: Burner</t>
    <phoneticPr fontId="1" type="noConversion"/>
  </si>
  <si>
    <t>2) Interface</t>
    <phoneticPr fontId="1" type="noConversion"/>
  </si>
  <si>
    <t>0: Internal</t>
    <phoneticPr fontId="1" type="noConversion"/>
  </si>
  <si>
    <t>1: External</t>
    <phoneticPr fontId="1" type="noConversion"/>
  </si>
  <si>
    <t>3) Input/Output</t>
    <phoneticPr fontId="1" type="noConversion"/>
  </si>
  <si>
    <t>0: Input</t>
    <phoneticPr fontId="1" type="noConversion"/>
  </si>
  <si>
    <t>1: Output</t>
    <phoneticPr fontId="1" type="noConversion"/>
  </si>
  <si>
    <t>4) Signal type</t>
    <phoneticPr fontId="1" type="noConversion"/>
  </si>
  <si>
    <t>0: Stop</t>
    <phoneticPr fontId="1" type="noConversion"/>
  </si>
  <si>
    <t>1: Start</t>
    <phoneticPr fontId="1" type="noConversion"/>
  </si>
  <si>
    <t>2: Run/Stop, Remote/Local</t>
    <phoneticPr fontId="1" type="noConversion"/>
  </si>
  <si>
    <t>3: Alarm</t>
    <phoneticPr fontId="1" type="noConversion"/>
  </si>
  <si>
    <t>4: Analog (4-20mA)</t>
    <phoneticPr fontId="1" type="noConversion"/>
  </si>
  <si>
    <t>5: …</t>
    <phoneticPr fontId="1" type="noConversion"/>
  </si>
  <si>
    <t>6: …</t>
    <phoneticPr fontId="1" type="noConversion"/>
  </si>
  <si>
    <t>7: …</t>
    <phoneticPr fontId="1" type="noConversion"/>
  </si>
  <si>
    <t>8: Power</t>
    <phoneticPr fontId="1" type="noConversion"/>
  </si>
  <si>
    <t>9: Emergency</t>
    <phoneticPr fontId="1" type="noConversion"/>
  </si>
  <si>
    <t>①</t>
    <phoneticPr fontId="1" type="noConversion"/>
  </si>
  <si>
    <t>②</t>
    <phoneticPr fontId="1" type="noConversion"/>
  </si>
  <si>
    <t>③</t>
    <phoneticPr fontId="1" type="noConversion"/>
  </si>
  <si>
    <t>④</t>
    <phoneticPr fontId="1" type="noConversion"/>
  </si>
  <si>
    <t>⑤</t>
    <phoneticPr fontId="1" type="noConversion"/>
  </si>
  <si>
    <t>⑥</t>
    <phoneticPr fontId="1" type="noConversion"/>
  </si>
  <si>
    <t>5) Function</t>
    <phoneticPr fontId="1" type="noConversion"/>
  </si>
  <si>
    <t>0: Status</t>
    <phoneticPr fontId="1" type="noConversion"/>
  </si>
  <si>
    <t>1: Command</t>
    <phoneticPr fontId="1" type="noConversion"/>
  </si>
  <si>
    <t>2: Feedback</t>
    <phoneticPr fontId="1" type="noConversion"/>
  </si>
  <si>
    <t>4: …</t>
    <phoneticPr fontId="1" type="noConversion"/>
  </si>
  <si>
    <t>8: Lamp</t>
    <phoneticPr fontId="1" type="noConversion"/>
  </si>
  <si>
    <t>9: Buzzer</t>
    <phoneticPr fontId="1" type="noConversion"/>
  </si>
  <si>
    <t>6) Order</t>
    <phoneticPr fontId="1" type="noConversion"/>
  </si>
  <si>
    <t>0: Only 1</t>
    <phoneticPr fontId="1" type="noConversion"/>
  </si>
  <si>
    <t>1: No.1</t>
    <phoneticPr fontId="1" type="noConversion"/>
  </si>
  <si>
    <t>2: No.2</t>
    <phoneticPr fontId="1" type="noConversion"/>
  </si>
  <si>
    <t>3: …</t>
    <phoneticPr fontId="1" type="noConversion"/>
  </si>
  <si>
    <t>Instrument</t>
    <phoneticPr fontId="1" type="noConversion"/>
  </si>
  <si>
    <t>Application</t>
    <phoneticPr fontId="1" type="noConversion"/>
  </si>
  <si>
    <t>Installation</t>
    <phoneticPr fontId="1" type="noConversion"/>
  </si>
  <si>
    <t>Numbering</t>
    <phoneticPr fontId="1" type="noConversion"/>
  </si>
  <si>
    <t>1) Instrument</t>
    <phoneticPr fontId="1" type="noConversion"/>
  </si>
  <si>
    <t>LT: Level transmitter</t>
    <phoneticPr fontId="1" type="noConversion"/>
  </si>
  <si>
    <t>LS: Level switch</t>
    <phoneticPr fontId="1" type="noConversion"/>
  </si>
  <si>
    <t>TC: Thermocouple</t>
    <phoneticPr fontId="1" type="noConversion"/>
  </si>
  <si>
    <t>TE: Temp. element(PT100)</t>
    <phoneticPr fontId="1" type="noConversion"/>
  </si>
  <si>
    <t>TS: Temp. switch</t>
    <phoneticPr fontId="1" type="noConversion"/>
  </si>
  <si>
    <t>TI: Temp. indicator</t>
    <phoneticPr fontId="1" type="noConversion"/>
  </si>
  <si>
    <t>PT: Press. transmitter</t>
    <phoneticPr fontId="1" type="noConversion"/>
  </si>
  <si>
    <t>PS: Press. switch</t>
    <phoneticPr fontId="1" type="noConversion"/>
  </si>
  <si>
    <t>PI: Press. indicator</t>
    <phoneticPr fontId="1" type="noConversion"/>
  </si>
  <si>
    <t>PDT: Diff. Press. transmitter</t>
    <phoneticPr fontId="1" type="noConversion"/>
  </si>
  <si>
    <t>PDS: Diff. Press. switch</t>
    <phoneticPr fontId="1" type="noConversion"/>
  </si>
  <si>
    <t>FT: Flowmeter</t>
    <phoneticPr fontId="1" type="noConversion"/>
  </si>
  <si>
    <t>FS: Flowswitch</t>
    <phoneticPr fontId="1" type="noConversion"/>
  </si>
  <si>
    <t>FI: Flow indicator</t>
    <phoneticPr fontId="1" type="noConversion"/>
  </si>
  <si>
    <t>ZV: Sol. Valve</t>
    <phoneticPr fontId="1" type="noConversion"/>
  </si>
  <si>
    <t>XC: Control valve</t>
    <phoneticPr fontId="1" type="noConversion"/>
  </si>
  <si>
    <t>MP: Motor driven pump</t>
    <phoneticPr fontId="1" type="noConversion"/>
  </si>
  <si>
    <t>NT: NOx detector</t>
    <phoneticPr fontId="1" type="noConversion"/>
  </si>
  <si>
    <t>MT: Methane detector</t>
    <phoneticPr fontId="1" type="noConversion"/>
  </si>
  <si>
    <t>NV: Non return valve</t>
    <phoneticPr fontId="1" type="noConversion"/>
  </si>
  <si>
    <t>VV: Manual valve</t>
    <phoneticPr fontId="1" type="noConversion"/>
  </si>
  <si>
    <t>RV: Press. regulating valve</t>
    <phoneticPr fontId="1" type="noConversion"/>
  </si>
  <si>
    <t>PSV: Press. safety valve</t>
    <phoneticPr fontId="1" type="noConversion"/>
  </si>
  <si>
    <t>2) Application</t>
    <phoneticPr fontId="1" type="noConversion"/>
  </si>
  <si>
    <t>0: Common use</t>
    <phoneticPr fontId="1" type="noConversion"/>
  </si>
  <si>
    <t>1: 4S-LP MOCS</t>
    <phoneticPr fontId="1" type="noConversion"/>
  </si>
  <si>
    <t>3) Installation</t>
    <phoneticPr fontId="1" type="noConversion"/>
  </si>
  <si>
    <t>01: Fuel tank</t>
    <phoneticPr fontId="1" type="noConversion"/>
  </si>
  <si>
    <t>02: MOC fuel supply unit</t>
    <phoneticPr fontId="1" type="noConversion"/>
  </si>
  <si>
    <t>03: MOC fuel dosing unit</t>
    <phoneticPr fontId="1" type="noConversion"/>
  </si>
  <si>
    <t>08: …</t>
    <phoneticPr fontId="1" type="noConversion"/>
  </si>
  <si>
    <t>10: …</t>
    <phoneticPr fontId="1" type="noConversion"/>
  </si>
  <si>
    <t>11: Burner</t>
    <phoneticPr fontId="1" type="noConversion"/>
  </si>
  <si>
    <t>04: Bypass valve</t>
    <phoneticPr fontId="1" type="noConversion"/>
  </si>
  <si>
    <t>4) Order</t>
    <phoneticPr fontId="1" type="noConversion"/>
  </si>
  <si>
    <t>PT</t>
    <phoneticPr fontId="1" type="noConversion"/>
  </si>
  <si>
    <t>03</t>
    <phoneticPr fontId="1" type="noConversion"/>
  </si>
  <si>
    <t>01</t>
    <phoneticPr fontId="1" type="noConversion"/>
  </si>
  <si>
    <t>Sub-num</t>
    <phoneticPr fontId="1" type="noConversion"/>
  </si>
  <si>
    <t>6) Sub-numbering</t>
    <phoneticPr fontId="1" type="noConversion"/>
  </si>
  <si>
    <t>05: Venting&amp;Sealing unit</t>
    <phoneticPr fontId="1" type="noConversion"/>
  </si>
  <si>
    <t>VSU: Venting&amp;Sealing unit</t>
    <phoneticPr fontId="1" type="noConversion"/>
  </si>
  <si>
    <t>FSP01-111</t>
    <phoneticPr fontId="1" type="noConversion"/>
  </si>
  <si>
    <t>FSP01-112</t>
    <phoneticPr fontId="1" type="noConversion"/>
  </si>
  <si>
    <t>01~39: Mechanical equipment(Pump, Valve, Actucator)</t>
    <phoneticPr fontId="1" type="noConversion"/>
  </si>
  <si>
    <r>
      <t xml:space="preserve">5) Numbering (Input </t>
    </r>
    <r>
      <rPr>
        <b/>
        <sz val="11"/>
        <color theme="1"/>
        <rFont val="맑은 고딕"/>
        <family val="3"/>
        <charset val="129"/>
      </rPr>
      <t>→ Output)</t>
    </r>
    <phoneticPr fontId="1" type="noConversion"/>
  </si>
  <si>
    <t>40~79: Sensor(Transmitter, Switch, Indicator)</t>
    <phoneticPr fontId="1" type="noConversion"/>
  </si>
  <si>
    <t>80~89: Emergency shutdown - Mechanical equipment</t>
    <phoneticPr fontId="1" type="noConversion"/>
  </si>
  <si>
    <t>90~99: Emergency shutdown - Sensor</t>
    <phoneticPr fontId="1" type="noConversion"/>
  </si>
  <si>
    <t>FSU: MOC fuel oil supply unit</t>
    <phoneticPr fontId="1" type="noConversion"/>
  </si>
  <si>
    <t>FSP: MOC fuel oil supply pump starter</t>
    <phoneticPr fontId="1" type="noConversion"/>
  </si>
  <si>
    <t>FDU: MOC fuel oil dosing unit</t>
    <phoneticPr fontId="1" type="noConversion"/>
  </si>
  <si>
    <t>BFP: Burner fuel oil pump starter</t>
    <phoneticPr fontId="1" type="noConversion"/>
  </si>
  <si>
    <t>07: Chamber</t>
    <phoneticPr fontId="1" type="noConversion"/>
  </si>
  <si>
    <t>06: Mixer</t>
    <phoneticPr fontId="1" type="noConversion"/>
  </si>
  <si>
    <t>09: Pipe</t>
    <phoneticPr fontId="1" type="noConversion"/>
  </si>
  <si>
    <t>PT102040</t>
    <phoneticPr fontId="1" type="noConversion"/>
  </si>
  <si>
    <t>PT102041</t>
    <phoneticPr fontId="1" type="noConversion"/>
  </si>
  <si>
    <t>Signal tag numbering</t>
    <phoneticPr fontId="1" type="noConversion"/>
  </si>
  <si>
    <t>Sensor tag numbering</t>
    <phoneticPr fontId="1" type="noConversion"/>
  </si>
  <si>
    <t>1. Reserved tag number list(Signal)</t>
    <phoneticPr fontId="1" type="noConversion"/>
  </si>
  <si>
    <t>From</t>
    <phoneticPr fontId="1" type="noConversion"/>
  </si>
  <si>
    <t>To</t>
    <phoneticPr fontId="1" type="noConversion"/>
  </si>
  <si>
    <t>MOCS control unit</t>
    <phoneticPr fontId="1" type="noConversion"/>
  </si>
  <si>
    <t>Yard</t>
    <phoneticPr fontId="1" type="noConversion"/>
  </si>
  <si>
    <t>ENG</t>
    <phoneticPr fontId="1" type="noConversion"/>
  </si>
  <si>
    <t>FSP</t>
    <phoneticPr fontId="1" type="noConversion"/>
  </si>
  <si>
    <t>No.1 F.O. supply pump Remote</t>
    <phoneticPr fontId="1" type="noConversion"/>
  </si>
  <si>
    <t>No.1 F.O. supply pump starter</t>
    <phoneticPr fontId="1" type="noConversion"/>
  </si>
  <si>
    <t>No.1 F.O. supply pump Running</t>
    <phoneticPr fontId="1" type="noConversion"/>
  </si>
  <si>
    <t>No.1 F.O. supply pump Abnormal</t>
    <phoneticPr fontId="1" type="noConversion"/>
  </si>
  <si>
    <t>No.2 F.O. supply pump Remote</t>
    <phoneticPr fontId="1" type="noConversion"/>
  </si>
  <si>
    <t>No.2 F.O. supply pump starter</t>
    <phoneticPr fontId="1" type="noConversion"/>
  </si>
  <si>
    <t>No.2 F.O. supply pump Running</t>
    <phoneticPr fontId="1" type="noConversion"/>
  </si>
  <si>
    <t>No.2 F.O. supply pump Abnormal</t>
    <phoneticPr fontId="1" type="noConversion"/>
  </si>
  <si>
    <t>2. Reserved tag number list(Instrument)</t>
    <phoneticPr fontId="1" type="noConversion"/>
  </si>
  <si>
    <t>FSU</t>
    <phoneticPr fontId="1" type="noConversion"/>
  </si>
  <si>
    <t>MP102001</t>
    <phoneticPr fontId="1" type="noConversion"/>
  </si>
  <si>
    <t>MP102002</t>
    <phoneticPr fontId="1" type="noConversion"/>
  </si>
  <si>
    <t>PI102040</t>
    <phoneticPr fontId="1" type="noConversion"/>
  </si>
  <si>
    <t>PI102041</t>
    <phoneticPr fontId="1" type="noConversion"/>
  </si>
  <si>
    <t>FDU</t>
    <phoneticPr fontId="1" type="noConversion"/>
  </si>
  <si>
    <t>RSV</t>
    <phoneticPr fontId="1" type="noConversion"/>
  </si>
  <si>
    <t>RBV</t>
    <phoneticPr fontId="1" type="noConversion"/>
  </si>
  <si>
    <t>RTV</t>
    <phoneticPr fontId="1" type="noConversion"/>
  </si>
  <si>
    <t>VSU</t>
    <phoneticPr fontId="1" type="noConversion"/>
  </si>
  <si>
    <t>Mixer</t>
    <phoneticPr fontId="1" type="noConversion"/>
  </si>
  <si>
    <t>Chamber</t>
    <phoneticPr fontId="1" type="noConversion"/>
  </si>
  <si>
    <t>2</t>
    <phoneticPr fontId="1" type="noConversion"/>
  </si>
  <si>
    <t>600</t>
    <phoneticPr fontId="1" type="noConversion"/>
  </si>
  <si>
    <r>
      <t>0 = 60</t>
    </r>
    <r>
      <rPr>
        <sz val="16"/>
        <rFont val="현대체Light"/>
        <family val="1"/>
        <charset val="129"/>
      </rPr>
      <t>℃</t>
    </r>
    <r>
      <rPr>
        <sz val="16"/>
        <rFont val="Arial"/>
        <family val="2"/>
      </rPr>
      <t xml:space="preserve"> </t>
    </r>
    <r>
      <rPr>
        <sz val="16"/>
        <rFont val="돋움"/>
        <family val="3"/>
        <charset val="129"/>
      </rPr>
      <t>이상</t>
    </r>
    <phoneticPr fontId="1" type="noConversion"/>
  </si>
  <si>
    <t>MOCS control unit → Yard</t>
    <phoneticPr fontId="1" type="noConversion"/>
  </si>
  <si>
    <t>FSP00-201</t>
  </si>
  <si>
    <t>FSP00-301</t>
  </si>
  <si>
    <t>FSP00-221</t>
  </si>
  <si>
    <t>FSP00-202</t>
  </si>
  <si>
    <t>FSP00-302</t>
  </si>
  <si>
    <t>FSP00-222</t>
  </si>
  <si>
    <t>FSP01-111</t>
  </si>
  <si>
    <t>FSP01-112</t>
  </si>
  <si>
    <t>PT102040</t>
  </si>
  <si>
    <t>MOCS Common Alarm</t>
    <phoneticPr fontId="1" type="noConversion"/>
  </si>
  <si>
    <t>0=Alarm</t>
    <phoneticPr fontId="1" type="noConversion"/>
  </si>
  <si>
    <t>1=Ready</t>
    <phoneticPr fontId="1" type="noConversion"/>
  </si>
  <si>
    <t>1=All</t>
    <phoneticPr fontId="1" type="noConversion"/>
  </si>
  <si>
    <t>1=Active</t>
    <phoneticPr fontId="1" type="noConversion"/>
  </si>
  <si>
    <t>1=Auto</t>
    <phoneticPr fontId="1" type="noConversion"/>
  </si>
  <si>
    <t>0=Abnormal</t>
    <phoneticPr fontId="1" type="noConversion"/>
  </si>
  <si>
    <t>MOCS control unit → Yard</t>
  </si>
  <si>
    <t>16</t>
    <phoneticPr fontId="1" type="noConversion"/>
  </si>
  <si>
    <t>bar</t>
  </si>
  <si>
    <t>20</t>
    <phoneticPr fontId="1" type="noConversion"/>
  </si>
  <si>
    <t>24</t>
    <phoneticPr fontId="1" type="noConversion"/>
  </si>
  <si>
    <t>40</t>
    <phoneticPr fontId="1" type="noConversion"/>
  </si>
  <si>
    <t>44</t>
    <phoneticPr fontId="1" type="noConversion"/>
  </si>
  <si>
    <t>50</t>
    <phoneticPr fontId="1" type="noConversion"/>
  </si>
  <si>
    <t>70</t>
    <phoneticPr fontId="1" type="noConversion"/>
  </si>
  <si>
    <t>280</t>
    <phoneticPr fontId="1" type="noConversion"/>
  </si>
  <si>
    <t>290</t>
    <phoneticPr fontId="1" type="noConversion"/>
  </si>
  <si>
    <t>480</t>
    <phoneticPr fontId="1" type="noConversion"/>
  </si>
  <si>
    <t>500</t>
    <phoneticPr fontId="1" type="noConversion"/>
  </si>
  <si>
    <t>520</t>
    <phoneticPr fontId="1" type="noConversion"/>
  </si>
  <si>
    <t>580</t>
    <phoneticPr fontId="1" type="noConversion"/>
  </si>
  <si>
    <t>Ref x 160%</t>
    <phoneticPr fontId="1" type="noConversion"/>
  </si>
  <si>
    <t>Ref x 155%</t>
    <phoneticPr fontId="1" type="noConversion"/>
  </si>
  <si>
    <t>4</t>
    <phoneticPr fontId="1" type="noConversion"/>
  </si>
  <si>
    <t>5</t>
    <phoneticPr fontId="1" type="noConversion"/>
  </si>
  <si>
    <t>11</t>
    <phoneticPr fontId="1" type="noConversion"/>
  </si>
  <si>
    <t>12</t>
    <phoneticPr fontId="1" type="noConversion"/>
  </si>
  <si>
    <t>Engine Gas Trip</t>
    <phoneticPr fontId="1" type="noConversion"/>
  </si>
  <si>
    <t>Engine Pilot Trip</t>
    <phoneticPr fontId="1" type="noConversion"/>
  </si>
  <si>
    <t>Engine SD</t>
    <phoneticPr fontId="1" type="noConversion"/>
  </si>
  <si>
    <t>Diesel actuator rack position</t>
    <phoneticPr fontId="1" type="noConversion"/>
  </si>
  <si>
    <t xml:space="preserve">Engine speed </t>
    <phoneticPr fontId="1" type="noConversion"/>
  </si>
  <si>
    <t>Engine mode</t>
    <phoneticPr fontId="1" type="noConversion"/>
  </si>
  <si>
    <t>Charge Air pressure reference</t>
    <phoneticPr fontId="1" type="noConversion"/>
  </si>
  <si>
    <t>Charge Air Deviation from Reference</t>
    <phoneticPr fontId="1" type="noConversion"/>
  </si>
  <si>
    <t>T/C Inlet Temp(TE26)</t>
    <phoneticPr fontId="1" type="noConversion"/>
  </si>
  <si>
    <t>Cylinder Out Temp(TE25-1)</t>
    <phoneticPr fontId="1" type="noConversion"/>
  </si>
  <si>
    <t>Cylinder Out Temp(TE25-2)</t>
    <phoneticPr fontId="1" type="noConversion"/>
  </si>
  <si>
    <t>Cylinder Out Temp(TE25-3)</t>
    <phoneticPr fontId="1" type="noConversion"/>
  </si>
  <si>
    <t>Cylinder Out Temp(TE25-4)</t>
    <phoneticPr fontId="1" type="noConversion"/>
  </si>
  <si>
    <t>Cylinder Out Temp(TE25-5)</t>
    <phoneticPr fontId="1" type="noConversion"/>
  </si>
  <si>
    <t>Cylinder Out Temp(TE25-6)</t>
    <phoneticPr fontId="1" type="noConversion"/>
  </si>
  <si>
    <t>Cylinder Out Temp(TE25-7)</t>
    <phoneticPr fontId="1" type="noConversion"/>
  </si>
  <si>
    <t>Cylinder Out Temp(TE25-8)</t>
    <phoneticPr fontId="1" type="noConversion"/>
  </si>
  <si>
    <t>Cylinder Out Temp(TE25-9)</t>
    <phoneticPr fontId="1" type="noConversion"/>
  </si>
  <si>
    <t>T/C Speed(SE14)</t>
    <phoneticPr fontId="1" type="noConversion"/>
  </si>
  <si>
    <t>Engine Load</t>
    <phoneticPr fontId="1" type="noConversion"/>
  </si>
  <si>
    <t>Communication hot bit from engine</t>
    <phoneticPr fontId="1" type="noConversion"/>
  </si>
  <si>
    <r>
      <t xml:space="preserve">Engine </t>
    </r>
    <r>
      <rPr>
        <b/>
        <sz val="11"/>
        <rFont val="Arial Unicode MS"/>
        <family val="2"/>
        <charset val="129"/>
      </rPr>
      <t>통신 항목</t>
    </r>
    <phoneticPr fontId="1" type="noConversion"/>
  </si>
  <si>
    <t>0=Em'cy Stop</t>
    <phoneticPr fontId="1" type="noConversion"/>
  </si>
  <si>
    <t>MOCS11-331</t>
    <phoneticPr fontId="1" type="noConversion"/>
  </si>
  <si>
    <t>MOCS Common Alarm Lamp</t>
    <phoneticPr fontId="1" type="noConversion"/>
  </si>
  <si>
    <t>Alarm Reset</t>
    <phoneticPr fontId="1" type="noConversion"/>
  </si>
  <si>
    <r>
      <t xml:space="preserve">UPS </t>
    </r>
    <r>
      <rPr>
        <sz val="12"/>
        <rFont val="Arial Unicode MS"/>
        <family val="2"/>
        <charset val="129"/>
      </rPr>
      <t>적용 여부</t>
    </r>
    <phoneticPr fontId="1" type="noConversion"/>
  </si>
  <si>
    <r>
      <t xml:space="preserve">FO tank level alarm </t>
    </r>
    <r>
      <rPr>
        <sz val="12"/>
        <rFont val="Arial Unicode MS"/>
        <family val="2"/>
        <charset val="129"/>
      </rPr>
      <t>필요 여부</t>
    </r>
    <phoneticPr fontId="1" type="noConversion"/>
  </si>
  <si>
    <t>MOC01-390</t>
    <phoneticPr fontId="1" type="noConversion"/>
  </si>
  <si>
    <t>MOCS Common Alarm Buzzer</t>
    <phoneticPr fontId="1" type="noConversion"/>
  </si>
  <si>
    <t>1=Buzzer on</t>
    <phoneticPr fontId="1" type="noConversion"/>
  </si>
  <si>
    <t>1=Preparation</t>
    <phoneticPr fontId="1" type="noConversion"/>
  </si>
  <si>
    <t>Venting&amp;Sealing unit → MOCS control unit</t>
    <phoneticPr fontId="1" type="noConversion"/>
  </si>
  <si>
    <t>Chamber PDT → MOCS control unit</t>
    <phoneticPr fontId="1" type="noConversion"/>
  </si>
  <si>
    <t>RTV PDT → MOCS control unit</t>
    <phoneticPr fontId="1" type="noConversion"/>
  </si>
  <si>
    <t>Mixer Inlet Temp → MOCS control unit</t>
    <phoneticPr fontId="1" type="noConversion"/>
  </si>
  <si>
    <t>Chamber Inlet Temp → MOCS control unit</t>
    <phoneticPr fontId="1" type="noConversion"/>
  </si>
  <si>
    <t>Chamber Middle Temp → MOCS control unit</t>
    <phoneticPr fontId="1" type="noConversion"/>
  </si>
  <si>
    <t>Chamber Outlet Temp → MOCS control unit</t>
    <phoneticPr fontId="1" type="noConversion"/>
  </si>
  <si>
    <t>RTV → MOCS control unit</t>
    <phoneticPr fontId="1" type="noConversion"/>
  </si>
  <si>
    <t>MOCS control unit → RTV</t>
    <phoneticPr fontId="1" type="noConversion"/>
  </si>
  <si>
    <t>MOCS control unit → RSV</t>
    <phoneticPr fontId="1" type="noConversion"/>
  </si>
  <si>
    <t>MOCS control unit → RBV</t>
    <phoneticPr fontId="1" type="noConversion"/>
  </si>
  <si>
    <t>RBV → MOCS control unitt</t>
    <phoneticPr fontId="1" type="noConversion"/>
  </si>
  <si>
    <t>RBV → MOCS control unit</t>
    <phoneticPr fontId="1" type="noConversion"/>
  </si>
  <si>
    <t>Yard → MOCS control unit</t>
    <phoneticPr fontId="1" type="noConversion"/>
  </si>
  <si>
    <t>Front door → MOCS control unit</t>
    <phoneticPr fontId="1" type="noConversion"/>
  </si>
  <si>
    <t>Internal relay → IO module</t>
    <phoneticPr fontId="1" type="noConversion"/>
  </si>
  <si>
    <t>1</t>
    <phoneticPr fontId="1" type="noConversion"/>
  </si>
  <si>
    <r>
      <t xml:space="preserve">MOCS control unit </t>
    </r>
    <r>
      <rPr>
        <sz val="16"/>
        <rFont val="맑은 고딕"/>
        <family val="3"/>
        <charset val="129"/>
      </rPr>
      <t>→</t>
    </r>
    <r>
      <rPr>
        <sz val="16"/>
        <rFont val="Arial"/>
        <family val="2"/>
      </rPr>
      <t xml:space="preserve"> Front door</t>
    </r>
    <phoneticPr fontId="1" type="noConversion"/>
  </si>
  <si>
    <r>
      <t xml:space="preserve">MOCS control unit </t>
    </r>
    <r>
      <rPr>
        <sz val="16"/>
        <rFont val="맑은 고딕"/>
        <family val="3"/>
        <charset val="129"/>
      </rPr>
      <t>→</t>
    </r>
    <r>
      <rPr>
        <sz val="16"/>
        <rFont val="Arial"/>
        <family val="2"/>
      </rPr>
      <t xml:space="preserve"> Yard</t>
    </r>
    <phoneticPr fontId="1" type="noConversion"/>
  </si>
  <si>
    <t>F.O. Supply pump Auto mode</t>
    <phoneticPr fontId="1" type="noConversion"/>
  </si>
  <si>
    <t>No.2 F.O. Supply pump Run Command</t>
    <phoneticPr fontId="1" type="noConversion"/>
  </si>
  <si>
    <t>RSV → MOCS control unit</t>
    <phoneticPr fontId="1" type="noConversion"/>
  </si>
  <si>
    <t>F.O. Dosing unit → MOCS control unit</t>
    <phoneticPr fontId="1" type="noConversion"/>
  </si>
  <si>
    <t>MOCS control unit → F.O. Dosing unit</t>
    <phoneticPr fontId="1" type="noConversion"/>
  </si>
  <si>
    <t>1=Flush</t>
    <phoneticPr fontId="1" type="noConversion"/>
  </si>
  <si>
    <t>Skid</t>
    <phoneticPr fontId="3" type="noConversion"/>
  </si>
  <si>
    <t>Tag No.</t>
    <phoneticPr fontId="3" type="noConversion"/>
  </si>
  <si>
    <t>Signal type</t>
    <phoneticPr fontId="3" type="noConversion"/>
  </si>
  <si>
    <t>Relay</t>
    <phoneticPr fontId="3" type="noConversion"/>
  </si>
  <si>
    <t>Module</t>
    <phoneticPr fontId="3" type="noConversion"/>
  </si>
  <si>
    <t>Description</t>
    <phoneticPr fontId="3" type="noConversion"/>
  </si>
  <si>
    <t>Range</t>
    <phoneticPr fontId="3" type="noConversion"/>
  </si>
  <si>
    <t>Alarm</t>
    <phoneticPr fontId="3" type="noConversion"/>
  </si>
  <si>
    <t>No.</t>
    <phoneticPr fontId="3" type="noConversion"/>
  </si>
  <si>
    <t>24V</t>
    <phoneticPr fontId="3" type="noConversion"/>
  </si>
  <si>
    <t>0V</t>
    <phoneticPr fontId="3" type="noConversion"/>
  </si>
  <si>
    <t>(+)</t>
    <phoneticPr fontId="3" type="noConversion"/>
  </si>
  <si>
    <t>(-)</t>
    <phoneticPr fontId="3" type="noConversion"/>
  </si>
  <si>
    <t>GND</t>
    <phoneticPr fontId="3" type="noConversion"/>
  </si>
  <si>
    <t>CH</t>
    <phoneticPr fontId="3" type="noConversion"/>
  </si>
  <si>
    <t>Min.</t>
    <phoneticPr fontId="3" type="noConversion"/>
  </si>
  <si>
    <t>Max.</t>
    <phoneticPr fontId="3" type="noConversion"/>
  </si>
  <si>
    <t>Unit</t>
    <phoneticPr fontId="3" type="noConversion"/>
  </si>
  <si>
    <t>Low-Low</t>
    <phoneticPr fontId="3" type="noConversion"/>
  </si>
  <si>
    <t>Low</t>
    <phoneticPr fontId="3" type="noConversion"/>
  </si>
  <si>
    <t>High</t>
    <phoneticPr fontId="3" type="noConversion"/>
  </si>
  <si>
    <t>High-High</t>
    <phoneticPr fontId="3" type="noConversion"/>
  </si>
  <si>
    <t>Delay</t>
    <phoneticPr fontId="3" type="noConversion"/>
  </si>
  <si>
    <t>3</t>
    <phoneticPr fontId="3" type="noConversion"/>
  </si>
  <si>
    <t>4</t>
    <phoneticPr fontId="3" type="noConversion"/>
  </si>
  <si>
    <t>2</t>
    <phoneticPr fontId="3" type="noConversion"/>
  </si>
  <si>
    <t>-</t>
    <phoneticPr fontId="3" type="noConversion"/>
  </si>
  <si>
    <t>16</t>
    <phoneticPr fontId="3" type="noConversion"/>
  </si>
  <si>
    <t>0</t>
    <phoneticPr fontId="3" type="noConversion"/>
  </si>
  <si>
    <t>5</t>
    <phoneticPr fontId="3" type="noConversion"/>
  </si>
  <si>
    <t>6</t>
    <phoneticPr fontId="3" type="noConversion"/>
  </si>
  <si>
    <t>10</t>
    <phoneticPr fontId="3" type="noConversion"/>
  </si>
  <si>
    <t>Yard interface</t>
    <phoneticPr fontId="3" type="noConversion"/>
  </si>
  <si>
    <t>1=Running</t>
    <phoneticPr fontId="3" type="noConversion"/>
  </si>
  <si>
    <t>N/C</t>
    <phoneticPr fontId="3" type="noConversion"/>
  </si>
  <si>
    <t>-1</t>
    <phoneticPr fontId="3" type="noConversion"/>
  </si>
  <si>
    <t>bar</t>
    <phoneticPr fontId="3" type="noConversion"/>
  </si>
  <si>
    <t>1=Run</t>
    <phoneticPr fontId="3" type="noConversion"/>
  </si>
  <si>
    <t>0=Alarm</t>
    <phoneticPr fontId="3" type="noConversion"/>
  </si>
  <si>
    <t>Internal connection</t>
    <phoneticPr fontId="3" type="noConversion"/>
  </si>
  <si>
    <r>
      <t xml:space="preserve">Front door </t>
    </r>
    <r>
      <rPr>
        <sz val="12"/>
        <rFont val="Arial"/>
        <family val="2"/>
      </rPr>
      <t>→</t>
    </r>
    <r>
      <rPr>
        <sz val="12"/>
        <rFont val="Arial"/>
        <family val="2"/>
      </rPr>
      <t xml:space="preserve"> IO module</t>
    </r>
    <phoneticPr fontId="3" type="noConversion"/>
  </si>
  <si>
    <r>
      <t xml:space="preserve">Internal relay </t>
    </r>
    <r>
      <rPr>
        <sz val="12"/>
        <rFont val="Arial"/>
        <family val="2"/>
      </rPr>
      <t>→</t>
    </r>
    <r>
      <rPr>
        <sz val="12"/>
        <rFont val="Arial"/>
        <family val="2"/>
      </rPr>
      <t xml:space="preserve"> IO module</t>
    </r>
    <phoneticPr fontId="3" type="noConversion"/>
  </si>
  <si>
    <t>0=Fail</t>
    <phoneticPr fontId="3" type="noConversion"/>
  </si>
  <si>
    <t>1=Remote</t>
    <phoneticPr fontId="3" type="noConversion"/>
  </si>
  <si>
    <r>
      <t xml:space="preserve">IO module </t>
    </r>
    <r>
      <rPr>
        <sz val="12"/>
        <rFont val="Arial"/>
        <family val="2"/>
      </rPr>
      <t>→</t>
    </r>
    <r>
      <rPr>
        <sz val="12"/>
        <rFont val="Arial"/>
        <family val="2"/>
      </rPr>
      <t xml:space="preserve"> Front door</t>
    </r>
    <phoneticPr fontId="3" type="noConversion"/>
  </si>
  <si>
    <t>Terminal</t>
    <phoneticPr fontId="1" type="noConversion"/>
  </si>
  <si>
    <t>Remark</t>
    <phoneticPr fontId="1" type="noConversion"/>
  </si>
  <si>
    <t>Connection</t>
    <phoneticPr fontId="1" type="noConversion"/>
  </si>
  <si>
    <t>1X1</t>
    <phoneticPr fontId="1" type="noConversion"/>
  </si>
  <si>
    <t>Power source</t>
    <phoneticPr fontId="1" type="noConversion"/>
  </si>
  <si>
    <t>AC220V</t>
    <phoneticPr fontId="1" type="noConversion"/>
  </si>
  <si>
    <t>From Yard</t>
    <phoneticPr fontId="1" type="noConversion"/>
  </si>
  <si>
    <t>1X2</t>
    <phoneticPr fontId="1" type="noConversion"/>
  </si>
  <si>
    <t>2X1</t>
    <phoneticPr fontId="1" type="noConversion"/>
  </si>
  <si>
    <t>Common internal power supply 1</t>
    <phoneticPr fontId="1" type="noConversion"/>
  </si>
  <si>
    <t>2X2</t>
    <phoneticPr fontId="1" type="noConversion"/>
  </si>
  <si>
    <t>Common internal power supply 2</t>
    <phoneticPr fontId="1" type="noConversion"/>
  </si>
  <si>
    <t>2X3</t>
    <phoneticPr fontId="1" type="noConversion"/>
  </si>
  <si>
    <t>Common internal wiring</t>
    <phoneticPr fontId="1" type="noConversion"/>
  </si>
  <si>
    <t>Em'cy stop</t>
    <phoneticPr fontId="1" type="noConversion"/>
  </si>
  <si>
    <t>From yard</t>
    <phoneticPr fontId="1" type="noConversion"/>
  </si>
  <si>
    <t>4X#</t>
    <phoneticPr fontId="1" type="noConversion"/>
  </si>
  <si>
    <t>Sol.VV</t>
    <phoneticPr fontId="1" type="noConversion"/>
  </si>
  <si>
    <t>0Y1</t>
    <phoneticPr fontId="1" type="noConversion"/>
  </si>
  <si>
    <t>0Y2</t>
    <phoneticPr fontId="1" type="noConversion"/>
  </si>
  <si>
    <t>From yard/engine</t>
    <phoneticPr fontId="1" type="noConversion"/>
  </si>
  <si>
    <t>Front door → IO module</t>
    <phoneticPr fontId="1" type="noConversion"/>
  </si>
  <si>
    <t>1C1</t>
    <phoneticPr fontId="1" type="noConversion"/>
  </si>
  <si>
    <t>F.O. Supply unit &amp; starter</t>
    <phoneticPr fontId="1" type="noConversion"/>
  </si>
  <si>
    <t>1=Run</t>
    <phoneticPr fontId="1" type="noConversion"/>
  </si>
  <si>
    <t>MCCB</t>
    <phoneticPr fontId="1" type="noConversion"/>
  </si>
  <si>
    <t>Fuse</t>
    <phoneticPr fontId="1" type="noConversion"/>
  </si>
  <si>
    <t>NO</t>
    <phoneticPr fontId="1" type="noConversion"/>
  </si>
  <si>
    <t>Power</t>
    <phoneticPr fontId="3" type="noConversion"/>
  </si>
  <si>
    <t>F.O. Supply pump Auto mode</t>
    <phoneticPr fontId="3" type="noConversion"/>
  </si>
  <si>
    <t>1=Auto</t>
    <phoneticPr fontId="3" type="noConversion"/>
  </si>
  <si>
    <t>MOC00-370</t>
    <phoneticPr fontId="3" type="noConversion"/>
  </si>
  <si>
    <t>Alarm Reset</t>
    <phoneticPr fontId="3" type="noConversion"/>
  </si>
  <si>
    <t>1=Reset</t>
    <phoneticPr fontId="3" type="noConversion"/>
  </si>
  <si>
    <t>6</t>
    <phoneticPr fontId="1" type="noConversion"/>
  </si>
  <si>
    <t>7</t>
    <phoneticPr fontId="1" type="noConversion"/>
  </si>
  <si>
    <t>8</t>
    <phoneticPr fontId="1" type="noConversion"/>
  </si>
  <si>
    <t>MOC11-800</t>
    <phoneticPr fontId="3" type="noConversion"/>
  </si>
  <si>
    <t>Internal relay → Yard</t>
    <phoneticPr fontId="3" type="noConversion"/>
  </si>
  <si>
    <t>No.1 F.O. Supply
pump starter panel</t>
    <phoneticPr fontId="3" type="noConversion"/>
  </si>
  <si>
    <t>FSP00-201</t>
    <phoneticPr fontId="3" type="noConversion"/>
  </si>
  <si>
    <t>No.1 F.O. Supply pump Remote</t>
    <phoneticPr fontId="3" type="noConversion"/>
  </si>
  <si>
    <t>No.1 F.O. Supply pump starter → MOCS control unit</t>
    <phoneticPr fontId="3" type="noConversion"/>
  </si>
  <si>
    <t>FSP00-301</t>
    <phoneticPr fontId="3" type="noConversion"/>
  </si>
  <si>
    <t>13</t>
    <phoneticPr fontId="1" type="noConversion"/>
  </si>
  <si>
    <t>14</t>
    <phoneticPr fontId="1" type="noConversion"/>
  </si>
  <si>
    <t>No.1 F.O. Supply pump Abnormal</t>
    <phoneticPr fontId="3" type="noConversion"/>
  </si>
  <si>
    <t>0=Abnormal</t>
    <phoneticPr fontId="3" type="noConversion"/>
  </si>
  <si>
    <t>FSP00-221</t>
    <phoneticPr fontId="3" type="noConversion"/>
  </si>
  <si>
    <t>15</t>
    <phoneticPr fontId="1" type="noConversion"/>
  </si>
  <si>
    <t>No.1 F.O. Supply pump Running</t>
    <phoneticPr fontId="3" type="noConversion"/>
  </si>
  <si>
    <t>No.2 F.O. Supply
pump starter panel</t>
    <phoneticPr fontId="3" type="noConversion"/>
  </si>
  <si>
    <t>FSP00-202</t>
    <phoneticPr fontId="3" type="noConversion"/>
  </si>
  <si>
    <t>21</t>
    <phoneticPr fontId="1" type="noConversion"/>
  </si>
  <si>
    <t>22</t>
    <phoneticPr fontId="1" type="noConversion"/>
  </si>
  <si>
    <t>No.2 F.O. Supply pump Remote</t>
    <phoneticPr fontId="3" type="noConversion"/>
  </si>
  <si>
    <t>No.2 F.O. Supply pump starter → MOCS control unit</t>
    <phoneticPr fontId="3" type="noConversion"/>
  </si>
  <si>
    <t>FSP00-302</t>
    <phoneticPr fontId="3" type="noConversion"/>
  </si>
  <si>
    <t>23</t>
    <phoneticPr fontId="1" type="noConversion"/>
  </si>
  <si>
    <t>No.2 F.O. Supply pump Abnormal</t>
    <phoneticPr fontId="3" type="noConversion"/>
  </si>
  <si>
    <t>FSP00-222</t>
    <phoneticPr fontId="3" type="noConversion"/>
  </si>
  <si>
    <t>No.2 F.O. Supply pump Running</t>
    <phoneticPr fontId="3" type="noConversion"/>
  </si>
  <si>
    <t>MOC11-331</t>
    <phoneticPr fontId="3" type="noConversion"/>
  </si>
  <si>
    <t>2X2</t>
    <phoneticPr fontId="3" type="noConversion"/>
  </si>
  <si>
    <r>
      <t xml:space="preserve">MOCS control unit </t>
    </r>
    <r>
      <rPr>
        <sz val="12"/>
        <rFont val="맑은 고딕"/>
        <family val="3"/>
        <charset val="129"/>
      </rPr>
      <t>→</t>
    </r>
    <r>
      <rPr>
        <sz val="12"/>
        <rFont val="Arial"/>
        <family val="2"/>
      </rPr>
      <t xml:space="preserve"> Yard</t>
    </r>
    <phoneticPr fontId="3" type="noConversion"/>
  </si>
  <si>
    <t>MOC01-381</t>
    <phoneticPr fontId="3" type="noConversion"/>
  </si>
  <si>
    <t>9</t>
    <phoneticPr fontId="1" type="noConversion"/>
  </si>
  <si>
    <t>MOCS common alarm lamp</t>
    <phoneticPr fontId="3" type="noConversion"/>
  </si>
  <si>
    <t>1=Lamp on</t>
    <phoneticPr fontId="3" type="noConversion"/>
  </si>
  <si>
    <t>MOC01-390</t>
    <phoneticPr fontId="3" type="noConversion"/>
  </si>
  <si>
    <t>MOCS common alarm buzzer</t>
    <phoneticPr fontId="3" type="noConversion"/>
  </si>
  <si>
    <t>1=Buzzer on</t>
    <phoneticPr fontId="3" type="noConversion"/>
  </si>
  <si>
    <t>FSP01-111</t>
    <phoneticPr fontId="3" type="noConversion"/>
  </si>
  <si>
    <t>17</t>
    <phoneticPr fontId="1" type="noConversion"/>
  </si>
  <si>
    <t>18</t>
    <phoneticPr fontId="1" type="noConversion"/>
  </si>
  <si>
    <t>No.1 F.O. Supply pump Run Command</t>
    <phoneticPr fontId="3" type="noConversion"/>
  </si>
  <si>
    <r>
      <t xml:space="preserve">MOCS control unit </t>
    </r>
    <r>
      <rPr>
        <sz val="12"/>
        <rFont val="맑은 고딕"/>
        <family val="3"/>
        <charset val="129"/>
      </rPr>
      <t>→</t>
    </r>
    <r>
      <rPr>
        <sz val="12"/>
        <rFont val="Arial"/>
        <family val="2"/>
      </rPr>
      <t xml:space="preserve"> No.1 F.O. Supply pump starter</t>
    </r>
    <phoneticPr fontId="3" type="noConversion"/>
  </si>
  <si>
    <t>FSP01-112</t>
    <phoneticPr fontId="3" type="noConversion"/>
  </si>
  <si>
    <t>No.2 F.O. Supply pump Run Command</t>
    <phoneticPr fontId="3" type="noConversion"/>
  </si>
  <si>
    <r>
      <t xml:space="preserve">MOCS control unit </t>
    </r>
    <r>
      <rPr>
        <sz val="12"/>
        <rFont val="맑은 고딕"/>
        <family val="3"/>
        <charset val="129"/>
      </rPr>
      <t>→</t>
    </r>
    <r>
      <rPr>
        <sz val="12"/>
        <rFont val="Arial"/>
        <family val="2"/>
      </rPr>
      <t xml:space="preserve"> No.2 F.O. Supply pump starter</t>
    </r>
    <phoneticPr fontId="3" type="noConversion"/>
  </si>
  <si>
    <t>F.O. Supply unit</t>
    <phoneticPr fontId="3" type="noConversion"/>
  </si>
  <si>
    <t>PT102040</t>
    <phoneticPr fontId="3" type="noConversion"/>
  </si>
  <si>
    <t>4-20mA</t>
    <phoneticPr fontId="1" type="noConversion"/>
  </si>
  <si>
    <t>-0.2</t>
    <phoneticPr fontId="3" type="noConversion"/>
  </si>
  <si>
    <r>
      <t xml:space="preserve">F.O. Supply unit </t>
    </r>
    <r>
      <rPr>
        <sz val="12"/>
        <rFont val="맑은 고딕"/>
        <family val="3"/>
        <charset val="129"/>
      </rPr>
      <t>→</t>
    </r>
    <r>
      <rPr>
        <sz val="12"/>
        <rFont val="Arial"/>
        <family val="2"/>
      </rPr>
      <t xml:space="preserve"> MOCS control unit</t>
    </r>
    <phoneticPr fontId="3" type="noConversion"/>
  </si>
  <si>
    <t>PT102041</t>
    <phoneticPr fontId="3" type="noConversion"/>
  </si>
  <si>
    <t>RS485</t>
    <phoneticPr fontId="3" type="noConversion"/>
  </si>
  <si>
    <t>SCR-AMS Modbus RTU
(Serial communication)</t>
    <phoneticPr fontId="3" type="noConversion"/>
  </si>
  <si>
    <r>
      <t xml:space="preserve">SCR control unit </t>
    </r>
    <r>
      <rPr>
        <sz val="12"/>
        <rFont val="Arial"/>
        <family val="2"/>
      </rPr>
      <t>↔</t>
    </r>
    <r>
      <rPr>
        <sz val="12"/>
        <rFont val="Arial"/>
        <family val="2"/>
      </rPr>
      <t xml:space="preserve"> Yard</t>
    </r>
    <phoneticPr fontId="3" type="noConversion"/>
  </si>
  <si>
    <t>Contact</t>
    <phoneticPr fontId="3" type="noConversion"/>
  </si>
  <si>
    <t>A2</t>
    <phoneticPr fontId="1" type="noConversion"/>
  </si>
  <si>
    <t>GND</t>
    <phoneticPr fontId="1" type="noConversion"/>
  </si>
  <si>
    <t>A1</t>
    <phoneticPr fontId="1" type="noConversion"/>
  </si>
  <si>
    <t>3X#</t>
    <phoneticPr fontId="1" type="noConversion"/>
  </si>
  <si>
    <t>Internal connection</t>
    <phoneticPr fontId="1" type="noConversion"/>
  </si>
  <si>
    <t>Front door → MOCS control unit(Internal relay)</t>
    <phoneticPr fontId="1" type="noConversion"/>
  </si>
  <si>
    <t>Yard interface</t>
    <phoneticPr fontId="1" type="noConversion"/>
  </si>
  <si>
    <t>Yard → MOCS control unit(Internal relay)</t>
    <phoneticPr fontId="1" type="noConversion"/>
  </si>
  <si>
    <t>F.O. Dosing unit</t>
    <phoneticPr fontId="1" type="noConversion"/>
  </si>
  <si>
    <r>
      <t>0 = 60</t>
    </r>
    <r>
      <rPr>
        <sz val="12"/>
        <rFont val="Segoe UI Symbol"/>
        <family val="1"/>
      </rPr>
      <t>℃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이상</t>
    </r>
    <phoneticPr fontId="1" type="noConversion"/>
  </si>
  <si>
    <t>1= Close</t>
    <phoneticPr fontId="1" type="noConversion"/>
  </si>
  <si>
    <t>Venting&amp;Sealing unit</t>
    <phoneticPr fontId="1" type="noConversion"/>
  </si>
  <si>
    <t>미적용</t>
    <phoneticPr fontId="1" type="noConversion"/>
  </si>
  <si>
    <r>
      <t>Yard interface</t>
    </r>
    <r>
      <rPr>
        <sz val="11"/>
        <rFont val="Arial Unicode MS"/>
        <family val="2"/>
        <charset val="129"/>
      </rPr>
      <t>로 적용</t>
    </r>
    <phoneticPr fontId="1" type="noConversion"/>
  </si>
  <si>
    <r>
      <t xml:space="preserve">- </t>
    </r>
    <r>
      <rPr>
        <sz val="12"/>
        <rFont val="Arial Unicode MS"/>
        <family val="2"/>
        <charset val="129"/>
      </rPr>
      <t xml:space="preserve">제어 관련: </t>
    </r>
    <r>
      <rPr>
        <sz val="12"/>
        <rFont val="Arial"/>
        <family val="2"/>
      </rPr>
      <t>Hard-wiring</t>
    </r>
    <phoneticPr fontId="1" type="noConversion"/>
  </si>
  <si>
    <r>
      <t xml:space="preserve">- </t>
    </r>
    <r>
      <rPr>
        <sz val="12"/>
        <rFont val="Arial Unicode MS"/>
        <family val="2"/>
        <charset val="129"/>
      </rPr>
      <t>모니터링 관련: 통신</t>
    </r>
    <phoneticPr fontId="1" type="noConversion"/>
  </si>
  <si>
    <t>Main power</t>
    <phoneticPr fontId="3" type="noConversion"/>
  </si>
  <si>
    <t>Monitor power</t>
    <phoneticPr fontId="1" type="noConversion"/>
  </si>
  <si>
    <t>External T/B</t>
    <phoneticPr fontId="3" type="noConversion"/>
  </si>
  <si>
    <t>Power T/B</t>
    <phoneticPr fontId="3" type="noConversion"/>
  </si>
  <si>
    <t>Internal power T/B</t>
    <phoneticPr fontId="3" type="noConversion"/>
  </si>
  <si>
    <t>100</t>
    <phoneticPr fontId="3" type="noConversion"/>
  </si>
  <si>
    <t>mbar</t>
    <phoneticPr fontId="3" type="noConversion"/>
  </si>
  <si>
    <t>20</t>
    <phoneticPr fontId="3" type="noConversion"/>
  </si>
  <si>
    <t>24</t>
    <phoneticPr fontId="3" type="noConversion"/>
  </si>
  <si>
    <t>60</t>
    <phoneticPr fontId="3" type="noConversion"/>
  </si>
  <si>
    <t>50</t>
    <phoneticPr fontId="3" type="noConversion"/>
  </si>
  <si>
    <t>70</t>
    <phoneticPr fontId="3" type="noConversion"/>
  </si>
  <si>
    <t>600</t>
    <phoneticPr fontId="3" type="noConversion"/>
  </si>
  <si>
    <t>°C</t>
    <phoneticPr fontId="3" type="noConversion"/>
  </si>
  <si>
    <t>800</t>
    <phoneticPr fontId="3" type="noConversion"/>
  </si>
  <si>
    <t>280</t>
    <phoneticPr fontId="3" type="noConversion"/>
  </si>
  <si>
    <t>290</t>
    <phoneticPr fontId="3" type="noConversion"/>
  </si>
  <si>
    <t>480</t>
    <phoneticPr fontId="3" type="noConversion"/>
  </si>
  <si>
    <t>500</t>
    <phoneticPr fontId="3" type="noConversion"/>
  </si>
  <si>
    <t>520</t>
    <phoneticPr fontId="3" type="noConversion"/>
  </si>
  <si>
    <t>580</t>
    <phoneticPr fontId="3" type="noConversion"/>
  </si>
  <si>
    <t>%</t>
    <phoneticPr fontId="3" type="noConversion"/>
  </si>
  <si>
    <t>L/h</t>
    <phoneticPr fontId="3" type="noConversion"/>
  </si>
  <si>
    <t>Ref x 155%</t>
    <phoneticPr fontId="3" type="noConversion"/>
  </si>
  <si>
    <t>Ref x 160%</t>
    <phoneticPr fontId="3" type="noConversion"/>
  </si>
  <si>
    <t>1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</si>
  <si>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</si>
  <si>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</si>
  <si>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</si>
  <si>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11</t>
    <phoneticPr fontId="3" type="noConversion"/>
  </si>
  <si>
    <t>12</t>
    <phoneticPr fontId="3" type="noConversion"/>
  </si>
  <si>
    <t>13</t>
    <phoneticPr fontId="3" type="noConversion"/>
  </si>
  <si>
    <t>14</t>
    <phoneticPr fontId="3" type="noConversion"/>
  </si>
  <si>
    <t>15</t>
    <phoneticPr fontId="3" type="noConversion"/>
  </si>
  <si>
    <t>100mA</t>
    <phoneticPr fontId="3" type="noConversion"/>
  </si>
  <si>
    <t>23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</si>
  <si>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</si>
  <si>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</si>
  <si>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</si>
  <si>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21</t>
    <phoneticPr fontId="3" type="noConversion"/>
  </si>
  <si>
    <t>22</t>
    <phoneticPr fontId="3" type="noConversion"/>
  </si>
  <si>
    <t>25</t>
    <phoneticPr fontId="3" type="noConversion"/>
  </si>
  <si>
    <t>26</t>
    <phoneticPr fontId="3" type="noConversion"/>
  </si>
  <si>
    <t>27</t>
    <phoneticPr fontId="3" type="noConversion"/>
  </si>
  <si>
    <t>28</t>
    <phoneticPr fontId="3" type="noConversion"/>
  </si>
  <si>
    <t>29</t>
    <phoneticPr fontId="3" type="noConversion"/>
  </si>
  <si>
    <t>30</t>
    <phoneticPr fontId="3" type="noConversion"/>
  </si>
  <si>
    <t>No.# MOCS power supply</t>
    <phoneticPr fontId="1" type="noConversion"/>
  </si>
  <si>
    <t>5X#</t>
  </si>
  <si>
    <t>No.# MOCS internal wiring 1</t>
    <phoneticPr fontId="1" type="noConversion"/>
  </si>
  <si>
    <t>6X#</t>
  </si>
  <si>
    <t>No.# MOCS internal wiring 2</t>
  </si>
  <si>
    <t>7X#</t>
  </si>
  <si>
    <t>No.# MOCS internal wiring 3</t>
  </si>
  <si>
    <t>8X#</t>
  </si>
  <si>
    <t>No.# MOCS internal wiring 4</t>
  </si>
  <si>
    <t>No.# Yard interface</t>
    <phoneticPr fontId="1" type="noConversion"/>
  </si>
  <si>
    <t>No.# F.O. Dosing unit</t>
    <phoneticPr fontId="1" type="noConversion"/>
  </si>
  <si>
    <t>No.# RSV</t>
    <phoneticPr fontId="1" type="noConversion"/>
  </si>
  <si>
    <t>No.# RBV</t>
    <phoneticPr fontId="1" type="noConversion"/>
  </si>
  <si>
    <t>No.# RTV</t>
    <phoneticPr fontId="1" type="noConversion"/>
  </si>
  <si>
    <t>No.# Venting&amp;Sealing unit</t>
    <phoneticPr fontId="1" type="noConversion"/>
  </si>
  <si>
    <t>1CDI1</t>
  </si>
  <si>
    <t>1CDI1</t>
    <phoneticPr fontId="1" type="noConversion"/>
  </si>
  <si>
    <t>1CDO1</t>
  </si>
  <si>
    <t>1CDO1</t>
    <phoneticPr fontId="1" type="noConversion"/>
  </si>
  <si>
    <t>1CAI1</t>
  </si>
  <si>
    <t>1CAI1</t>
    <phoneticPr fontId="1" type="noConversion"/>
  </si>
  <si>
    <t>Model</t>
    <phoneticPr fontId="1" type="noConversion"/>
  </si>
  <si>
    <t>Length</t>
    <phoneticPr fontId="1" type="noConversion"/>
  </si>
  <si>
    <t>Power consumption</t>
    <phoneticPr fontId="1" type="noConversion"/>
  </si>
  <si>
    <t>2. 1 Door arrangement</t>
    <phoneticPr fontId="1" type="noConversion"/>
  </si>
  <si>
    <t>Bus</t>
    <phoneticPr fontId="1" type="noConversion"/>
  </si>
  <si>
    <t>IO</t>
    <phoneticPr fontId="1" type="noConversion"/>
  </si>
  <si>
    <t>1) Total width</t>
    <phoneticPr fontId="1" type="noConversion"/>
  </si>
  <si>
    <t>CPU</t>
    <phoneticPr fontId="1" type="noConversion"/>
  </si>
  <si>
    <t>2) Cable tray &amp; Others width</t>
    <phoneticPr fontId="1" type="noConversion"/>
  </si>
  <si>
    <t>3) Module width</t>
    <phoneticPr fontId="1" type="noConversion"/>
  </si>
  <si>
    <t>Power</t>
    <phoneticPr fontId="1" type="noConversion"/>
  </si>
  <si>
    <t>1st layer width</t>
    <phoneticPr fontId="1" type="noConversion"/>
  </si>
  <si>
    <t>2nd layer width</t>
    <phoneticPr fontId="1" type="noConversion"/>
  </si>
  <si>
    <t>(Max. 500)</t>
    <phoneticPr fontId="1" type="noConversion"/>
  </si>
  <si>
    <t>Controller</t>
    <phoneticPr fontId="1" type="noConversion"/>
  </si>
  <si>
    <t>Tag</t>
    <phoneticPr fontId="1" type="noConversion"/>
  </si>
  <si>
    <t>Remained power</t>
    <phoneticPr fontId="1" type="noConversion"/>
  </si>
  <si>
    <t>X20PS9400</t>
    <phoneticPr fontId="1" type="noConversion"/>
  </si>
  <si>
    <t>X20CS1030</t>
    <phoneticPr fontId="1" type="noConversion"/>
  </si>
  <si>
    <t>RS485</t>
    <phoneticPr fontId="1" type="noConversion"/>
  </si>
  <si>
    <t>X20PS9400</t>
  </si>
  <si>
    <t>X20DIF371</t>
  </si>
  <si>
    <t>X20CS1030</t>
  </si>
  <si>
    <t>X20DOF322</t>
  </si>
  <si>
    <t>X20DIF371</t>
    <phoneticPr fontId="1" type="noConversion"/>
  </si>
  <si>
    <t>X20DOF322</t>
    <phoneticPr fontId="1" type="noConversion"/>
  </si>
  <si>
    <t>X20AI8321</t>
  </si>
  <si>
    <t>X20AI8321</t>
    <phoneticPr fontId="1" type="noConversion"/>
  </si>
  <si>
    <t>X20AO4622</t>
    <phoneticPr fontId="1" type="noConversion"/>
  </si>
  <si>
    <t>X20AO4622</t>
  </si>
  <si>
    <t>Internal power Fail</t>
    <phoneticPr fontId="1" type="noConversion"/>
  </si>
  <si>
    <t>PLC power Fail</t>
    <phoneticPr fontId="1" type="noConversion"/>
  </si>
  <si>
    <t>External power Fail</t>
    <phoneticPr fontId="1" type="noConversion"/>
  </si>
  <si>
    <t>Fan power Fail</t>
    <phoneticPr fontId="1" type="noConversion"/>
  </si>
  <si>
    <t>ESD circuit power Fail</t>
    <phoneticPr fontId="1" type="noConversion"/>
  </si>
  <si>
    <t>Internal → IO module</t>
    <phoneticPr fontId="1" type="noConversion"/>
  </si>
  <si>
    <t>0=Fail</t>
    <phoneticPr fontId="1" type="noConversion"/>
  </si>
  <si>
    <t>MOC00-801</t>
    <phoneticPr fontId="1" type="noConversion"/>
  </si>
  <si>
    <t>MOC00-802</t>
    <phoneticPr fontId="1" type="noConversion"/>
  </si>
  <si>
    <t>MOC00-803</t>
  </si>
  <si>
    <t>MOC00-804</t>
  </si>
  <si>
    <t>MOC00-805</t>
  </si>
  <si>
    <t>MOC00-806</t>
  </si>
  <si>
    <t>No.# MOCS Remote/Local</t>
  </si>
  <si>
    <t>No.# MOCS Remote/Local</t>
    <phoneticPr fontId="1" type="noConversion"/>
  </si>
  <si>
    <t>Front door</t>
    <phoneticPr fontId="1" type="noConversion"/>
  </si>
  <si>
    <t>MOC00-20#</t>
    <phoneticPr fontId="1" type="noConversion"/>
  </si>
  <si>
    <t>MOC00-91#P</t>
    <phoneticPr fontId="1" type="noConversion"/>
  </si>
  <si>
    <t>MOC00-91#E</t>
    <phoneticPr fontId="1" type="noConversion"/>
  </si>
  <si>
    <t>MOC00-91#B</t>
    <phoneticPr fontId="1" type="noConversion"/>
  </si>
  <si>
    <t>No.# MOCS  Em'cy stop (From panel)</t>
    <phoneticPr fontId="1" type="noConversion"/>
  </si>
  <si>
    <t>No.# MOCS  Em'cy stop (From ECR)</t>
    <phoneticPr fontId="1" type="noConversion"/>
  </si>
  <si>
    <t>No.# MOCS  Em'cy stop (From Bridge)</t>
    <phoneticPr fontId="1" type="noConversion"/>
  </si>
  <si>
    <t>MOC00-200</t>
    <phoneticPr fontId="1" type="noConversion"/>
  </si>
  <si>
    <t>Main power Fail</t>
    <phoneticPr fontId="1" type="noConversion"/>
  </si>
  <si>
    <t>Internal relay</t>
    <phoneticPr fontId="1" type="noConversion"/>
  </si>
  <si>
    <t>MOC11-20#</t>
    <phoneticPr fontId="1" type="noConversion"/>
  </si>
  <si>
    <t>BV11-22#</t>
    <phoneticPr fontId="1" type="noConversion"/>
  </si>
  <si>
    <t>MOC11-22#</t>
    <phoneticPr fontId="1" type="noConversion"/>
  </si>
  <si>
    <t>No.# MOCS Ready</t>
  </si>
  <si>
    <t>No.# MOCS Ready</t>
    <phoneticPr fontId="1" type="noConversion"/>
  </si>
  <si>
    <t>No.# All Flow Through MOCS</t>
    <phoneticPr fontId="1" type="noConversion"/>
  </si>
  <si>
    <t>No.# MOCS Active</t>
  </si>
  <si>
    <t>No.# MOCS Active</t>
    <phoneticPr fontId="1" type="noConversion"/>
  </si>
  <si>
    <t>MOC11-50#</t>
    <phoneticPr fontId="1" type="noConversion"/>
  </si>
  <si>
    <t>No.# MOCS F.O. Dosing system Flush Run</t>
    <phoneticPr fontId="1" type="noConversion"/>
  </si>
  <si>
    <t>MOC10-11#</t>
    <phoneticPr fontId="1" type="noConversion"/>
  </si>
  <si>
    <t>BV10-11#</t>
    <phoneticPr fontId="1" type="noConversion"/>
  </si>
  <si>
    <t>MOC10-01#</t>
    <phoneticPr fontId="1" type="noConversion"/>
  </si>
  <si>
    <t>No.# MOCS Start</t>
  </si>
  <si>
    <t>No.# MOCS Start</t>
    <phoneticPr fontId="1" type="noConversion"/>
  </si>
  <si>
    <t>No.# MOCS Preparation</t>
  </si>
  <si>
    <t>No.# MOCS Preparation</t>
    <phoneticPr fontId="1" type="noConversion"/>
  </si>
  <si>
    <t>No.# MOCS Stop</t>
  </si>
  <si>
    <t>No.# MOCS Stop</t>
    <phoneticPr fontId="1" type="noConversion"/>
  </si>
  <si>
    <t>ENG10-70#</t>
    <phoneticPr fontId="1" type="noConversion"/>
  </si>
  <si>
    <t>No.# G/E Low Sulfur fuel supplied (S=0.1%)</t>
    <phoneticPr fontId="1" type="noConversion"/>
  </si>
  <si>
    <t>MOC11-331</t>
    <phoneticPr fontId="1" type="noConversion"/>
  </si>
  <si>
    <t>MOCS common Alarm</t>
    <phoneticPr fontId="1" type="noConversion"/>
  </si>
  <si>
    <t>F.O. Supply, Pump 1</t>
    <phoneticPr fontId="1" type="noConversion"/>
  </si>
  <si>
    <t>F.O. Supply, Pump 2</t>
    <phoneticPr fontId="1" type="noConversion"/>
  </si>
  <si>
    <t>F.O. Supply, inlet PT</t>
  </si>
  <si>
    <t>F.O. Supply, inlet PI</t>
    <phoneticPr fontId="1" type="noConversion"/>
  </si>
  <si>
    <t>F.O. Supply, outlet PT</t>
  </si>
  <si>
    <t>F.O. Supply, outlet PI</t>
    <phoneticPr fontId="1" type="noConversion"/>
  </si>
  <si>
    <t>No.1 F.O. Supply pump Run Command</t>
  </si>
  <si>
    <t>No.# F.O. Dosing Atomizing Air Sol. VV</t>
    <phoneticPr fontId="1" type="noConversion"/>
  </si>
  <si>
    <t>No.# F.O. Dosing Purging Air Sol. VV</t>
    <phoneticPr fontId="1" type="noConversion"/>
  </si>
  <si>
    <t>No.# F.O. Dosing Fuel Inlet Sol. VV</t>
    <phoneticPr fontId="1" type="noConversion"/>
  </si>
  <si>
    <t>No.# F.O. Dosing Fuel Outlet Sol. VV</t>
    <phoneticPr fontId="1" type="noConversion"/>
  </si>
  <si>
    <t>No.# F.O. Dosing Fuel Return Sol. VV</t>
    <phoneticPr fontId="1" type="noConversion"/>
  </si>
  <si>
    <t>No.# F.O. Dosing Atomizing Air Inlet Press</t>
    <phoneticPr fontId="1" type="noConversion"/>
  </si>
  <si>
    <t>No.# F.O. Dosing Fuel Inlet Temp</t>
    <phoneticPr fontId="1" type="noConversion"/>
  </si>
  <si>
    <t>No.# F.O. Dosing Atomizing Air Outlet Press</t>
    <phoneticPr fontId="1" type="noConversion"/>
  </si>
  <si>
    <t>No.# F.O. Dosing Atomizing Air Inlet PT</t>
    <phoneticPr fontId="1" type="noConversion"/>
  </si>
  <si>
    <t>No.# F.O. Dosing Atomizing Air Outlet PT</t>
    <phoneticPr fontId="1" type="noConversion"/>
  </si>
  <si>
    <t>No.# F.O. Dosing Atomizing Air Inlet PI</t>
    <phoneticPr fontId="1" type="noConversion"/>
  </si>
  <si>
    <t>No.# F.O. Dosing Atomizing Air Outlet PI</t>
    <phoneticPr fontId="1" type="noConversion"/>
  </si>
  <si>
    <t>No.# F.O. Dosing Fuel Inlet PT</t>
    <phoneticPr fontId="1" type="noConversion"/>
  </si>
  <si>
    <t>No.# F.O. Dosing Fuel Inlet PI</t>
    <phoneticPr fontId="1" type="noConversion"/>
  </si>
  <si>
    <t>No.# F.O. Dosing Fuel Flowrate (Feedback)</t>
    <phoneticPr fontId="1" type="noConversion"/>
  </si>
  <si>
    <t>No.# F.O. Dosing Fuel Flowrate (Power)</t>
    <phoneticPr fontId="1" type="noConversion"/>
  </si>
  <si>
    <t>No.# F.O. Dosing Fuel Control VV (Power)</t>
    <phoneticPr fontId="1" type="noConversion"/>
  </si>
  <si>
    <t>No.# F.O. Dosing Fuel Control VV (Setpoint)</t>
    <phoneticPr fontId="1" type="noConversion"/>
  </si>
  <si>
    <t>No.# F.O. Dosing Fuel Control VV (Feedback)</t>
    <phoneticPr fontId="1" type="noConversion"/>
  </si>
  <si>
    <t>No.# F.O. Dosing Fuel Outlet PT</t>
    <phoneticPr fontId="1" type="noConversion"/>
  </si>
  <si>
    <t>No.# F.O. Dosing Fuel Outlet PI</t>
    <phoneticPr fontId="1" type="noConversion"/>
  </si>
  <si>
    <t>No.# RTV Setpoint</t>
    <phoneticPr fontId="1" type="noConversion"/>
  </si>
  <si>
    <t>No.# RTV Feedback</t>
    <phoneticPr fontId="1" type="noConversion"/>
  </si>
  <si>
    <t>No.# RTV PDT</t>
    <phoneticPr fontId="1" type="noConversion"/>
  </si>
  <si>
    <t>No.# RBV PDT</t>
    <phoneticPr fontId="1" type="noConversion"/>
  </si>
  <si>
    <t>No.# RBV Setpoint</t>
    <phoneticPr fontId="1" type="noConversion"/>
  </si>
  <si>
    <t>No.# RBV Feedback(Open)</t>
    <phoneticPr fontId="1" type="noConversion"/>
  </si>
  <si>
    <t>No.# RBV Feedback(Closed)</t>
    <phoneticPr fontId="1" type="noConversion"/>
  </si>
  <si>
    <t>No.# RSV Setpoint</t>
    <phoneticPr fontId="1" type="noConversion"/>
  </si>
  <si>
    <t>No.# RSV Feedback(Open)</t>
    <phoneticPr fontId="1" type="noConversion"/>
  </si>
  <si>
    <t>No.# RSV Feedback(Closed)</t>
    <phoneticPr fontId="1" type="noConversion"/>
  </si>
  <si>
    <t>No.# Venting &amp; Sealing Sol. VV</t>
    <phoneticPr fontId="1" type="noConversion"/>
  </si>
  <si>
    <t>ZV103#01</t>
    <phoneticPr fontId="1" type="noConversion"/>
  </si>
  <si>
    <t>ZV103#02</t>
    <phoneticPr fontId="1" type="noConversion"/>
  </si>
  <si>
    <t>ZV103#03</t>
    <phoneticPr fontId="1" type="noConversion"/>
  </si>
  <si>
    <t>ZV103#04</t>
    <phoneticPr fontId="1" type="noConversion"/>
  </si>
  <si>
    <t>ZV103#05</t>
    <phoneticPr fontId="1" type="noConversion"/>
  </si>
  <si>
    <t>PT103#40</t>
    <phoneticPr fontId="1" type="noConversion"/>
  </si>
  <si>
    <t>PI103#40</t>
    <phoneticPr fontId="1" type="noConversion"/>
  </si>
  <si>
    <t>PT103#41</t>
    <phoneticPr fontId="1" type="noConversion"/>
  </si>
  <si>
    <t>PI103#41</t>
    <phoneticPr fontId="1" type="noConversion"/>
  </si>
  <si>
    <t>TS103#42</t>
    <phoneticPr fontId="1" type="noConversion"/>
  </si>
  <si>
    <t>PT103#43</t>
    <phoneticPr fontId="1" type="noConversion"/>
  </si>
  <si>
    <t>PI103#43</t>
    <phoneticPr fontId="1" type="noConversion"/>
  </si>
  <si>
    <t>PT103#44</t>
    <phoneticPr fontId="1" type="noConversion"/>
  </si>
  <si>
    <t>PI103#44</t>
    <phoneticPr fontId="1" type="noConversion"/>
  </si>
  <si>
    <t>FT103#45-1</t>
    <phoneticPr fontId="1" type="noConversion"/>
  </si>
  <si>
    <t>FT103#45-2</t>
    <phoneticPr fontId="1" type="noConversion"/>
  </si>
  <si>
    <t>XC103#46-1</t>
    <phoneticPr fontId="1" type="noConversion"/>
  </si>
  <si>
    <t>XC103#46-2</t>
    <phoneticPr fontId="1" type="noConversion"/>
  </si>
  <si>
    <t>XC103#46-3</t>
    <phoneticPr fontId="1" type="noConversion"/>
  </si>
  <si>
    <t>PT103#47</t>
    <phoneticPr fontId="1" type="noConversion"/>
  </si>
  <si>
    <t>PI103#47</t>
    <phoneticPr fontId="1" type="noConversion"/>
  </si>
  <si>
    <t>XC104#01-1</t>
    <phoneticPr fontId="1" type="noConversion"/>
  </si>
  <si>
    <t>XC104#01-2</t>
    <phoneticPr fontId="1" type="noConversion"/>
  </si>
  <si>
    <t>XC104#01-3</t>
    <phoneticPr fontId="1" type="noConversion"/>
  </si>
  <si>
    <t>XC104#02-1</t>
    <phoneticPr fontId="1" type="noConversion"/>
  </si>
  <si>
    <t>XC104#02-2</t>
    <phoneticPr fontId="1" type="noConversion"/>
  </si>
  <si>
    <t>XC104#02-3</t>
    <phoneticPr fontId="1" type="noConversion"/>
  </si>
  <si>
    <t>PDT104#41</t>
    <phoneticPr fontId="1" type="noConversion"/>
  </si>
  <si>
    <t>XC104#03-1</t>
    <phoneticPr fontId="1" type="noConversion"/>
  </si>
  <si>
    <t>XC104#03-2</t>
    <phoneticPr fontId="1" type="noConversion"/>
  </si>
  <si>
    <t>PDT104#42</t>
    <phoneticPr fontId="1" type="noConversion"/>
  </si>
  <si>
    <t>ZV105#01</t>
    <phoneticPr fontId="1" type="noConversion"/>
  </si>
  <si>
    <t>PT115#50</t>
    <phoneticPr fontId="1" type="noConversion"/>
  </si>
  <si>
    <t>No.# Venting &amp; Sealing unit Air Inlet Press</t>
    <phoneticPr fontId="1" type="noConversion"/>
  </si>
  <si>
    <t>TC106#40</t>
    <phoneticPr fontId="1" type="noConversion"/>
  </si>
  <si>
    <t>No.# Mixer Inlet Temp</t>
    <phoneticPr fontId="1" type="noConversion"/>
  </si>
  <si>
    <t>PDT107#43</t>
    <phoneticPr fontId="1" type="noConversion"/>
  </si>
  <si>
    <t>TC107#40</t>
    <phoneticPr fontId="1" type="noConversion"/>
  </si>
  <si>
    <t>TC107#41</t>
    <phoneticPr fontId="1" type="noConversion"/>
  </si>
  <si>
    <t>TC107#42</t>
    <phoneticPr fontId="1" type="noConversion"/>
  </si>
  <si>
    <t>No.# Chamber PDT</t>
    <phoneticPr fontId="1" type="noConversion"/>
  </si>
  <si>
    <t>No.# Chamber Outlet Temp</t>
    <phoneticPr fontId="1" type="noConversion"/>
  </si>
  <si>
    <t>No.# Chamber Inlet Temp</t>
    <phoneticPr fontId="1" type="noConversion"/>
  </si>
  <si>
    <t>No.# Chamber Middle Temp</t>
    <phoneticPr fontId="1" type="noConversion"/>
  </si>
  <si>
    <t>No.# F.O. Dosing Fuel Middle Press</t>
    <phoneticPr fontId="1" type="noConversion"/>
  </si>
  <si>
    <t>#DI1</t>
  </si>
  <si>
    <t>#DI1</t>
    <phoneticPr fontId="1" type="noConversion"/>
  </si>
  <si>
    <t>#DO1</t>
  </si>
  <si>
    <t>#DO1</t>
    <phoneticPr fontId="1" type="noConversion"/>
  </si>
  <si>
    <t>#AI1</t>
  </si>
  <si>
    <t>#AI1</t>
    <phoneticPr fontId="1" type="noConversion"/>
  </si>
  <si>
    <t>#AI2</t>
  </si>
  <si>
    <t>#AI2</t>
    <phoneticPr fontId="1" type="noConversion"/>
  </si>
  <si>
    <t>#AO1</t>
    <phoneticPr fontId="1" type="noConversion"/>
  </si>
  <si>
    <t>MOC00-200</t>
    <phoneticPr fontId="3" type="noConversion"/>
  </si>
  <si>
    <t>MOC00-803</t>
    <phoneticPr fontId="3" type="noConversion"/>
  </si>
  <si>
    <t>MOC00-804</t>
    <phoneticPr fontId="3" type="noConversion"/>
  </si>
  <si>
    <t>MOC00-805</t>
    <phoneticPr fontId="3" type="noConversion"/>
  </si>
  <si>
    <t>MOC00-806</t>
    <phoneticPr fontId="3" type="noConversion"/>
  </si>
  <si>
    <t>Internal power Fail</t>
    <phoneticPr fontId="3" type="noConversion"/>
  </si>
  <si>
    <t>External power Fail</t>
    <phoneticPr fontId="3" type="noConversion"/>
  </si>
  <si>
    <t>Fan power Fail</t>
    <phoneticPr fontId="3" type="noConversion"/>
  </si>
  <si>
    <t>ESD circuit power Fail</t>
    <phoneticPr fontId="3" type="noConversion"/>
  </si>
  <si>
    <t>통신 interface</t>
    <phoneticPr fontId="1" type="noConversion"/>
  </si>
  <si>
    <t>Common yard interface</t>
    <phoneticPr fontId="1" type="noConversion"/>
  </si>
  <si>
    <t>0Y1</t>
    <phoneticPr fontId="3" type="noConversion"/>
  </si>
  <si>
    <t>Common power supply</t>
    <phoneticPr fontId="1" type="noConversion"/>
  </si>
  <si>
    <t>CPU, Monitor, I/O card</t>
    <phoneticPr fontId="1" type="noConversion"/>
  </si>
  <si>
    <t>1X1: 1</t>
    <phoneticPr fontId="1" type="noConversion"/>
  </si>
  <si>
    <t>1X1: 2</t>
    <phoneticPr fontId="1" type="noConversion"/>
  </si>
  <si>
    <t>MOC10-91#P</t>
    <phoneticPr fontId="1" type="noConversion"/>
  </si>
  <si>
    <t>MOC10-91#E</t>
    <phoneticPr fontId="1" type="noConversion"/>
  </si>
  <si>
    <t>MOC10-91#B</t>
    <phoneticPr fontId="1" type="noConversion"/>
  </si>
  <si>
    <t>3X#</t>
  </si>
  <si>
    <t>1Y#</t>
  </si>
  <si>
    <t>2Y#</t>
  </si>
  <si>
    <t>3Y#</t>
  </si>
  <si>
    <t>4Y#</t>
  </si>
  <si>
    <t>5Y#</t>
  </si>
  <si>
    <t>6Y#</t>
  </si>
  <si>
    <t>7Y#</t>
  </si>
  <si>
    <t>1Y#</t>
    <phoneticPr fontId="1" type="noConversion"/>
  </si>
  <si>
    <t>2Y#</t>
    <phoneticPr fontId="1" type="noConversion"/>
  </si>
  <si>
    <t>3Y#</t>
    <phoneticPr fontId="1" type="noConversion"/>
  </si>
  <si>
    <t>4Y#</t>
    <phoneticPr fontId="1" type="noConversion"/>
  </si>
  <si>
    <t>5Y#</t>
    <phoneticPr fontId="1" type="noConversion"/>
  </si>
  <si>
    <t>6Y#</t>
    <phoneticPr fontId="1" type="noConversion"/>
  </si>
  <si>
    <t>7Y#</t>
    <phoneticPr fontId="1" type="noConversion"/>
  </si>
  <si>
    <t>4X#</t>
    <phoneticPr fontId="3" type="noConversion"/>
  </si>
  <si>
    <t>#AI3</t>
  </si>
  <si>
    <t>#AI3</t>
    <phoneticPr fontId="1" type="noConversion"/>
  </si>
  <si>
    <t>Front door → IO module</t>
    <phoneticPr fontId="3" type="noConversion"/>
  </si>
  <si>
    <t>3X#</t>
    <phoneticPr fontId="3" type="noConversion"/>
  </si>
  <si>
    <t>Internal relay → Circuit</t>
    <phoneticPr fontId="1" type="noConversion"/>
  </si>
  <si>
    <t>0=Forced open</t>
    <phoneticPr fontId="1" type="noConversion"/>
  </si>
  <si>
    <t>No.# RSV Forced open</t>
    <phoneticPr fontId="1" type="noConversion"/>
  </si>
  <si>
    <t>No.# RBV Forced open</t>
    <phoneticPr fontId="1" type="noConversion"/>
  </si>
  <si>
    <t>No.# RTV Forced open</t>
    <phoneticPr fontId="1" type="noConversion"/>
  </si>
  <si>
    <t>N/O</t>
    <phoneticPr fontId="3" type="noConversion"/>
  </si>
  <si>
    <t>EP#</t>
    <phoneticPr fontId="3" type="noConversion"/>
  </si>
  <si>
    <t>EE#</t>
    <phoneticPr fontId="3" type="noConversion"/>
  </si>
  <si>
    <t>EB#</t>
    <phoneticPr fontId="3" type="noConversion"/>
  </si>
  <si>
    <t>EV#</t>
    <phoneticPr fontId="3" type="noConversion"/>
  </si>
  <si>
    <t>-</t>
  </si>
  <si>
    <t>X20CP1686X</t>
  </si>
  <si>
    <t>X20CP1686X</t>
    <phoneticPr fontId="1" type="noConversion"/>
  </si>
  <si>
    <t>Power consumption (W)</t>
    <phoneticPr fontId="1" type="noConversion"/>
  </si>
  <si>
    <t>0AC808.9-1</t>
  </si>
  <si>
    <t>0AC808.9-1</t>
    <phoneticPr fontId="1" type="noConversion"/>
  </si>
  <si>
    <t>BC1</t>
    <phoneticPr fontId="1" type="noConversion"/>
  </si>
  <si>
    <t>1DI1</t>
    <phoneticPr fontId="1" type="noConversion"/>
  </si>
  <si>
    <t>1DO1</t>
    <phoneticPr fontId="1" type="noConversion"/>
  </si>
  <si>
    <t>1AI1</t>
    <phoneticPr fontId="1" type="noConversion"/>
  </si>
  <si>
    <t>1AI2</t>
    <phoneticPr fontId="1" type="noConversion"/>
  </si>
  <si>
    <t>1AI3</t>
    <phoneticPr fontId="1" type="noConversion"/>
  </si>
  <si>
    <t>1AO1</t>
    <phoneticPr fontId="1" type="noConversion"/>
  </si>
  <si>
    <t>2DI1</t>
    <phoneticPr fontId="1" type="noConversion"/>
  </si>
  <si>
    <t>2DO1</t>
    <phoneticPr fontId="1" type="noConversion"/>
  </si>
  <si>
    <t>2AI1</t>
    <phoneticPr fontId="1" type="noConversion"/>
  </si>
  <si>
    <t>2AI2</t>
    <phoneticPr fontId="1" type="noConversion"/>
  </si>
  <si>
    <t>2AI3</t>
    <phoneticPr fontId="1" type="noConversion"/>
  </si>
  <si>
    <t>2AO1</t>
    <phoneticPr fontId="1" type="noConversion"/>
  </si>
  <si>
    <t>3DI1</t>
    <phoneticPr fontId="1" type="noConversion"/>
  </si>
  <si>
    <t>3DO1</t>
    <phoneticPr fontId="1" type="noConversion"/>
  </si>
  <si>
    <t>3AI1</t>
    <phoneticPr fontId="1" type="noConversion"/>
  </si>
  <si>
    <t>3AI2</t>
    <phoneticPr fontId="1" type="noConversion"/>
  </si>
  <si>
    <t>3AI3</t>
    <phoneticPr fontId="1" type="noConversion"/>
  </si>
  <si>
    <t>3AO1</t>
    <phoneticPr fontId="1" type="noConversion"/>
  </si>
  <si>
    <t>BC2</t>
    <phoneticPr fontId="1" type="noConversion"/>
  </si>
  <si>
    <t>4DI1</t>
    <phoneticPr fontId="1" type="noConversion"/>
  </si>
  <si>
    <t>4DO1</t>
    <phoneticPr fontId="1" type="noConversion"/>
  </si>
  <si>
    <t>4AI1</t>
    <phoneticPr fontId="1" type="noConversion"/>
  </si>
  <si>
    <t>4AI2</t>
    <phoneticPr fontId="1" type="noConversion"/>
  </si>
  <si>
    <t>4AI3</t>
    <phoneticPr fontId="1" type="noConversion"/>
  </si>
  <si>
    <t>4AO1</t>
    <phoneticPr fontId="1" type="noConversion"/>
  </si>
  <si>
    <t>5DI1</t>
    <phoneticPr fontId="1" type="noConversion"/>
  </si>
  <si>
    <t>5DO1</t>
    <phoneticPr fontId="1" type="noConversion"/>
  </si>
  <si>
    <t>5AI1</t>
    <phoneticPr fontId="1" type="noConversion"/>
  </si>
  <si>
    <t>5AI2</t>
    <phoneticPr fontId="1" type="noConversion"/>
  </si>
  <si>
    <t>5AI3</t>
    <phoneticPr fontId="1" type="noConversion"/>
  </si>
  <si>
    <t>5AO1</t>
    <phoneticPr fontId="1" type="noConversion"/>
  </si>
  <si>
    <t>6DI1</t>
    <phoneticPr fontId="1" type="noConversion"/>
  </si>
  <si>
    <t>6DO1</t>
    <phoneticPr fontId="1" type="noConversion"/>
  </si>
  <si>
    <t>6AI1</t>
    <phoneticPr fontId="1" type="noConversion"/>
  </si>
  <si>
    <t>6AI2</t>
    <phoneticPr fontId="1" type="noConversion"/>
  </si>
  <si>
    <t>6AI3</t>
    <phoneticPr fontId="1" type="noConversion"/>
  </si>
  <si>
    <t>6AO1</t>
    <phoneticPr fontId="1" type="noConversion"/>
  </si>
  <si>
    <t>3. With FODS moduel arrangement</t>
    <phoneticPr fontId="1" type="noConversion"/>
  </si>
  <si>
    <t>3. Without FODS moduel arrangement</t>
    <phoneticPr fontId="1" type="noConversion"/>
  </si>
  <si>
    <t>PS1</t>
    <phoneticPr fontId="1" type="noConversion"/>
  </si>
  <si>
    <t>PS2</t>
    <phoneticPr fontId="1" type="noConversion"/>
  </si>
  <si>
    <t>PS3</t>
    <phoneticPr fontId="1" type="noConversion"/>
  </si>
  <si>
    <t>PS4</t>
    <phoneticPr fontId="1" type="noConversion"/>
  </si>
  <si>
    <t>X20BC0083</t>
  </si>
  <si>
    <t>X20BC0083</t>
    <phoneticPr fontId="1" type="noConversion"/>
  </si>
  <si>
    <t>with FODS</t>
    <phoneticPr fontId="1" type="noConversion"/>
  </si>
  <si>
    <t>필요 I/O 개수</t>
    <phoneticPr fontId="1" type="noConversion"/>
  </si>
  <si>
    <t>MOCS HW Configuration</t>
    <phoneticPr fontId="1" type="noConversion"/>
  </si>
  <si>
    <t>common(F.O. Supply Unit)</t>
    <phoneticPr fontId="1" type="noConversion"/>
  </si>
  <si>
    <t>모듈</t>
    <phoneticPr fontId="1" type="noConversion"/>
  </si>
  <si>
    <t>모델명</t>
    <phoneticPr fontId="1" type="noConversion"/>
  </si>
  <si>
    <t>No.# 기준 댓수</t>
    <phoneticPr fontId="1" type="noConversion"/>
  </si>
  <si>
    <t>총 필요 모듈 수
(Common+No.#)</t>
    <phoneticPr fontId="1" type="noConversion"/>
  </si>
  <si>
    <t>총 접점</t>
    <phoneticPr fontId="1" type="noConversion"/>
  </si>
  <si>
    <t>사용</t>
    <phoneticPr fontId="1" type="noConversion"/>
  </si>
  <si>
    <t>접점여분</t>
    <phoneticPr fontId="1" type="noConversion"/>
  </si>
  <si>
    <t>필요 모듈 수</t>
    <phoneticPr fontId="1" type="noConversion"/>
  </si>
  <si>
    <t>여분 모듈 수</t>
    <phoneticPr fontId="1" type="noConversion"/>
  </si>
  <si>
    <t>합계</t>
    <phoneticPr fontId="1" type="noConversion"/>
  </si>
  <si>
    <t xml:space="preserve">CPU </t>
    <phoneticPr fontId="1" type="noConversion"/>
  </si>
  <si>
    <t>1686x</t>
    <phoneticPr fontId="1" type="noConversion"/>
  </si>
  <si>
    <t>Serial Comm</t>
    <phoneticPr fontId="1" type="noConversion"/>
  </si>
  <si>
    <t>CS1030</t>
    <phoneticPr fontId="1" type="noConversion"/>
  </si>
  <si>
    <t>power supply</t>
    <phoneticPr fontId="1" type="noConversion"/>
  </si>
  <si>
    <t>PS9400</t>
    <phoneticPr fontId="1" type="noConversion"/>
  </si>
  <si>
    <t>buscontroller</t>
    <phoneticPr fontId="1" type="noConversion"/>
  </si>
  <si>
    <t>BC0083</t>
    <phoneticPr fontId="1" type="noConversion"/>
  </si>
  <si>
    <t>No.#(F.O Dosing Unit + Chamber Unit)</t>
    <phoneticPr fontId="1" type="noConversion"/>
  </si>
  <si>
    <t>Power Link Cable</t>
    <phoneticPr fontId="1" type="noConversion"/>
  </si>
  <si>
    <t>DIF371</t>
    <phoneticPr fontId="1" type="noConversion"/>
  </si>
  <si>
    <t>DOF322</t>
    <phoneticPr fontId="1" type="noConversion"/>
  </si>
  <si>
    <t>AI8321</t>
    <phoneticPr fontId="1" type="noConversion"/>
  </si>
  <si>
    <t>AO4622</t>
    <phoneticPr fontId="1" type="noConversion"/>
  </si>
  <si>
    <t>hub</t>
    <phoneticPr fontId="1" type="noConversion"/>
  </si>
  <si>
    <t>HMI</t>
    <phoneticPr fontId="1" type="noConversion"/>
  </si>
  <si>
    <t>Beijer HMI</t>
    <phoneticPr fontId="1" type="noConversion"/>
  </si>
  <si>
    <t>※ 개별에 AI 신호 여분이 1개로 추후 부족할 수 있으므로 여분으로 AI 모듈 추가.</t>
    <phoneticPr fontId="1" type="noConversion"/>
  </si>
  <si>
    <t>※ 총 필요 모듈은 MOCS 3개 기준(최대 8대까지 확장 가능)</t>
    <phoneticPr fontId="1" type="noConversion"/>
  </si>
  <si>
    <t>※Common은 공통 제어 부분으로 엔진 대수와 상관없이 1세트 필요함.</t>
    <phoneticPr fontId="1" type="noConversion"/>
  </si>
  <si>
    <t>without FODS</t>
    <phoneticPr fontId="1" type="noConversion"/>
  </si>
  <si>
    <t>FS1</t>
    <phoneticPr fontId="1" type="noConversion"/>
  </si>
  <si>
    <t>FS2</t>
    <phoneticPr fontId="1" type="noConversion"/>
  </si>
  <si>
    <t>1KC1</t>
    <phoneticPr fontId="1" type="noConversion"/>
  </si>
  <si>
    <t>1KC2</t>
    <phoneticPr fontId="1" type="noConversion"/>
  </si>
  <si>
    <t>F.O. Supply, Inlet Press</t>
    <phoneticPr fontId="3" type="noConversion"/>
  </si>
  <si>
    <t>F.O. Supply, Outlet Press</t>
    <phoneticPr fontId="3" type="noConversion"/>
  </si>
  <si>
    <t>No.# MOCS Em'cy stop From panel (To module)</t>
    <phoneticPr fontId="1" type="noConversion"/>
  </si>
  <si>
    <t>No.# MOCS Em'cy stop From ECR (To module)</t>
    <phoneticPr fontId="1" type="noConversion"/>
  </si>
  <si>
    <t>No.# MOCS Em'cy stop From Bridge (To module)</t>
    <phoneticPr fontId="1" type="noConversion"/>
  </si>
  <si>
    <t>9X#</t>
    <phoneticPr fontId="3" type="noConversion"/>
  </si>
  <si>
    <t>1KC3</t>
    <phoneticPr fontId="1" type="noConversion"/>
  </si>
  <si>
    <t>KE1</t>
    <phoneticPr fontId="1" type="noConversion"/>
  </si>
  <si>
    <t>MOCS Main power fail</t>
    <phoneticPr fontId="3" type="noConversion"/>
  </si>
  <si>
    <t>MOCS Common Alarm</t>
    <phoneticPr fontId="3" type="noConversion"/>
  </si>
  <si>
    <t>1Y#</t>
    <phoneticPr fontId="3" type="noConversion"/>
  </si>
  <si>
    <t>No.# MOCS Em'cy stop From panel</t>
    <phoneticPr fontId="1" type="noConversion"/>
  </si>
  <si>
    <t>No.# MOCS Em'cy stop From ECR</t>
    <phoneticPr fontId="1" type="noConversion"/>
  </si>
  <si>
    <t>No.# MOCS Em'cy stop From Bridge</t>
    <phoneticPr fontId="1" type="noConversion"/>
  </si>
  <si>
    <t>#KY1</t>
    <phoneticPr fontId="3" type="noConversion"/>
  </si>
  <si>
    <t>#KY2</t>
  </si>
  <si>
    <t>#KY3</t>
  </si>
  <si>
    <t>#KY4</t>
  </si>
  <si>
    <t>#KD1</t>
    <phoneticPr fontId="3" type="noConversion"/>
  </si>
  <si>
    <t>#KD3</t>
  </si>
  <si>
    <t>#KD5</t>
  </si>
  <si>
    <t>#KD2</t>
  </si>
  <si>
    <t>#KD4</t>
  </si>
  <si>
    <t>#KV1</t>
    <phoneticPr fontId="3" type="noConversion"/>
  </si>
  <si>
    <t>#KB1</t>
    <phoneticPr fontId="3" type="noConversion"/>
  </si>
  <si>
    <t>#KB2</t>
    <phoneticPr fontId="3" type="noConversion"/>
  </si>
  <si>
    <t>19</t>
    <phoneticPr fontId="1" type="noConversion"/>
  </si>
  <si>
    <t>#FD1</t>
    <phoneticPr fontId="3" type="noConversion"/>
  </si>
  <si>
    <t>#FD2</t>
  </si>
  <si>
    <t>#FD3</t>
  </si>
  <si>
    <t>#FD4</t>
  </si>
  <si>
    <t>#FD5</t>
  </si>
  <si>
    <t>#FD6</t>
  </si>
  <si>
    <t>#FB2</t>
    <phoneticPr fontId="3" type="noConversion"/>
  </si>
  <si>
    <t>#FB3</t>
    <phoneticPr fontId="3" type="noConversion"/>
  </si>
  <si>
    <t>#FV1</t>
    <phoneticPr fontId="3" type="noConversion"/>
  </si>
  <si>
    <t>#FO1</t>
    <phoneticPr fontId="3" type="noConversion"/>
  </si>
  <si>
    <t>#FO2</t>
  </si>
  <si>
    <t>#FO3</t>
  </si>
  <si>
    <t>#FO4</t>
  </si>
  <si>
    <t>#FO5</t>
  </si>
  <si>
    <t>No.# F.O. Dosing Fuel Oil Inlet Press</t>
    <phoneticPr fontId="1" type="noConversion"/>
  </si>
  <si>
    <t>No.# F.O. Dosing Fuel Oil Middle Press</t>
    <phoneticPr fontId="1" type="noConversion"/>
  </si>
  <si>
    <t>No.# F.O. Dosing Fuel Oil Flowrate (Feedback)</t>
    <phoneticPr fontId="1" type="noConversion"/>
  </si>
  <si>
    <t>No.# F.O. Dosing Fuel Oil Outlet Press</t>
    <phoneticPr fontId="1" type="noConversion"/>
  </si>
  <si>
    <t>No.# F.O. Dosing Fuel Oil Control VV (Setpoint)</t>
    <phoneticPr fontId="1" type="noConversion"/>
  </si>
  <si>
    <t>No.# F.O. Dosing Fuel Oil Inlet Temp</t>
    <phoneticPr fontId="1" type="noConversion"/>
  </si>
  <si>
    <t>No.# F.O. Dosing Fuel Oil Inlet Sol. VV</t>
    <phoneticPr fontId="1" type="noConversion"/>
  </si>
  <si>
    <t>No.# F.O. Dosing Fuel Oil Outlet Sol. VV</t>
    <phoneticPr fontId="1" type="noConversion"/>
  </si>
  <si>
    <t>No.# F.O. Dosing Fuel Oil Return Sol. VV</t>
    <phoneticPr fontId="1" type="noConversion"/>
  </si>
  <si>
    <t>No.# F.O. Dosing Fuel Oil Flowrate (Power)</t>
    <phoneticPr fontId="1" type="noConversion"/>
  </si>
  <si>
    <t>No.# F.O. Dosing Fuel Oil Control VV (Power)</t>
    <phoneticPr fontId="1" type="noConversion"/>
  </si>
  <si>
    <t>#FD7</t>
    <phoneticPr fontId="3" type="noConversion"/>
  </si>
  <si>
    <t>No.# Chamber Diff. Press</t>
    <phoneticPr fontId="1" type="noConversion"/>
  </si>
  <si>
    <t>No.# Venting &amp; Sealing Air Inlet Press</t>
    <phoneticPr fontId="1" type="noConversion"/>
  </si>
  <si>
    <t>XC104#04-1</t>
    <phoneticPr fontId="1" type="noConversion"/>
  </si>
  <si>
    <t>XC104#04-2</t>
    <phoneticPr fontId="1" type="noConversion"/>
  </si>
  <si>
    <t>XC104#04-3</t>
    <phoneticPr fontId="1" type="noConversion"/>
  </si>
  <si>
    <t>8Y#</t>
    <phoneticPr fontId="3" type="noConversion"/>
  </si>
  <si>
    <t>No.# SCR Valve Feedback(Open)</t>
    <phoneticPr fontId="1" type="noConversion"/>
  </si>
  <si>
    <t>No.# SCR Valve Setpoint</t>
    <phoneticPr fontId="1" type="noConversion"/>
  </si>
  <si>
    <t>SCR Valve</t>
    <phoneticPr fontId="1" type="noConversion"/>
  </si>
  <si>
    <t>#KB3</t>
    <phoneticPr fontId="3" type="noConversion"/>
  </si>
  <si>
    <t>No.# SCR Valve Feedback(Closed)</t>
    <phoneticPr fontId="1" type="noConversion"/>
  </si>
  <si>
    <t>No.# SCR Valve Forced open</t>
    <phoneticPr fontId="3" type="noConversion"/>
  </si>
  <si>
    <t>#FB4</t>
    <phoneticPr fontId="3" type="noConversion"/>
  </si>
  <si>
    <t>No.# RTV Diff. Press</t>
    <phoneticPr fontId="1" type="noConversion"/>
  </si>
  <si>
    <t>#AI2</t>
    <phoneticPr fontId="3" type="noConversion"/>
  </si>
  <si>
    <t>Ethernet hub power</t>
    <phoneticPr fontId="1" type="noConversion"/>
  </si>
  <si>
    <t>CPU power</t>
    <phoneticPr fontId="1" type="noConversion"/>
  </si>
  <si>
    <t>PS2 power</t>
    <phoneticPr fontId="1" type="noConversion"/>
  </si>
  <si>
    <t>PS3 power</t>
    <phoneticPr fontId="1" type="noConversion"/>
  </si>
  <si>
    <t>PS4 power</t>
    <phoneticPr fontId="1" type="noConversion"/>
  </si>
  <si>
    <t>PS3300</t>
    <phoneticPr fontId="1" type="noConversion"/>
  </si>
  <si>
    <t>※ power supply는 DO모듈 2대당 1대</t>
    <phoneticPr fontId="1" type="noConversion"/>
  </si>
  <si>
    <t>No.# MOCS Em'cy stop From ECR(To module)</t>
  </si>
  <si>
    <t>No.# MOCS Em'cy stop From Bridge(To module)</t>
  </si>
  <si>
    <t>Fuel mode(gas)</t>
  </si>
  <si>
    <t>MSS Run signal(active)</t>
  </si>
  <si>
    <t>Charge Air Pressure(PT21)</t>
  </si>
  <si>
    <t>No.# MOCS Em'cy stop From panel(To module)</t>
    <phoneticPr fontId="1" type="noConversion"/>
  </si>
  <si>
    <t>MOCS</t>
    <phoneticPr fontId="1" type="noConversion"/>
  </si>
  <si>
    <t>SCR</t>
    <phoneticPr fontId="1" type="noConversion"/>
  </si>
  <si>
    <t>CAT4VName</t>
    <phoneticPr fontId="1" type="noConversion"/>
  </si>
  <si>
    <t>Module</t>
  </si>
  <si>
    <t>Module</t>
    <phoneticPr fontId="1" type="noConversion"/>
  </si>
  <si>
    <t>CH</t>
  </si>
  <si>
    <t>P_terminal</t>
  </si>
  <si>
    <t>M_terminal</t>
  </si>
  <si>
    <t>TagNo</t>
  </si>
  <si>
    <t>IOType</t>
  </si>
  <si>
    <t>SignalType</t>
  </si>
  <si>
    <t>PSType</t>
  </si>
  <si>
    <t>SystemUnit</t>
  </si>
  <si>
    <t>Description</t>
  </si>
  <si>
    <t>Min</t>
  </si>
  <si>
    <t>Max</t>
  </si>
  <si>
    <t>Unit</t>
  </si>
  <si>
    <t>ConnectionPoint</t>
  </si>
  <si>
    <t>Remark</t>
  </si>
  <si>
    <t>string</t>
  </si>
  <si>
    <t>double</t>
  </si>
  <si>
    <t>categorical</t>
    <phoneticPr fontId="1" type="noConversion"/>
  </si>
  <si>
    <t>CAT3</t>
    <phoneticPr fontId="1" type="noConversion"/>
  </si>
  <si>
    <t>string</t>
    <phoneticPr fontId="1" type="noConversion"/>
  </si>
  <si>
    <t>double</t>
    <phoneticPr fontId="1" type="noConversion"/>
  </si>
  <si>
    <t>FSU11-110</t>
    <phoneticPr fontId="1" type="noConversion"/>
  </si>
  <si>
    <t>FSU11-300</t>
    <phoneticPr fontId="1" type="noConversion"/>
  </si>
  <si>
    <t>No.# Injection pipe Inlet Temp</t>
    <phoneticPr fontId="1" type="noConversion"/>
  </si>
  <si>
    <t>Injection pipe</t>
    <phoneticPr fontId="1" type="noConversion"/>
  </si>
  <si>
    <t>Chamber instrument panel</t>
  </si>
  <si>
    <t>No.# Injection pipe &amp; Chamber instrument panel</t>
    <phoneticPr fontId="1" type="noConversion"/>
  </si>
  <si>
    <t>No.# MOCS RSV Feedback(Open)</t>
    <phoneticPr fontId="1" type="noConversion"/>
  </si>
  <si>
    <t>No.# MOCS RSV Feedback(Closed)</t>
    <phoneticPr fontId="1" type="noConversion"/>
  </si>
  <si>
    <t>No.# MOCS RBV Feedback(Open)</t>
    <phoneticPr fontId="1" type="noConversion"/>
  </si>
  <si>
    <t>No.# MOCS RBV Feedback(Closed)</t>
    <phoneticPr fontId="1" type="noConversion"/>
  </si>
  <si>
    <t>SCR Inlet Valve → MOCS control unit</t>
    <phoneticPr fontId="1" type="noConversion"/>
  </si>
  <si>
    <t>MOCS F.O. Dosing unit → MOCS control unit</t>
    <phoneticPr fontId="1" type="noConversion"/>
  </si>
  <si>
    <t>No.# MOCS RSV Setpoint</t>
    <phoneticPr fontId="1" type="noConversion"/>
  </si>
  <si>
    <t>No.# MOCS RBV Setpoint</t>
    <phoneticPr fontId="1" type="noConversion"/>
  </si>
  <si>
    <t>No.# MOCS Venting &amp; Sealing Sol. VV</t>
    <phoneticPr fontId="1" type="noConversion"/>
  </si>
  <si>
    <t>MOCS control unit → SCR Inlet Valve</t>
    <phoneticPr fontId="1" type="noConversion"/>
  </si>
  <si>
    <t>MOCS control unit → MOCS Venting&amp;Sealing unit</t>
    <phoneticPr fontId="1" type="noConversion"/>
  </si>
  <si>
    <t>MOCS control unit → MOCS RBV</t>
    <phoneticPr fontId="1" type="noConversion"/>
  </si>
  <si>
    <t>MOCS control unit → MOCS RSV</t>
    <phoneticPr fontId="1" type="noConversion"/>
  </si>
  <si>
    <t>MOCS control unit → MOCS F.O. Dosing unit</t>
    <phoneticPr fontId="1" type="noConversion"/>
  </si>
  <si>
    <t>MOCS Injection pipe Inlet Temp → MOCS control unit</t>
    <phoneticPr fontId="1" type="noConversion"/>
  </si>
  <si>
    <t>MOCS Chamber Inlet Temp → MOCS Chamber instrument panel → MOCS control unit</t>
    <phoneticPr fontId="1" type="noConversion"/>
  </si>
  <si>
    <t>MOCS Chamber Diff. Press → MOCS Chamber instrument panel → MOCS control unit</t>
    <phoneticPr fontId="1" type="noConversion"/>
  </si>
  <si>
    <t>MOCS Venting&amp;Sealing unit → MOCS control unit</t>
    <phoneticPr fontId="1" type="noConversion"/>
  </si>
  <si>
    <t>MOCS RBV PDT → MOCS control unit</t>
    <phoneticPr fontId="1" type="noConversion"/>
  </si>
  <si>
    <t>MOCS RTV PDT → MOCS control unit</t>
    <phoneticPr fontId="1" type="noConversion"/>
  </si>
  <si>
    <t>MOCS RTV → MOCS control unit</t>
    <phoneticPr fontId="1" type="noConversion"/>
  </si>
  <si>
    <t>MOCS control unit → MOCS RTV</t>
    <phoneticPr fontId="1" type="noConversion"/>
  </si>
  <si>
    <t>No.# MOCS RTV Setpoint</t>
    <phoneticPr fontId="1" type="noConversion"/>
  </si>
  <si>
    <t>No.# MOCS Injection pipe Inlet Temp</t>
    <phoneticPr fontId="1" type="noConversion"/>
  </si>
  <si>
    <t>No.# MOCS Chamber Inlet Temp</t>
    <phoneticPr fontId="1" type="noConversion"/>
  </si>
  <si>
    <t>No.# MOCS Chamber Middle Temp</t>
    <phoneticPr fontId="1" type="noConversion"/>
  </si>
  <si>
    <t>No.# MOCS Chamber Outlet Temp</t>
    <phoneticPr fontId="1" type="noConversion"/>
  </si>
  <si>
    <t>No.# MOCS Chamber Diff. Press</t>
    <phoneticPr fontId="1" type="noConversion"/>
  </si>
  <si>
    <t>No.# MOCS Venting &amp; Sealing Air Inlet Press</t>
    <phoneticPr fontId="1" type="noConversion"/>
  </si>
  <si>
    <t>No.# MOCS RTV Feedback</t>
    <phoneticPr fontId="1" type="noConversion"/>
  </si>
  <si>
    <t>No.1 MOCS F.O. Supply pump starter → MOCS control unit</t>
    <phoneticPr fontId="1" type="noConversion"/>
  </si>
  <si>
    <t>No.2 MOCS F.O. Supply pump starter → MOCS control unit</t>
    <phoneticPr fontId="1" type="noConversion"/>
  </si>
  <si>
    <r>
      <t xml:space="preserve">MOCS control unit </t>
    </r>
    <r>
      <rPr>
        <sz val="16"/>
        <rFont val="맑은 고딕"/>
        <family val="3"/>
        <charset val="129"/>
      </rPr>
      <t>→</t>
    </r>
    <r>
      <rPr>
        <sz val="16"/>
        <rFont val="Arial"/>
        <family val="2"/>
      </rPr>
      <t xml:space="preserve"> No.1 MOCS F.O. Supply pump starter</t>
    </r>
    <phoneticPr fontId="1" type="noConversion"/>
  </si>
  <si>
    <r>
      <t xml:space="preserve">MOCS control unit </t>
    </r>
    <r>
      <rPr>
        <sz val="16"/>
        <rFont val="맑은 고딕"/>
        <family val="3"/>
        <charset val="129"/>
      </rPr>
      <t>→</t>
    </r>
    <r>
      <rPr>
        <sz val="16"/>
        <rFont val="Arial"/>
        <family val="2"/>
      </rPr>
      <t xml:space="preserve"> No.2 MOCS F.O. Supply pump starter</t>
    </r>
    <phoneticPr fontId="1" type="noConversion"/>
  </si>
  <si>
    <r>
      <t xml:space="preserve">MOCS F.O. Supply unit </t>
    </r>
    <r>
      <rPr>
        <sz val="16"/>
        <rFont val="맑은 고딕"/>
        <family val="3"/>
        <charset val="129"/>
      </rPr>
      <t>→</t>
    </r>
    <r>
      <rPr>
        <sz val="16"/>
        <rFont val="Arial"/>
        <family val="2"/>
      </rPr>
      <t xml:space="preserve"> MOCS control unit</t>
    </r>
    <phoneticPr fontId="1" type="noConversion"/>
  </si>
  <si>
    <t>IE-SW-BLB-08-8TX</t>
  </si>
  <si>
    <t>IE-SW-BLB-08-8TX</t>
    <phoneticPr fontId="1" type="noConversion"/>
  </si>
  <si>
    <t>Ethernet hub, 별도 Power(2W)</t>
    <phoneticPr fontId="1" type="noConversion"/>
  </si>
  <si>
    <t>MBV10-11#</t>
    <phoneticPr fontId="1" type="noConversion"/>
  </si>
  <si>
    <t>MBV11-22#</t>
    <phoneticPr fontId="1" type="noConversion"/>
  </si>
  <si>
    <t>PT105#50</t>
    <phoneticPr fontId="1" type="noConversion"/>
  </si>
  <si>
    <t>No.# MOCS RTV Diff. Press</t>
    <phoneticPr fontId="1" type="noConversion"/>
  </si>
  <si>
    <t>MOC00-807</t>
    <phoneticPr fontId="1" type="noConversion"/>
  </si>
  <si>
    <t>UPS power Fail</t>
    <phoneticPr fontId="1" type="noConversion"/>
  </si>
  <si>
    <t>MOC00-807</t>
    <phoneticPr fontId="3" type="noConversion"/>
  </si>
  <si>
    <t>UPS power Fail</t>
    <phoneticPr fontId="3" type="noConversion"/>
  </si>
  <si>
    <t>27</t>
    <phoneticPr fontId="1" type="noConversion"/>
  </si>
  <si>
    <t>MOCS control unit → MOCS F.O. Supply unit</t>
    <phoneticPr fontId="1" type="noConversion"/>
  </si>
  <si>
    <t>FSP01-411</t>
    <phoneticPr fontId="1" type="noConversion"/>
  </si>
  <si>
    <t>FSP01-412</t>
    <phoneticPr fontId="1" type="noConversion"/>
  </si>
  <si>
    <t>1CAO1</t>
    <phoneticPr fontId="1" type="noConversion"/>
  </si>
  <si>
    <t>No.1 MOCS F.O Supply pump Setpoint</t>
    <phoneticPr fontId="1" type="noConversion"/>
  </si>
  <si>
    <t>No.2 MOCS F.O Supply pump Setpoint</t>
    <phoneticPr fontId="1" type="noConversion"/>
  </si>
  <si>
    <t>FPS01-411</t>
    <phoneticPr fontId="1" type="noConversion"/>
  </si>
  <si>
    <t>FS3</t>
    <phoneticPr fontId="1" type="noConversion"/>
  </si>
  <si>
    <t>F.O. Supply, pump motor Setpoint</t>
    <phoneticPr fontId="1" type="noConversion"/>
  </si>
  <si>
    <t>MOCS control unit → F.O. Supply unit</t>
    <phoneticPr fontId="1" type="noConversion"/>
  </si>
  <si>
    <t>FPS01-412</t>
    <phoneticPr fontId="1" type="noConversion"/>
  </si>
  <si>
    <t>FS4</t>
    <phoneticPr fontId="1" type="noConversion"/>
  </si>
  <si>
    <t>29</t>
    <phoneticPr fontId="1" type="noConversion"/>
  </si>
  <si>
    <t>30</t>
    <phoneticPr fontId="1" type="noConversion"/>
  </si>
  <si>
    <t>25</t>
    <phoneticPr fontId="1" type="noConversion"/>
  </si>
  <si>
    <t>26</t>
    <phoneticPr fontId="1" type="noConversion"/>
  </si>
  <si>
    <t>28</t>
    <phoneticPr fontId="1" type="noConversion"/>
  </si>
  <si>
    <t>FS5</t>
    <phoneticPr fontId="1" type="noConversion"/>
  </si>
  <si>
    <t>FS6</t>
    <phoneticPr fontId="1" type="noConversion"/>
  </si>
  <si>
    <t>Converter DC24V power</t>
    <phoneticPr fontId="1" type="noConversion"/>
  </si>
  <si>
    <t>FSU10-200</t>
    <phoneticPr fontId="1" type="noConversion"/>
  </si>
  <si>
    <t>확인중</t>
    <phoneticPr fontId="1" type="noConversion"/>
  </si>
  <si>
    <t>0.5</t>
    <phoneticPr fontId="1" type="noConversion"/>
  </si>
  <si>
    <t>300</t>
    <phoneticPr fontId="1" type="noConversion"/>
  </si>
  <si>
    <t>No.1 MOCS F.O Supply pump Remote</t>
    <phoneticPr fontId="1" type="noConversion"/>
  </si>
  <si>
    <t>No.1 MOCS F.O Supply pump Abnormal</t>
    <phoneticPr fontId="1" type="noConversion"/>
  </si>
  <si>
    <t>No.1 MOCS F.O Supply pump Running</t>
    <phoneticPr fontId="1" type="noConversion"/>
  </si>
  <si>
    <t>No.2 MOCS F.O Supply pump Remote</t>
    <phoneticPr fontId="1" type="noConversion"/>
  </si>
  <si>
    <t>No.2 MOCS F.O Supply pump Abnormal</t>
    <phoneticPr fontId="1" type="noConversion"/>
  </si>
  <si>
    <t>No.2 MOCS F.O Supply pump Running</t>
    <phoneticPr fontId="1" type="noConversion"/>
  </si>
  <si>
    <t>MOCS F.O Supply pump Running from Yard</t>
    <phoneticPr fontId="1" type="noConversion"/>
  </si>
  <si>
    <t>No.1 MOCS F.O Supply pump Run Command</t>
    <phoneticPr fontId="1" type="noConversion"/>
  </si>
  <si>
    <t>No.2 MOCS F.O Supply pump Run Command</t>
    <phoneticPr fontId="1" type="noConversion"/>
  </si>
  <si>
    <t>MOCS F.O Supply pump Run Request to Yard</t>
    <phoneticPr fontId="1" type="noConversion"/>
  </si>
  <si>
    <t>MOCS F.O Supply pump Fail to Yard</t>
    <phoneticPr fontId="1" type="noConversion"/>
  </si>
  <si>
    <t>MOCS F.O Supply Inlet Press</t>
    <phoneticPr fontId="1" type="noConversion"/>
  </si>
  <si>
    <t>MOCS F.O Supply Outlet Press</t>
    <phoneticPr fontId="1" type="noConversion"/>
  </si>
  <si>
    <t>No.# MOCS F.O Dosing system Flush Run</t>
    <phoneticPr fontId="1" type="noConversion"/>
  </si>
  <si>
    <t>No.# MOCS F.O Dosing Atomizing Air Sol. VV</t>
  </si>
  <si>
    <t>No.# MOCS F.O Dosing Purging Air Sol. VV</t>
  </si>
  <si>
    <t>No.# MOCS F.O Dosing Fuel Oil Inlet Sol. VV</t>
  </si>
  <si>
    <t>No.# MOCS F.O Dosing Fuel Oil Outlet Sol. VV</t>
  </si>
  <si>
    <t>No.# MOCS F.O Dosing Fuel Oil Return Sol. VV</t>
  </si>
  <si>
    <t>No.# MOCS F.O Dosing Fuel Oil Inlet Temp</t>
    <phoneticPr fontId="1" type="noConversion"/>
  </si>
  <si>
    <t>No.# MOCS F.O Dosing Atomizing Air Inlet Press</t>
  </si>
  <si>
    <t>No.# MOCS F.O Dosing Atomizing Air Outlet Press</t>
  </si>
  <si>
    <t>No.# MOCS F.O Dosing Fuel Oil Inlet Press</t>
  </si>
  <si>
    <t>No.# MOCS F.O Dosing Fuel Oil Middle Press</t>
  </si>
  <si>
    <t>No.# MOCS F.O Dosing Fuel Oil Flowrate(Feedback)</t>
  </si>
  <si>
    <t>No.# MOCS F.O Dosing Fuel Oil Outlet Press</t>
  </si>
  <si>
    <t>No.# MOCS F.O Dosing Fuel Oil Control VV(Setpoint)</t>
    <phoneticPr fontId="1" type="noConversion"/>
  </si>
  <si>
    <t>31</t>
    <phoneticPr fontId="1" type="noConversion"/>
  </si>
  <si>
    <t>32</t>
    <phoneticPr fontId="1" type="noConversion"/>
  </si>
  <si>
    <t>1KC4</t>
    <phoneticPr fontId="1" type="noConversion"/>
  </si>
  <si>
    <t>1KC5</t>
    <phoneticPr fontId="1" type="noConversion"/>
  </si>
  <si>
    <t>33</t>
    <phoneticPr fontId="1" type="noConversion"/>
  </si>
  <si>
    <t>1KC6</t>
    <phoneticPr fontId="1" type="noConversion"/>
  </si>
  <si>
    <t>MOCS Lamp&amp;Buzzer test Push button</t>
    <phoneticPr fontId="1" type="noConversion"/>
  </si>
  <si>
    <t>1X3</t>
  </si>
  <si>
    <t>1X3</t>
    <phoneticPr fontId="1" type="noConversion"/>
  </si>
  <si>
    <t>Main power lamp</t>
    <phoneticPr fontId="1" type="noConversion"/>
  </si>
  <si>
    <t>Alarm lamp</t>
    <phoneticPr fontId="1" type="noConversion"/>
  </si>
  <si>
    <t>Alarm buzzer</t>
    <phoneticPr fontId="1" type="noConversion"/>
  </si>
  <si>
    <t>Lamp test button</t>
    <phoneticPr fontId="1" type="noConversion"/>
  </si>
  <si>
    <t>ENG10-700</t>
    <phoneticPr fontId="1" type="noConversion"/>
  </si>
  <si>
    <t>Low Sulfur fuel supplied (S=0.1%)</t>
    <phoneticPr fontId="1" type="noConversion"/>
  </si>
  <si>
    <t>MOCS F.O Supply pump Auto mode (Reserved) - 미적용</t>
    <phoneticPr fontId="1" type="noConversion"/>
  </si>
  <si>
    <t>Al_LLT</t>
    <phoneticPr fontId="1" type="noConversion"/>
  </si>
  <si>
    <t>Al_LLD</t>
    <phoneticPr fontId="1" type="noConversion"/>
  </si>
  <si>
    <t>Al_LOT</t>
    <phoneticPr fontId="1" type="noConversion"/>
  </si>
  <si>
    <t>Al_LOD</t>
    <phoneticPr fontId="1" type="noConversion"/>
  </si>
  <si>
    <t>Al_HOT</t>
    <phoneticPr fontId="1" type="noConversion"/>
  </si>
  <si>
    <t>AL_HOD</t>
    <phoneticPr fontId="1" type="noConversion"/>
  </si>
  <si>
    <t>Al_HHT</t>
    <phoneticPr fontId="1" type="noConversion"/>
  </si>
  <si>
    <t>Al_HHD</t>
    <phoneticPr fontId="1" type="noConversion"/>
  </si>
  <si>
    <t>CDI1Reserved1</t>
    <phoneticPr fontId="1" type="noConversion"/>
  </si>
  <si>
    <t>AlarmReset</t>
    <phoneticPr fontId="1" type="noConversion"/>
  </si>
  <si>
    <t>LowSulfFOSupd</t>
    <phoneticPr fontId="1" type="noConversion"/>
  </si>
  <si>
    <t>CDI1Reserved16</t>
  </si>
  <si>
    <t>InternalPwrFail</t>
    <phoneticPr fontId="1" type="noConversion"/>
  </si>
  <si>
    <t>ExternalPwrFail</t>
    <phoneticPr fontId="1" type="noConversion"/>
  </si>
  <si>
    <t>FanPwrFail</t>
    <phoneticPr fontId="1" type="noConversion"/>
  </si>
  <si>
    <t>ESDcircuitPwrFail</t>
    <phoneticPr fontId="1" type="noConversion"/>
  </si>
  <si>
    <t>Ver</t>
    <phoneticPr fontId="1" type="noConversion"/>
  </si>
  <si>
    <t>Date</t>
    <phoneticPr fontId="1" type="noConversion"/>
  </si>
  <si>
    <t>UPSPwrFail</t>
    <phoneticPr fontId="1" type="noConversion"/>
  </si>
  <si>
    <t>CDO1Reserved8</t>
  </si>
  <si>
    <t>CDO1Reserved9</t>
  </si>
  <si>
    <t>CDO1Reserved10</t>
  </si>
  <si>
    <t>CDO1Reserved11</t>
  </si>
  <si>
    <t>CDO1Reserved12</t>
  </si>
  <si>
    <t>CDO1Reserved13</t>
  </si>
  <si>
    <t>CDO1Reserved14</t>
  </si>
  <si>
    <t>CDO1Reserved15</t>
  </si>
  <si>
    <t>CDO1Reserved16</t>
  </si>
  <si>
    <t>CAI1Reserved3</t>
  </si>
  <si>
    <t>CAI1Reserved4</t>
  </si>
  <si>
    <t>CAI1Reserved5</t>
  </si>
  <si>
    <t>CAI1Reserved6</t>
  </si>
  <si>
    <t>CAI1Reserved7</t>
  </si>
  <si>
    <t>CAI1Reserved8</t>
  </si>
  <si>
    <t>ICAOReserved3</t>
  </si>
  <si>
    <t>ICAOReserved4</t>
  </si>
  <si>
    <t>MOCSCmmnAlarm</t>
    <phoneticPr fontId="1" type="noConversion"/>
  </si>
  <si>
    <t>MOCSCmmnAlarmLamp</t>
    <phoneticPr fontId="1" type="noConversion"/>
  </si>
  <si>
    <t>MOCSCmmnAlarmBuzzer</t>
    <phoneticPr fontId="1" type="noConversion"/>
  </si>
  <si>
    <t>No1FOSPumpRemote</t>
  </si>
  <si>
    <t>No1FOSPumpAbnormal</t>
  </si>
  <si>
    <t>No1FOSPumpRunning</t>
  </si>
  <si>
    <t>No2FOSPumpRemote</t>
  </si>
  <si>
    <t>No2FOSPumpAbnormal</t>
  </si>
  <si>
    <t>No2FOSPumpRunning</t>
  </si>
  <si>
    <t>FOSPumpRunningYard</t>
  </si>
  <si>
    <t>No1FOSPumpRunCmd</t>
  </si>
  <si>
    <t>No2FOSPumpRunCmd</t>
  </si>
  <si>
    <t>FOSPumpRunRqstYard</t>
  </si>
  <si>
    <t>FOSupInletPress</t>
    <phoneticPr fontId="1" type="noConversion"/>
  </si>
  <si>
    <t>FOSupOutletPress</t>
    <phoneticPr fontId="1" type="noConversion"/>
  </si>
  <si>
    <t>No1FOSPumpSetpoint</t>
    <phoneticPr fontId="1" type="noConversion"/>
  </si>
  <si>
    <t>No2FOSPumpSetpoint</t>
    <phoneticPr fontId="1" type="noConversion"/>
  </si>
  <si>
    <t>Variable name</t>
    <phoneticPr fontId="1" type="noConversion"/>
  </si>
  <si>
    <t>26.03.31</t>
    <phoneticPr fontId="1" type="noConversion"/>
  </si>
  <si>
    <t>IDO1Reserved15</t>
  </si>
  <si>
    <t>IDO1Reserved16</t>
  </si>
  <si>
    <t>IAO1Reserved3</t>
  </si>
  <si>
    <t>IAO1Reserved4</t>
  </si>
  <si>
    <t>MOCSStart</t>
    <phoneticPr fontId="1" type="noConversion"/>
  </si>
  <si>
    <t>MOCSPreparation</t>
    <phoneticPr fontId="1" type="noConversion"/>
  </si>
  <si>
    <t>MOCSStop</t>
    <phoneticPr fontId="1" type="noConversion"/>
  </si>
  <si>
    <t>MOCSReady</t>
    <phoneticPr fontId="1" type="noConversion"/>
  </si>
  <si>
    <t>AllFlowThroughMOCS</t>
    <phoneticPr fontId="1" type="noConversion"/>
  </si>
  <si>
    <t>MOCSActive</t>
    <phoneticPr fontId="1" type="noConversion"/>
  </si>
  <si>
    <t>MOCSRSVSetpoint</t>
    <phoneticPr fontId="1" type="noConversion"/>
  </si>
  <si>
    <t>MOCSRBVSetpoint</t>
    <phoneticPr fontId="1" type="noConversion"/>
  </si>
  <si>
    <t>IDI1Reserved1</t>
    <phoneticPr fontId="1" type="noConversion"/>
  </si>
  <si>
    <t>IDI1Reserved14</t>
    <phoneticPr fontId="1" type="noConversion"/>
  </si>
  <si>
    <t>IDI1Reserved15</t>
    <phoneticPr fontId="1" type="noConversion"/>
  </si>
  <si>
    <t>MOCSRemote</t>
    <phoneticPr fontId="1" type="noConversion"/>
  </si>
  <si>
    <t>MOCSEmcyStopPanel</t>
    <phoneticPr fontId="1" type="noConversion"/>
  </si>
  <si>
    <t>MOCSEmcystopECR</t>
    <phoneticPr fontId="1" type="noConversion"/>
  </si>
  <si>
    <t>MOCSEmcystopBridge</t>
    <phoneticPr fontId="1" type="noConversion"/>
  </si>
  <si>
    <t>FODosFOInletTemp</t>
    <phoneticPr fontId="1" type="noConversion"/>
  </si>
  <si>
    <t>FODSFlushRun</t>
    <phoneticPr fontId="1" type="noConversion"/>
  </si>
  <si>
    <t>IAI2Reserved1</t>
    <phoneticPr fontId="1" type="noConversion"/>
  </si>
  <si>
    <t>RSVFeedOpen</t>
    <phoneticPr fontId="1" type="noConversion"/>
  </si>
  <si>
    <t>RSVFeedClosed</t>
  </si>
  <si>
    <t>RBVFeedOpen</t>
  </si>
  <si>
    <t>RBVFeedClosed</t>
  </si>
  <si>
    <t>FODosFOInletPress</t>
  </si>
  <si>
    <t>FODosFOMiddlePress</t>
  </si>
  <si>
    <t>RTVFeed</t>
    <phoneticPr fontId="1" type="noConversion"/>
  </si>
  <si>
    <t>RTVDiffPres</t>
    <phoneticPr fontId="1" type="noConversion"/>
  </si>
  <si>
    <t>FODosAtomAirSolVV</t>
  </si>
  <si>
    <t>RTVSetpoint</t>
    <phoneticPr fontId="1" type="noConversion"/>
  </si>
  <si>
    <t>InjPipInletTemp</t>
    <phoneticPr fontId="1" type="noConversion"/>
  </si>
  <si>
    <t>ChmbInletTemp</t>
    <phoneticPr fontId="1" type="noConversion"/>
  </si>
  <si>
    <t>ChmbMiddleTemp</t>
    <phoneticPr fontId="1" type="noConversion"/>
  </si>
  <si>
    <t>ChmbOutletTemp</t>
    <phoneticPr fontId="1" type="noConversion"/>
  </si>
  <si>
    <t>ChmbDiffPres</t>
    <phoneticPr fontId="1" type="noConversion"/>
  </si>
  <si>
    <t>VnSAirInletPres</t>
    <phoneticPr fontId="1" type="noConversion"/>
  </si>
  <si>
    <t>IDO1Reserved13</t>
    <phoneticPr fontId="1" type="noConversion"/>
  </si>
  <si>
    <t>FODosFOCtrlVvSetpoint</t>
    <phoneticPr fontId="1" type="noConversion"/>
  </si>
  <si>
    <t>R0.04</t>
    <phoneticPr fontId="1" type="noConversion"/>
  </si>
  <si>
    <t>FODosFOFlowrateFeed</t>
    <phoneticPr fontId="1" type="noConversion"/>
  </si>
  <si>
    <t>FODosFOOutletPres</t>
    <phoneticPr fontId="1" type="noConversion"/>
  </si>
  <si>
    <t>FODosAtomAirOutletPres</t>
    <phoneticPr fontId="1" type="noConversion"/>
  </si>
  <si>
    <t>MOCSVentingSealingSolVv</t>
    <phoneticPr fontId="1" type="noConversion"/>
  </si>
  <si>
    <t>FODosFOReturnSolVv</t>
    <phoneticPr fontId="1" type="noConversion"/>
  </si>
  <si>
    <t>FODosFOOutletSolVv</t>
    <phoneticPr fontId="1" type="noConversion"/>
  </si>
  <si>
    <t>FODosFOInletSolVv</t>
    <phoneticPr fontId="1" type="noConversion"/>
  </si>
  <si>
    <t>FODosPurgingAirSolVv</t>
    <phoneticPr fontId="1" type="noConversion"/>
  </si>
  <si>
    <t>AllFlowThroughSCR</t>
    <phoneticPr fontId="1" type="noConversion"/>
  </si>
  <si>
    <t>MOCS control unit → SCR control unit</t>
    <phoneticPr fontId="1" type="noConversion"/>
  </si>
  <si>
    <t>SCRFlushRun</t>
    <phoneticPr fontId="1" type="noConversion"/>
  </si>
  <si>
    <t>* 축약어 참고 MOCSAbbreviations.xlsx</t>
    <phoneticPr fontId="1" type="noConversion"/>
  </si>
  <si>
    <t>* I 열 Unit 행, J 열 Variable Name 행은 SW 변수 생성용 - 지제시에서만 편집</t>
    <phoneticPr fontId="1" type="noConversion"/>
  </si>
  <si>
    <t>1. I 열 Unit 행 MOCS/FODS/SCR 로 구분
2. J 열 Variable Name 행 추가(AS 변수명으로 사용)
3. No.# Module Sheet DI1 ch.16 No.# SCR Flush Run 임시 반영
3. No.# Module Sheet DO1 ch.14 No.# All Flow Through SCR 임시 반영</t>
    <phoneticPr fontId="1" type="noConversion"/>
  </si>
  <si>
    <r>
      <t xml:space="preserve">SCR control unit → </t>
    </r>
    <r>
      <rPr>
        <sz val="16"/>
        <rFont val="맑은 고딕"/>
        <family val="2"/>
        <charset val="129"/>
      </rPr>
      <t>MOCS</t>
    </r>
    <r>
      <rPr>
        <sz val="16"/>
        <rFont val="Arial"/>
        <family val="2"/>
      </rPr>
      <t xml:space="preserve"> control unit</t>
    </r>
    <phoneticPr fontId="1" type="noConversion"/>
  </si>
  <si>
    <t>System Unit</t>
    <phoneticPr fontId="1" type="noConversion"/>
  </si>
  <si>
    <t>FOSPumpFailYard</t>
    <phoneticPr fontId="1" type="noConversion"/>
  </si>
  <si>
    <t>R0.05</t>
    <phoneticPr fontId="1" type="noConversion"/>
  </si>
  <si>
    <t>1. Common Module Sheet DI1 ch.3 Low Sulfur fuel supplied (S=0.1%) Threhold, Delay 추가
2. Common Module Sheet DI1 ch.11, 14, 15 Threhold, Delay 추가</t>
    <phoneticPr fontId="1" type="noConversion"/>
  </si>
  <si>
    <t>R0.06</t>
    <phoneticPr fontId="1" type="noConversion"/>
  </si>
  <si>
    <t>Temporary</t>
    <phoneticPr fontId="1" type="noConversion"/>
  </si>
  <si>
    <t>TmprEGOutletTemp</t>
    <phoneticPr fontId="1" type="noConversion"/>
  </si>
  <si>
    <t>TmprMOCSOutletTemp</t>
    <phoneticPr fontId="1" type="noConversion"/>
  </si>
  <si>
    <t>TmprSCRInletTemp</t>
    <phoneticPr fontId="1" type="noConversion"/>
  </si>
  <si>
    <t>TmprSCROutletTemp</t>
    <phoneticPr fontId="1" type="noConversion"/>
  </si>
  <si>
    <t>TC120043</t>
  </si>
  <si>
    <t>TC120044</t>
  </si>
  <si>
    <t>800</t>
    <phoneticPr fontId="1" type="noConversion"/>
  </si>
  <si>
    <t>TC120040</t>
  </si>
  <si>
    <t>mbar</t>
  </si>
  <si>
    <t>DC24V</t>
  </si>
  <si>
    <t>Temporary</t>
  </si>
  <si>
    <t>26.04.30</t>
    <phoneticPr fontId="1" type="noConversion"/>
  </si>
  <si>
    <t>R0.07</t>
    <phoneticPr fontId="1" type="noConversion"/>
  </si>
  <si>
    <t>TC120042</t>
    <phoneticPr fontId="1" type="noConversion"/>
  </si>
  <si>
    <t>PT120047</t>
    <phoneticPr fontId="1" type="noConversion"/>
  </si>
  <si>
    <t>TmprEGOutletPress</t>
    <phoneticPr fontId="1" type="noConversion"/>
  </si>
  <si>
    <t>PT120045</t>
    <phoneticPr fontId="1" type="noConversion"/>
  </si>
  <si>
    <t>PI120049</t>
    <phoneticPr fontId="1" type="noConversion"/>
  </si>
  <si>
    <t>TmprMOCSInletPres</t>
    <phoneticPr fontId="1" type="noConversion"/>
  </si>
  <si>
    <t>TmprMOCSOutletPres</t>
    <phoneticPr fontId="1" type="noConversion"/>
  </si>
  <si>
    <t>Temporarily applied only to CHB2050</t>
  </si>
  <si>
    <t>Temporarily applied only to CHB2050</t>
    <phoneticPr fontId="1" type="noConversion"/>
  </si>
  <si>
    <t>MOCS Chamber Middle Temp → MOCS Chamber instrument panel → MOCS control unit</t>
    <phoneticPr fontId="1" type="noConversion"/>
  </si>
  <si>
    <t>MOCS Chamber Outlet Temp → MOCS Chamber instrument panel → MOCS control unit</t>
    <phoneticPr fontId="1" type="noConversion"/>
  </si>
  <si>
    <t>Temporary MOCS Outlet Temp</t>
    <phoneticPr fontId="1" type="noConversion"/>
  </si>
  <si>
    <t>Temporary Engine Outlet Temp</t>
    <phoneticPr fontId="1" type="noConversion"/>
  </si>
  <si>
    <t>Temporary SCR bypass inlet Temp</t>
    <phoneticPr fontId="1" type="noConversion"/>
  </si>
  <si>
    <t>Temporary SCR bypass outlet Temp</t>
    <phoneticPr fontId="1" type="noConversion"/>
  </si>
  <si>
    <t>Temporary Engine Outlet Press</t>
    <phoneticPr fontId="1" type="noConversion"/>
  </si>
  <si>
    <t>Temporary MOCS Outlet Press</t>
    <phoneticPr fontId="1" type="noConversion"/>
  </si>
  <si>
    <t>Temporary MOCS Inlet Press</t>
    <phoneticPr fontId="1" type="noConversion"/>
  </si>
  <si>
    <t>No.# SCR Inlet Valve Setpoint(Reserved)-Not applied</t>
    <phoneticPr fontId="1" type="noConversion"/>
  </si>
  <si>
    <t>→ MOCS control unit</t>
  </si>
  <si>
    <t>→ MOCS control unit</t>
    <phoneticPr fontId="1" type="noConversion"/>
  </si>
  <si>
    <t>No.# MOCS RBV Diff. Press(Reserved)-Not applied</t>
    <phoneticPr fontId="1" type="noConversion"/>
  </si>
  <si>
    <t>No.# SCR Inlet Valve Feedback(Open)(Reserved)-Not applied</t>
    <phoneticPr fontId="1" type="noConversion"/>
  </si>
  <si>
    <t>No.# SCR Inlet Valve Feedback(Closed)(Reserved)-Not applied</t>
    <phoneticPr fontId="1" type="noConversion"/>
  </si>
  <si>
    <t>No.# G/E Low Sulfur fuel supplied(S=0.1%)(Reserved)-Not applied</t>
    <phoneticPr fontId="1" type="noConversion"/>
  </si>
  <si>
    <t>No.# SCR Flush Run(Draft)</t>
    <phoneticPr fontId="1" type="noConversion"/>
  </si>
  <si>
    <t>No.# SCR Allowed(Draft)</t>
    <phoneticPr fontId="1" type="noConversion"/>
  </si>
  <si>
    <t>IAI1Reserved7</t>
    <phoneticPr fontId="1" type="noConversion"/>
  </si>
  <si>
    <t>IAI2Reserved8</t>
    <phoneticPr fontId="1" type="noConversion"/>
  </si>
  <si>
    <t>.</t>
    <phoneticPr fontId="1" type="noConversion"/>
  </si>
  <si>
    <t>MSC 실선 검증용 추가 센서 반영(No.# Module)
1. 온도센서 5개 추가: MOCS OuletTemp, MOCS Inlet Temp, Engine Turbocharger Outlet Temp, SCR bypass inlet temp. sensor, SCR bypass outlet temp. sensor
2. 암력센서 4개 추가: SCR Bypass Inlet Press (PT), SCR Bypass Inlet Press (PI), Engine Turbocharger Outlet Press (PT), Engine Turbocharger Outlet Press (PI)</t>
    <phoneticPr fontId="1" type="noConversion"/>
  </si>
  <si>
    <t>MSC 실선 검증용 추가 센서 반영(No.# Module)
1. 온도 센서 1개 삭제: MOCS Inlet Temp
2. 압력 센서 4개 삭제: SCR Bypass Inlet Press (PT), SCR Bypass Inlet Press (PI), Engine Turbocharger Outlet Press (PT), Engine Turbocharger Outlet Press (PI)
3. 압력 센서 3개 추가: Engine Outlet Press, MOCS Outlet Press, MOCS Inlet Press</t>
    <phoneticPr fontId="1" type="noConversion"/>
  </si>
  <si>
    <t>26.05.28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</si>
</sst>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name val="Arial"/>
      <family val="2"/>
    </font>
    <font>
      <sz val="16"/>
      <name val="돋움"/>
      <family val="3"/>
      <charset val="129"/>
    </font>
    <font>
      <sz val="11"/>
      <name val="Arial"/>
      <family val="2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6"/>
      <name val="현대체Light"/>
      <family val="1"/>
      <charset val="129"/>
    </font>
    <font>
      <sz val="16"/>
      <name val="맑은 고딕"/>
      <family val="3"/>
      <charset val="129"/>
    </font>
    <font>
      <i/>
      <u/>
      <sz val="16"/>
      <name val="맑은 고딕"/>
      <family val="3"/>
      <charset val="129"/>
    </font>
    <font>
      <sz val="11"/>
      <name val="Arial Unicode MS"/>
      <family val="2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Arial"/>
      <family val="2"/>
    </font>
    <font>
      <b/>
      <sz val="11"/>
      <name val="Arial Unicode MS"/>
      <family val="2"/>
      <charset val="129"/>
    </font>
    <font>
      <sz val="12"/>
      <name val="돋움"/>
      <family val="3"/>
      <charset val="129"/>
    </font>
    <font>
      <sz val="12"/>
      <name val="Arial Unicode MS"/>
      <family val="2"/>
      <charset val="129"/>
    </font>
    <font>
      <sz val="12"/>
      <name val="맑은 고딕"/>
      <family val="2"/>
      <charset val="129"/>
    </font>
    <font>
      <sz val="12"/>
      <name val="맑은 고딕"/>
      <family val="3"/>
      <charset val="129"/>
    </font>
    <font>
      <sz val="12"/>
      <name val="Segoe UI Symbol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2"/>
      <color theme="1"/>
      <name val="Arial"/>
      <family val="2"/>
    </font>
    <font>
      <sz val="11"/>
      <color rgb="FF006100"/>
      <name val="맑은 고딕"/>
      <family val="2"/>
      <charset val="129"/>
      <scheme val="minor"/>
    </font>
    <font>
      <sz val="12"/>
      <name val="HD현대체 Bold"/>
      <family val="1"/>
      <charset val="129"/>
    </font>
    <font>
      <sz val="10"/>
      <name val="HD현대체  Medium"/>
      <family val="1"/>
      <charset val="129"/>
    </font>
    <font>
      <sz val="11"/>
      <color theme="1"/>
      <name val="HD현대체  Medium"/>
      <family val="1"/>
      <charset val="129"/>
    </font>
    <font>
      <sz val="11"/>
      <color theme="1"/>
      <name val="HD현대체 Bold"/>
      <family val="1"/>
      <charset val="129"/>
    </font>
    <font>
      <sz val="11"/>
      <name val="HD현대체  Medium"/>
      <family val="1"/>
      <charset val="129"/>
    </font>
    <font>
      <sz val="10"/>
      <color theme="1"/>
      <name val="HD현대체  Medium"/>
      <family val="1"/>
      <charset val="129"/>
    </font>
    <font>
      <b/>
      <sz val="11"/>
      <color theme="1"/>
      <name val="HD현대체  Medium"/>
      <family val="1"/>
      <charset val="129"/>
    </font>
    <font>
      <sz val="11"/>
      <color rgb="FF0000FF"/>
      <name val="HD현대체  Medium"/>
      <family val="1"/>
      <charset val="129"/>
    </font>
    <font>
      <b/>
      <sz val="11"/>
      <color rgb="FF0000FF"/>
      <name val="HD현대체  Medium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6"/>
      <name val="맑은 고딕"/>
      <family val="3"/>
      <charset val="129"/>
      <scheme val="major"/>
    </font>
    <font>
      <sz val="16"/>
      <color rgb="FF0000FF"/>
      <name val="Arial"/>
      <family val="2"/>
    </font>
    <font>
      <b/>
      <sz val="11"/>
      <color rgb="FFFF0000"/>
      <name val="맑은 고딕"/>
      <family val="3"/>
      <charset val="129"/>
      <scheme val="minor"/>
    </font>
    <font>
      <sz val="16"/>
      <name val="맑은 고딕"/>
      <family val="2"/>
      <charset val="129"/>
    </font>
    <font>
      <sz val="16"/>
      <color rgb="FFFF0000"/>
      <name val="맑은 고딕"/>
      <family val="3"/>
      <charset val="129"/>
    </font>
    <font>
      <sz val="16"/>
      <color rgb="FFFF0000"/>
      <name val="Arial"/>
      <family val="2"/>
    </font>
    <font>
      <sz val="11"/>
      <color rgb="FFFF0000"/>
      <name val="Arial"/>
      <family val="2"/>
    </font>
    <font>
      <sz val="11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1"/>
    <xf numFmtId="0" fontId="4" fillId="0" borderId="0"/>
    <xf numFmtId="0" fontId="6" fillId="2" borderId="15" applyNumberFormat="0" applyFont="0" applyAlignment="0" applyProtection="0">
      <alignment vertical="center"/>
    </xf>
    <xf numFmtId="0" fontId="33" fillId="13" borderId="0" applyNumberFormat="0" applyBorder="0" applyAlignment="0" applyProtection="0">
      <alignment vertical="center"/>
    </xf>
  </cellStyleXfs>
  <cellXfs count="342">
    <xf numFmtId="0" fontId="0" fillId="0" borderId="0" xfId="0">
      <alignment vertical="center"/>
    </xf>
    <xf numFmtId="0" fontId="5" fillId="0" borderId="0" xfId="2" applyFont="1"/>
    <xf numFmtId="0" fontId="9" fillId="0" borderId="0" xfId="0" applyFont="1">
      <alignment vertical="center"/>
    </xf>
    <xf numFmtId="0" fontId="2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21" xfId="0" applyFont="1" applyBorder="1">
      <alignment vertical="center"/>
    </xf>
    <xf numFmtId="49" fontId="7" fillId="4" borderId="1" xfId="1" applyNumberFormat="1" applyFont="1" applyFill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49" fontId="7" fillId="4" borderId="1" xfId="3" applyNumberFormat="1" applyFont="1" applyFill="1" applyBorder="1" applyAlignment="1" applyProtection="1">
      <alignment vertical="center" wrapText="1"/>
      <protection locked="0"/>
    </xf>
    <xf numFmtId="49" fontId="7" fillId="4" borderId="1" xfId="1" applyNumberFormat="1" applyFont="1" applyFill="1" applyAlignment="1" applyProtection="1">
      <alignment vertical="center" wrapText="1"/>
      <protection locked="0"/>
    </xf>
    <xf numFmtId="49" fontId="7" fillId="5" borderId="1" xfId="1" applyNumberFormat="1" applyFont="1" applyFill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49" fontId="7" fillId="5" borderId="1" xfId="3" applyNumberFormat="1" applyFont="1" applyFill="1" applyBorder="1" applyAlignment="1" applyProtection="1">
      <alignment vertical="center" wrapText="1"/>
      <protection locked="0"/>
    </xf>
    <xf numFmtId="49" fontId="7" fillId="5" borderId="1" xfId="1" applyNumberFormat="1" applyFont="1" applyFill="1" applyAlignment="1" applyProtection="1">
      <alignment vertical="center" wrapText="1"/>
      <protection locked="0"/>
    </xf>
    <xf numFmtId="0" fontId="7" fillId="5" borderId="7" xfId="0" applyFont="1" applyFill="1" applyBorder="1" applyAlignment="1">
      <alignment horizontal="center" vertical="center"/>
    </xf>
    <xf numFmtId="49" fontId="7" fillId="5" borderId="19" xfId="1" applyNumberFormat="1" applyFont="1" applyFill="1" applyBorder="1" applyAlignment="1" applyProtection="1">
      <alignment horizontal="left" vertical="center" wrapText="1"/>
      <protection locked="0"/>
    </xf>
    <xf numFmtId="0" fontId="7" fillId="5" borderId="1" xfId="0" applyFont="1" applyFill="1" applyBorder="1" applyAlignment="1">
      <alignment horizontal="center" vertical="center" shrinkToFit="1"/>
    </xf>
    <xf numFmtId="49" fontId="7" fillId="5" borderId="1" xfId="1" applyNumberFormat="1" applyFont="1" applyFill="1" applyAlignment="1" applyProtection="1">
      <alignment horizontal="center" vertical="center" shrinkToFit="1"/>
      <protection locked="0"/>
    </xf>
    <xf numFmtId="49" fontId="7" fillId="0" borderId="9" xfId="1" applyNumberFormat="1" applyFont="1" applyBorder="1" applyAlignment="1" applyProtection="1">
      <alignment horizontal="center" vertical="center" shrinkToFit="1"/>
      <protection locked="0"/>
    </xf>
    <xf numFmtId="0" fontId="9" fillId="0" borderId="0" xfId="0" applyFont="1" applyAlignment="1">
      <alignment vertical="center" shrinkToFit="1"/>
    </xf>
    <xf numFmtId="0" fontId="7" fillId="4" borderId="1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shrinkToFit="1"/>
    </xf>
    <xf numFmtId="49" fontId="7" fillId="4" borderId="19" xfId="1" applyNumberFormat="1" applyFont="1" applyFill="1" applyBorder="1" applyAlignment="1" applyProtection="1">
      <alignment horizontal="left" vertical="center" wrapText="1"/>
      <protection locked="0"/>
    </xf>
    <xf numFmtId="0" fontId="7" fillId="4" borderId="19" xfId="0" applyFont="1" applyFill="1" applyBorder="1" applyAlignment="1">
      <alignment horizontal="left" vertical="center"/>
    </xf>
    <xf numFmtId="49" fontId="7" fillId="4" borderId="1" xfId="1" applyNumberFormat="1" applyFont="1" applyFill="1" applyAlignment="1" applyProtection="1">
      <alignment horizontal="center" vertical="center" shrinkToFit="1"/>
      <protection locked="0"/>
    </xf>
    <xf numFmtId="0" fontId="7" fillId="4" borderId="1" xfId="0" applyFont="1" applyFill="1" applyBorder="1" applyAlignment="1">
      <alignment horizontal="left" vertical="center"/>
    </xf>
    <xf numFmtId="0" fontId="2" fillId="0" borderId="0" xfId="0" quotePrefix="1" applyFont="1">
      <alignment vertical="center"/>
    </xf>
    <xf numFmtId="0" fontId="0" fillId="0" borderId="0" xfId="0" applyAlignment="1">
      <alignment horizontal="center" vertical="center"/>
    </xf>
    <xf numFmtId="0" fontId="0" fillId="6" borderId="28" xfId="0" applyFill="1" applyBorder="1">
      <alignment vertical="center"/>
    </xf>
    <xf numFmtId="0" fontId="0" fillId="6" borderId="29" xfId="0" applyFill="1" applyBorder="1">
      <alignment vertical="center"/>
    </xf>
    <xf numFmtId="0" fontId="0" fillId="6" borderId="30" xfId="0" applyFill="1" applyBorder="1">
      <alignment vertical="center"/>
    </xf>
    <xf numFmtId="0" fontId="0" fillId="6" borderId="31" xfId="0" applyFill="1" applyBorder="1">
      <alignment vertical="center"/>
    </xf>
    <xf numFmtId="0" fontId="0" fillId="6" borderId="0" xfId="0" applyFill="1">
      <alignment vertical="center"/>
    </xf>
    <xf numFmtId="0" fontId="0" fillId="6" borderId="32" xfId="0" applyFill="1" applyBorder="1">
      <alignment vertical="center"/>
    </xf>
    <xf numFmtId="0" fontId="10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33" xfId="0" applyFill="1" applyBorder="1">
      <alignment vertical="center"/>
    </xf>
    <xf numFmtId="0" fontId="0" fillId="6" borderId="34" xfId="0" applyFill="1" applyBorder="1">
      <alignment vertical="center"/>
    </xf>
    <xf numFmtId="0" fontId="0" fillId="6" borderId="35" xfId="0" applyFill="1" applyBorder="1">
      <alignment vertical="center"/>
    </xf>
    <xf numFmtId="0" fontId="0" fillId="6" borderId="32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32" xfId="0" applyFill="1" applyBorder="1" applyAlignment="1">
      <alignment horizontal="left" vertical="center"/>
    </xf>
    <xf numFmtId="0" fontId="11" fillId="6" borderId="0" xfId="0" applyFont="1" applyFill="1">
      <alignment vertical="center"/>
    </xf>
    <xf numFmtId="0" fontId="11" fillId="6" borderId="0" xfId="0" applyFont="1" applyFill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6" borderId="0" xfId="0" applyFont="1" applyFill="1">
      <alignment vertical="center"/>
    </xf>
    <xf numFmtId="0" fontId="11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49" fontId="17" fillId="5" borderId="3" xfId="3" applyNumberFormat="1" applyFont="1" applyFill="1" applyBorder="1" applyAlignment="1" applyProtection="1">
      <alignment horizontal="center" vertical="center" wrapText="1"/>
      <protection locked="0"/>
    </xf>
    <xf numFmtId="49" fontId="17" fillId="5" borderId="3" xfId="1" applyNumberFormat="1" applyFont="1" applyFill="1" applyBorder="1" applyAlignment="1" applyProtection="1">
      <alignment horizontal="center" vertical="center" wrapText="1"/>
      <protection locked="0"/>
    </xf>
    <xf numFmtId="49" fontId="17" fillId="5" borderId="3" xfId="1" applyNumberFormat="1" applyFont="1" applyFill="1" applyBorder="1" applyAlignment="1" applyProtection="1">
      <alignment horizontal="center" vertical="center" shrinkToFit="1"/>
      <protection locked="0"/>
    </xf>
    <xf numFmtId="49" fontId="17" fillId="5" borderId="3" xfId="3" applyNumberFormat="1" applyFont="1" applyFill="1" applyBorder="1" applyAlignment="1" applyProtection="1">
      <alignment vertical="center" wrapText="1"/>
      <protection locked="0"/>
    </xf>
    <xf numFmtId="49" fontId="17" fillId="5" borderId="3" xfId="1" applyNumberFormat="1" applyFont="1" applyFill="1" applyBorder="1" applyAlignment="1" applyProtection="1">
      <alignment horizontal="left" vertical="center"/>
      <protection locked="0"/>
    </xf>
    <xf numFmtId="49" fontId="17" fillId="5" borderId="20" xfId="1" applyNumberFormat="1" applyFont="1" applyFill="1" applyBorder="1" applyAlignment="1" applyProtection="1">
      <alignment horizontal="left" vertical="center" wrapText="1"/>
      <protection locked="0"/>
    </xf>
    <xf numFmtId="0" fontId="17" fillId="5" borderId="1" xfId="0" applyFont="1" applyFill="1" applyBorder="1">
      <alignment vertical="center"/>
    </xf>
    <xf numFmtId="0" fontId="17" fillId="5" borderId="1" xfId="0" applyFont="1" applyFill="1" applyBorder="1" applyAlignment="1">
      <alignment horizontal="center" vertical="center"/>
    </xf>
    <xf numFmtId="49" fontId="17" fillId="5" borderId="1" xfId="1" applyNumberFormat="1" applyFont="1" applyFill="1" applyAlignment="1" applyProtection="1">
      <alignment horizontal="center" vertical="center" wrapText="1"/>
      <protection locked="0"/>
    </xf>
    <xf numFmtId="49" fontId="17" fillId="5" borderId="1" xfId="1" applyNumberFormat="1" applyFont="1" applyFill="1" applyAlignment="1" applyProtection="1">
      <alignment horizontal="center" vertical="center" shrinkToFit="1"/>
      <protection locked="0"/>
    </xf>
    <xf numFmtId="49" fontId="17" fillId="5" borderId="1" xfId="1" applyNumberFormat="1" applyFont="1" applyFill="1" applyAlignment="1" applyProtection="1">
      <alignment vertical="center" wrapText="1"/>
      <protection locked="0"/>
    </xf>
    <xf numFmtId="0" fontId="17" fillId="5" borderId="19" xfId="0" applyFont="1" applyFill="1" applyBorder="1" applyAlignment="1">
      <alignment horizontal="left" vertical="center"/>
    </xf>
    <xf numFmtId="49" fontId="17" fillId="5" borderId="1" xfId="3" applyNumberFormat="1" applyFont="1" applyFill="1" applyBorder="1" applyAlignment="1" applyProtection="1">
      <alignment horizontal="center" vertical="center" wrapText="1"/>
      <protection locked="0"/>
    </xf>
    <xf numFmtId="49" fontId="17" fillId="5" borderId="1" xfId="3" applyNumberFormat="1" applyFont="1" applyFill="1" applyBorder="1" applyAlignment="1" applyProtection="1">
      <alignment vertical="center" wrapText="1"/>
      <protection locked="0"/>
    </xf>
    <xf numFmtId="0" fontId="17" fillId="5" borderId="1" xfId="0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horizontal="center" vertical="center"/>
    </xf>
    <xf numFmtId="49" fontId="17" fillId="3" borderId="1" xfId="3" applyNumberFormat="1" applyFont="1" applyFill="1" applyBorder="1" applyAlignment="1" applyProtection="1">
      <alignment vertical="center" wrapText="1"/>
      <protection locked="0"/>
    </xf>
    <xf numFmtId="0" fontId="17" fillId="3" borderId="1" xfId="0" applyFont="1" applyFill="1" applyBorder="1">
      <alignment vertical="center"/>
    </xf>
    <xf numFmtId="0" fontId="8" fillId="4" borderId="1" xfId="0" applyFont="1" applyFill="1" applyBorder="1" applyAlignment="1">
      <alignment horizontal="center" vertical="center"/>
    </xf>
    <xf numFmtId="49" fontId="17" fillId="3" borderId="1" xfId="1" applyNumberFormat="1" applyFont="1" applyFill="1" applyBorder="1" applyAlignment="1" applyProtection="1">
      <alignment horizontal="center" vertical="center" shrinkToFit="1"/>
      <protection locked="0"/>
    </xf>
    <xf numFmtId="0" fontId="9" fillId="0" borderId="0" xfId="0" applyFont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20" fillId="9" borderId="0" xfId="0" applyFont="1" applyFill="1" applyBorder="1">
      <alignment vertical="center"/>
    </xf>
    <xf numFmtId="0" fontId="21" fillId="9" borderId="0" xfId="0" applyFont="1" applyFill="1" applyBorder="1">
      <alignment vertical="center"/>
    </xf>
    <xf numFmtId="0" fontId="22" fillId="0" borderId="0" xfId="0" applyFont="1" applyBorder="1">
      <alignment vertical="center"/>
    </xf>
    <xf numFmtId="49" fontId="7" fillId="0" borderId="2" xfId="1" applyNumberFormat="1" applyFont="1" applyBorder="1" applyAlignment="1" applyProtection="1">
      <alignment horizontal="center" vertical="center" shrinkToFit="1"/>
      <protection locked="0"/>
    </xf>
    <xf numFmtId="49" fontId="7" fillId="4" borderId="19" xfId="3" applyNumberFormat="1" applyFont="1" applyFill="1" applyBorder="1" applyAlignment="1" applyProtection="1">
      <alignment horizontal="left" vertical="center" wrapText="1"/>
      <protection locked="0"/>
    </xf>
    <xf numFmtId="0" fontId="7" fillId="5" borderId="1" xfId="0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49" fontId="7" fillId="10" borderId="1" xfId="3" applyNumberFormat="1" applyFont="1" applyFill="1" applyBorder="1" applyAlignment="1" applyProtection="1">
      <alignment horizontal="center" vertical="center" wrapText="1"/>
      <protection locked="0"/>
    </xf>
    <xf numFmtId="49" fontId="7" fillId="10" borderId="1" xfId="1" applyNumberFormat="1" applyFont="1" applyFill="1" applyAlignment="1" applyProtection="1">
      <alignment horizontal="center" vertical="center" wrapText="1"/>
      <protection locked="0"/>
    </xf>
    <xf numFmtId="49" fontId="7" fillId="10" borderId="1" xfId="1" applyNumberFormat="1" applyFont="1" applyFill="1" applyAlignment="1" applyProtection="1">
      <alignment horizontal="center" vertical="center" shrinkToFit="1"/>
      <protection locked="0"/>
    </xf>
    <xf numFmtId="49" fontId="7" fillId="10" borderId="3" xfId="1" applyNumberFormat="1" applyFont="1" applyFill="1" applyBorder="1" applyAlignment="1" applyProtection="1">
      <alignment horizontal="center" vertical="center" shrinkToFit="1"/>
      <protection locked="0"/>
    </xf>
    <xf numFmtId="49" fontId="7" fillId="10" borderId="1" xfId="3" applyNumberFormat="1" applyFont="1" applyFill="1" applyBorder="1" applyAlignment="1" applyProtection="1">
      <alignment vertical="center" wrapText="1"/>
      <protection locked="0"/>
    </xf>
    <xf numFmtId="0" fontId="7" fillId="10" borderId="1" xfId="0" applyFont="1" applyFill="1" applyBorder="1">
      <alignment vertical="center"/>
    </xf>
    <xf numFmtId="49" fontId="7" fillId="10" borderId="17" xfId="1" applyNumberFormat="1" applyFont="1" applyFill="1" applyBorder="1" applyAlignment="1" applyProtection="1">
      <alignment vertical="center" wrapText="1"/>
      <protection locked="0"/>
    </xf>
    <xf numFmtId="49" fontId="7" fillId="10" borderId="2" xfId="3" applyNumberFormat="1" applyFont="1" applyFill="1" applyBorder="1" applyAlignment="1" applyProtection="1">
      <alignment horizontal="center" vertical="center" wrapText="1"/>
      <protection locked="0"/>
    </xf>
    <xf numFmtId="49" fontId="7" fillId="10" borderId="2" xfId="1" applyNumberFormat="1" applyFont="1" applyFill="1" applyBorder="1" applyAlignment="1" applyProtection="1">
      <alignment horizontal="center" vertical="center" wrapText="1"/>
      <protection locked="0"/>
    </xf>
    <xf numFmtId="49" fontId="7" fillId="10" borderId="2" xfId="1" applyNumberFormat="1" applyFont="1" applyFill="1" applyBorder="1" applyAlignment="1" applyProtection="1">
      <alignment horizontal="center" vertical="center" shrinkToFit="1"/>
      <protection locked="0"/>
    </xf>
    <xf numFmtId="49" fontId="7" fillId="10" borderId="22" xfId="1" applyNumberFormat="1" applyFont="1" applyFill="1" applyBorder="1" applyAlignment="1" applyProtection="1">
      <alignment vertical="center" wrapText="1"/>
      <protection locked="0"/>
    </xf>
    <xf numFmtId="49" fontId="7" fillId="4" borderId="1" xfId="1" applyNumberFormat="1" applyFont="1" applyFill="1" applyBorder="1" applyAlignment="1" applyProtection="1">
      <alignment horizontal="center" vertical="center" wrapText="1"/>
      <protection locked="0"/>
    </xf>
    <xf numFmtId="49" fontId="7" fillId="4" borderId="1" xfId="1" applyNumberFormat="1" applyFont="1" applyFill="1" applyBorder="1" applyAlignment="1" applyProtection="1">
      <alignment horizontal="center" vertical="center" shrinkToFit="1"/>
      <protection locked="0"/>
    </xf>
    <xf numFmtId="49" fontId="7" fillId="4" borderId="1" xfId="1" applyNumberFormat="1" applyFont="1" applyFill="1" applyBorder="1" applyAlignment="1" applyProtection="1">
      <alignment vertical="center" wrapText="1"/>
      <protection locked="0"/>
    </xf>
    <xf numFmtId="49" fontId="7" fillId="4" borderId="1" xfId="1" applyNumberFormat="1" applyFont="1" applyFill="1" applyBorder="1" applyAlignment="1" applyProtection="1">
      <alignment horizontal="left" vertical="center" wrapText="1"/>
      <protection locked="0"/>
    </xf>
    <xf numFmtId="49" fontId="17" fillId="5" borderId="19" xfId="3" applyNumberFormat="1" applyFont="1" applyFill="1" applyBorder="1" applyAlignment="1" applyProtection="1">
      <alignment horizontal="left" vertical="center" wrapText="1"/>
      <protection locked="0"/>
    </xf>
    <xf numFmtId="0" fontId="17" fillId="10" borderId="1" xfId="0" applyFont="1" applyFill="1" applyBorder="1" applyAlignment="1">
      <alignment horizontal="center" vertical="center"/>
    </xf>
    <xf numFmtId="49" fontId="17" fillId="10" borderId="1" xfId="1" applyNumberFormat="1" applyFont="1" applyFill="1" applyBorder="1" applyAlignment="1" applyProtection="1">
      <alignment horizontal="center" vertical="center" wrapText="1"/>
      <protection locked="0"/>
    </xf>
    <xf numFmtId="49" fontId="17" fillId="10" borderId="1" xfId="1" applyNumberFormat="1" applyFont="1" applyFill="1" applyBorder="1" applyAlignment="1" applyProtection="1">
      <alignment horizontal="center" vertical="center" shrinkToFit="1"/>
      <protection locked="0"/>
    </xf>
    <xf numFmtId="49" fontId="17" fillId="10" borderId="1" xfId="1" applyNumberFormat="1" applyFont="1" applyFill="1" applyBorder="1" applyAlignment="1" applyProtection="1">
      <alignment vertical="center" wrapText="1"/>
      <protection locked="0"/>
    </xf>
    <xf numFmtId="0" fontId="17" fillId="10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>
      <alignment vertical="center"/>
    </xf>
    <xf numFmtId="0" fontId="17" fillId="10" borderId="1" xfId="3" applyFont="1" applyFill="1" applyBorder="1" applyAlignment="1">
      <alignment horizontal="center" vertical="center"/>
    </xf>
    <xf numFmtId="49" fontId="17" fillId="10" borderId="1" xfId="3" applyNumberFormat="1" applyFont="1" applyFill="1" applyBorder="1" applyAlignment="1" applyProtection="1">
      <alignment vertical="center" wrapText="1"/>
      <protection locked="0"/>
    </xf>
    <xf numFmtId="0" fontId="17" fillId="10" borderId="1" xfId="0" applyFont="1" applyFill="1" applyBorder="1" applyAlignment="1">
      <alignment horizontal="center" vertical="center" shrinkToFit="1"/>
    </xf>
    <xf numFmtId="0" fontId="18" fillId="10" borderId="1" xfId="0" applyFont="1" applyFill="1" applyBorder="1">
      <alignment vertical="center"/>
    </xf>
    <xf numFmtId="49" fontId="17" fillId="10" borderId="1" xfId="1" quotePrefix="1" applyNumberFormat="1" applyFont="1" applyFill="1" applyBorder="1" applyAlignment="1" applyProtection="1">
      <alignment horizontal="center" vertical="center" shrinkToFit="1"/>
      <protection locked="0"/>
    </xf>
    <xf numFmtId="49" fontId="17" fillId="10" borderId="1" xfId="3" applyNumberFormat="1" applyFont="1" applyFill="1" applyBorder="1" applyAlignment="1" applyProtection="1">
      <alignment horizontal="center" vertical="center" wrapText="1"/>
      <protection locked="0"/>
    </xf>
    <xf numFmtId="49" fontId="17" fillId="3" borderId="1" xfId="1" applyNumberFormat="1" applyFont="1" applyFill="1" applyBorder="1" applyAlignment="1" applyProtection="1">
      <alignment horizontal="center" vertical="center" wrapText="1"/>
      <protection locked="0"/>
    </xf>
    <xf numFmtId="49" fontId="17" fillId="3" borderId="1" xfId="1" applyNumberFormat="1" applyFont="1" applyFill="1" applyBorder="1" applyAlignment="1" applyProtection="1">
      <alignment vertical="center" wrapText="1"/>
      <protection locked="0"/>
    </xf>
    <xf numFmtId="176" fontId="7" fillId="4" borderId="1" xfId="0" applyNumberFormat="1" applyFont="1" applyFill="1" applyBorder="1" applyAlignment="1">
      <alignment horizontal="center" vertical="center" shrinkToFit="1"/>
    </xf>
    <xf numFmtId="176" fontId="7" fillId="5" borderId="1" xfId="1" applyNumberFormat="1" applyFont="1" applyFill="1" applyAlignment="1" applyProtection="1">
      <alignment horizontal="center" vertical="center" shrinkToFit="1"/>
      <protection locked="0"/>
    </xf>
    <xf numFmtId="176" fontId="7" fillId="5" borderId="1" xfId="0" applyNumberFormat="1" applyFont="1" applyFill="1" applyBorder="1" applyAlignment="1">
      <alignment horizontal="center" vertical="center" shrinkToFit="1"/>
    </xf>
    <xf numFmtId="176" fontId="7" fillId="10" borderId="1" xfId="1" applyNumberFormat="1" applyFont="1" applyFill="1" applyAlignment="1" applyProtection="1">
      <alignment horizontal="center" vertical="center" shrinkToFit="1"/>
      <protection locked="0"/>
    </xf>
    <xf numFmtId="176" fontId="7" fillId="10" borderId="3" xfId="1" applyNumberFormat="1" applyFont="1" applyFill="1" applyBorder="1" applyAlignment="1" applyProtection="1">
      <alignment horizontal="center" vertical="center" shrinkToFit="1"/>
      <protection locked="0"/>
    </xf>
    <xf numFmtId="176" fontId="7" fillId="10" borderId="2" xfId="1" applyNumberFormat="1" applyFont="1" applyFill="1" applyBorder="1" applyAlignment="1" applyProtection="1">
      <alignment horizontal="center" vertical="center" shrinkToFit="1"/>
      <protection locked="0"/>
    </xf>
    <xf numFmtId="0" fontId="7" fillId="10" borderId="1" xfId="1" applyNumberFormat="1" applyFont="1" applyFill="1" applyAlignment="1" applyProtection="1">
      <alignment horizontal="center" vertical="center" shrinkToFit="1"/>
      <protection locked="0"/>
    </xf>
    <xf numFmtId="0" fontId="7" fillId="10" borderId="1" xfId="1" quotePrefix="1" applyNumberFormat="1" applyFont="1" applyFill="1" applyAlignment="1" applyProtection="1">
      <alignment horizontal="center" vertical="center" shrinkToFit="1"/>
      <protection locked="0"/>
    </xf>
    <xf numFmtId="0" fontId="7" fillId="10" borderId="2" xfId="1" applyNumberFormat="1" applyFont="1" applyFill="1" applyBorder="1" applyAlignment="1" applyProtection="1">
      <alignment horizontal="center" vertical="center" shrinkToFit="1"/>
      <protection locked="0"/>
    </xf>
    <xf numFmtId="49" fontId="2" fillId="0" borderId="2" xfId="1" applyNumberFormat="1" applyBorder="1" applyAlignment="1" applyProtection="1">
      <alignment horizontal="center" vertical="center" wrapText="1"/>
      <protection locked="0"/>
    </xf>
    <xf numFmtId="49" fontId="2" fillId="0" borderId="1" xfId="1" applyNumberFormat="1" applyAlignment="1" applyProtection="1">
      <alignment horizontal="center" vertical="center" wrapText="1"/>
      <protection locked="0"/>
    </xf>
    <xf numFmtId="49" fontId="2" fillId="0" borderId="1" xfId="1" applyNumberFormat="1" applyAlignment="1" applyProtection="1">
      <alignment vertical="center" wrapText="1"/>
      <protection locked="0"/>
    </xf>
    <xf numFmtId="49" fontId="2" fillId="11" borderId="1" xfId="1" applyNumberFormat="1" applyFill="1" applyAlignment="1" applyProtection="1">
      <alignment horizontal="center" vertical="center" wrapText="1"/>
      <protection locked="0"/>
    </xf>
    <xf numFmtId="49" fontId="2" fillId="8" borderId="1" xfId="1" applyNumberFormat="1" applyFill="1" applyAlignment="1" applyProtection="1">
      <alignment horizontal="center" vertical="center" wrapText="1"/>
      <protection locked="0"/>
    </xf>
    <xf numFmtId="49" fontId="2" fillId="9" borderId="1" xfId="1" applyNumberFormat="1" applyFill="1" applyAlignment="1" applyProtection="1">
      <alignment horizontal="center" vertical="center" wrapText="1"/>
      <protection locked="0"/>
    </xf>
    <xf numFmtId="0" fontId="2" fillId="11" borderId="1" xfId="1" applyFill="1" applyAlignment="1" applyProtection="1">
      <alignment horizontal="center" vertical="center" wrapText="1"/>
      <protection locked="0"/>
    </xf>
    <xf numFmtId="0" fontId="2" fillId="8" borderId="1" xfId="1" applyFill="1" applyAlignment="1" applyProtection="1">
      <alignment horizontal="center" vertical="center" wrapText="1"/>
      <protection locked="0"/>
    </xf>
    <xf numFmtId="0" fontId="0" fillId="8" borderId="1" xfId="0" applyFill="1" applyBorder="1" applyAlignment="1">
      <alignment horizontal="center" vertical="center"/>
    </xf>
    <xf numFmtId="0" fontId="2" fillId="12" borderId="1" xfId="1" applyFill="1" applyAlignment="1" applyProtection="1">
      <alignment horizontal="center" vertical="center" wrapText="1"/>
      <protection locked="0"/>
    </xf>
    <xf numFmtId="49" fontId="2" fillId="0" borderId="0" xfId="1" applyNumberFormat="1" applyBorder="1" applyAlignment="1" applyProtection="1">
      <alignment horizontal="center" vertical="center" wrapText="1"/>
      <protection locked="0"/>
    </xf>
    <xf numFmtId="0" fontId="2" fillId="0" borderId="0" xfId="1" applyBorder="1" applyAlignment="1" applyProtection="1">
      <alignment horizontal="center" vertical="center" wrapText="1"/>
      <protection locked="0"/>
    </xf>
    <xf numFmtId="49" fontId="2" fillId="0" borderId="1" xfId="1" applyNumberFormat="1" applyAlignment="1" applyProtection="1">
      <alignment horizontal="left" vertical="center" wrapText="1"/>
      <protection locked="0"/>
    </xf>
    <xf numFmtId="49" fontId="26" fillId="0" borderId="1" xfId="1" applyNumberFormat="1" applyFont="1" applyAlignment="1" applyProtection="1">
      <alignment horizontal="center" vertical="center" wrapText="1"/>
      <protection locked="0"/>
    </xf>
    <xf numFmtId="49" fontId="2" fillId="0" borderId="41" xfId="1" applyNumberFormat="1" applyBorder="1" applyAlignment="1" applyProtection="1">
      <alignment horizontal="center" vertical="center" wrapText="1"/>
      <protection locked="0"/>
    </xf>
    <xf numFmtId="49" fontId="2" fillId="0" borderId="43" xfId="1" applyNumberFormat="1" applyBorder="1" applyAlignment="1" applyProtection="1">
      <alignment horizontal="center" vertical="center" wrapText="1"/>
      <protection locked="0"/>
    </xf>
    <xf numFmtId="49" fontId="2" fillId="0" borderId="1" xfId="1" applyNumberFormat="1" applyBorder="1" applyAlignment="1" applyProtection="1">
      <alignment horizontal="center" vertical="center" wrapText="1"/>
      <protection locked="0"/>
    </xf>
    <xf numFmtId="0" fontId="0" fillId="9" borderId="1" xfId="0" applyFill="1" applyBorder="1" applyAlignment="1">
      <alignment horizontal="center" vertical="center"/>
    </xf>
    <xf numFmtId="0" fontId="2" fillId="9" borderId="1" xfId="1" applyFill="1" applyAlignment="1" applyProtection="1">
      <alignment horizontal="center" vertical="center" wrapText="1"/>
      <protection locked="0"/>
    </xf>
    <xf numFmtId="0" fontId="0" fillId="12" borderId="1" xfId="0" applyFill="1" applyBorder="1" applyAlignment="1">
      <alignment horizontal="center" vertical="center"/>
    </xf>
    <xf numFmtId="49" fontId="2" fillId="0" borderId="1" xfId="1" applyNumberFormat="1" applyFill="1" applyAlignment="1" applyProtection="1">
      <alignment horizontal="center" vertical="center" wrapText="1"/>
      <protection locked="0"/>
    </xf>
    <xf numFmtId="49" fontId="2" fillId="0" borderId="1" xfId="1" applyNumberFormat="1" applyAlignment="1" applyProtection="1">
      <alignment horizontal="center" vertical="center" wrapText="1"/>
      <protection locked="0"/>
    </xf>
    <xf numFmtId="0" fontId="19" fillId="0" borderId="0" xfId="0" applyFont="1" applyAlignment="1">
      <alignment vertical="center" shrinkToFit="1"/>
    </xf>
    <xf numFmtId="0" fontId="0" fillId="0" borderId="1" xfId="0" applyFill="1" applyBorder="1" applyAlignment="1">
      <alignment horizontal="center" vertical="center"/>
    </xf>
    <xf numFmtId="49" fontId="2" fillId="0" borderId="1" xfId="1" applyNumberFormat="1" applyFill="1" applyAlignment="1" applyProtection="1">
      <alignment vertical="center" wrapText="1"/>
      <protection locked="0"/>
    </xf>
    <xf numFmtId="49" fontId="2" fillId="0" borderId="1" xfId="1" applyNumberFormat="1" applyFill="1" applyAlignment="1" applyProtection="1">
      <alignment horizontal="left" vertical="center" wrapText="1"/>
      <protection locked="0"/>
    </xf>
    <xf numFmtId="0" fontId="0" fillId="0" borderId="0" xfId="0" applyFill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49" fontId="2" fillId="0" borderId="1" xfId="1" applyNumberFormat="1" applyFont="1" applyAlignment="1" applyProtection="1">
      <alignment vertical="center" wrapText="1"/>
      <protection locked="0"/>
    </xf>
    <xf numFmtId="49" fontId="2" fillId="0" borderId="1" xfId="1" applyNumberFormat="1" applyFont="1" applyAlignment="1" applyProtection="1">
      <alignment horizontal="center" vertical="center" wrapText="1"/>
      <protection locked="0"/>
    </xf>
    <xf numFmtId="49" fontId="2" fillId="11" borderId="1" xfId="1" applyNumberFormat="1" applyFont="1" applyFill="1" applyAlignment="1" applyProtection="1">
      <alignment horizontal="center" vertical="center" wrapText="1"/>
      <protection locked="0"/>
    </xf>
    <xf numFmtId="49" fontId="2" fillId="8" borderId="1" xfId="1" applyNumberFormat="1" applyFont="1" applyFill="1" applyAlignment="1" applyProtection="1">
      <alignment horizontal="center" vertical="center" wrapText="1"/>
      <protection locked="0"/>
    </xf>
    <xf numFmtId="49" fontId="2" fillId="0" borderId="1" xfId="1" applyNumberFormat="1" applyFont="1" applyFill="1" applyAlignment="1" applyProtection="1">
      <alignment horizontal="center" vertical="center" wrapText="1"/>
      <protection locked="0"/>
    </xf>
    <xf numFmtId="49" fontId="2" fillId="12" borderId="1" xfId="1" applyNumberFormat="1" applyFont="1" applyFill="1" applyAlignment="1" applyProtection="1">
      <alignment horizontal="center" vertical="center" wrapText="1"/>
      <protection locked="0"/>
    </xf>
    <xf numFmtId="49" fontId="2" fillId="9" borderId="1" xfId="1" applyNumberFormat="1" applyFont="1" applyFill="1" applyAlignment="1" applyProtection="1">
      <alignment horizontal="center" vertical="center" wrapText="1"/>
      <protection locked="0"/>
    </xf>
    <xf numFmtId="0" fontId="2" fillId="11" borderId="1" xfId="1" applyFont="1" applyFill="1" applyAlignment="1" applyProtection="1">
      <alignment horizontal="center" vertical="center" wrapText="1"/>
      <protection locked="0"/>
    </xf>
    <xf numFmtId="0" fontId="32" fillId="9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7" borderId="1" xfId="1" applyNumberFormat="1" applyFill="1" applyAlignment="1" applyProtection="1">
      <alignment horizontal="center" vertical="center" wrapText="1"/>
      <protection locked="0"/>
    </xf>
    <xf numFmtId="49" fontId="2" fillId="7" borderId="1" xfId="1" applyNumberFormat="1" applyFill="1" applyAlignment="1" applyProtection="1">
      <alignment vertical="center" wrapText="1"/>
      <protection locked="0"/>
    </xf>
    <xf numFmtId="0" fontId="19" fillId="0" borderId="0" xfId="0" quotePrefix="1" applyFont="1" applyAlignment="1">
      <alignment horizontal="left" vertical="center"/>
    </xf>
    <xf numFmtId="2" fontId="0" fillId="0" borderId="1" xfId="0" applyNumberFormat="1" applyFill="1" applyBorder="1" applyAlignment="1">
      <alignment horizontal="center" vertical="center"/>
    </xf>
    <xf numFmtId="0" fontId="35" fillId="0" borderId="0" xfId="2" applyFont="1"/>
    <xf numFmtId="0" fontId="40" fillId="0" borderId="18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47" xfId="0" applyFont="1" applyBorder="1" applyAlignment="1">
      <alignment horizontal="center" vertical="center"/>
    </xf>
    <xf numFmtId="0" fontId="36" fillId="15" borderId="1" xfId="0" applyFont="1" applyFill="1" applyBorder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48" xfId="0" quotePrefix="1" applyFont="1" applyBorder="1" applyAlignment="1">
      <alignment horizontal="center" vertical="center"/>
    </xf>
    <xf numFmtId="0" fontId="36" fillId="14" borderId="7" xfId="0" applyFont="1" applyFill="1" applyBorder="1" applyAlignment="1">
      <alignment horizontal="center" vertical="center"/>
    </xf>
    <xf numFmtId="49" fontId="36" fillId="14" borderId="1" xfId="0" applyNumberFormat="1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0" fontId="36" fillId="14" borderId="1" xfId="0" quotePrefix="1" applyFont="1" applyFill="1" applyBorder="1" applyAlignment="1">
      <alignment horizontal="center" vertical="center"/>
    </xf>
    <xf numFmtId="0" fontId="36" fillId="14" borderId="8" xfId="0" applyFont="1" applyFill="1" applyBorder="1" applyAlignment="1">
      <alignment horizontal="center" vertical="center"/>
    </xf>
    <xf numFmtId="0" fontId="38" fillId="16" borderId="7" xfId="0" applyFont="1" applyFill="1" applyBorder="1" applyAlignment="1">
      <alignment horizontal="center" vertical="center"/>
    </xf>
    <xf numFmtId="49" fontId="38" fillId="16" borderId="1" xfId="0" applyNumberFormat="1" applyFont="1" applyFill="1" applyBorder="1" applyAlignment="1">
      <alignment horizontal="center" vertical="center"/>
    </xf>
    <xf numFmtId="0" fontId="38" fillId="16" borderId="1" xfId="0" applyFont="1" applyFill="1" applyBorder="1" applyAlignment="1">
      <alignment horizontal="center" vertical="center"/>
    </xf>
    <xf numFmtId="0" fontId="38" fillId="16" borderId="8" xfId="0" applyFont="1" applyFill="1" applyBorder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14" borderId="14" xfId="0" applyFont="1" applyFill="1" applyBorder="1" applyAlignment="1">
      <alignment horizontal="center" vertical="center"/>
    </xf>
    <xf numFmtId="49" fontId="36" fillId="14" borderId="3" xfId="0" applyNumberFormat="1" applyFont="1" applyFill="1" applyBorder="1" applyAlignment="1">
      <alignment horizontal="center" vertical="center"/>
    </xf>
    <xf numFmtId="0" fontId="36" fillId="14" borderId="3" xfId="0" applyFont="1" applyFill="1" applyBorder="1" applyAlignment="1">
      <alignment horizontal="center" vertical="center"/>
    </xf>
    <xf numFmtId="0" fontId="36" fillId="14" borderId="12" xfId="0" applyFont="1" applyFill="1" applyBorder="1" applyAlignment="1">
      <alignment horizontal="center" vertical="center"/>
    </xf>
    <xf numFmtId="0" fontId="40" fillId="0" borderId="40" xfId="0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/>
    </xf>
    <xf numFmtId="0" fontId="42" fillId="0" borderId="49" xfId="0" quotePrefix="1" applyFont="1" applyBorder="1" applyAlignment="1">
      <alignment horizontal="center" vertical="center"/>
    </xf>
    <xf numFmtId="0" fontId="36" fillId="15" borderId="21" xfId="0" applyFont="1" applyFill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/>
    </xf>
    <xf numFmtId="0" fontId="36" fillId="0" borderId="0" xfId="0" applyFont="1">
      <alignment vertical="center"/>
    </xf>
    <xf numFmtId="49" fontId="36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9" fillId="0" borderId="0" xfId="0" applyNumberFormat="1" applyFont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36" fillId="0" borderId="0" xfId="0" quotePrefix="1" applyFont="1" applyBorder="1" applyAlignment="1">
      <alignment horizontal="center" vertical="center"/>
    </xf>
    <xf numFmtId="49" fontId="2" fillId="0" borderId="1" xfId="1" applyNumberFormat="1" applyAlignment="1" applyProtection="1">
      <alignment horizontal="center" vertical="center" wrapText="1"/>
      <protection locked="0"/>
    </xf>
    <xf numFmtId="0" fontId="43" fillId="8" borderId="1" xfId="0" applyFont="1" applyFill="1" applyBorder="1" applyAlignment="1">
      <alignment horizontal="center" vertical="center"/>
    </xf>
    <xf numFmtId="49" fontId="2" fillId="0" borderId="1" xfId="1" applyNumberFormat="1" applyAlignment="1" applyProtection="1">
      <alignment horizontal="center" vertical="center" wrapText="1"/>
      <protection locked="0"/>
    </xf>
    <xf numFmtId="0" fontId="36" fillId="0" borderId="4" xfId="0" applyFont="1" applyBorder="1" applyAlignment="1">
      <alignment horizontal="center" vertical="center"/>
    </xf>
    <xf numFmtId="0" fontId="36" fillId="15" borderId="5" xfId="0" applyFont="1" applyFill="1" applyBorder="1" applyAlignment="1">
      <alignment horizontal="center" vertical="center"/>
    </xf>
    <xf numFmtId="0" fontId="38" fillId="16" borderId="16" xfId="0" applyFont="1" applyFill="1" applyBorder="1" applyAlignment="1">
      <alignment horizontal="center" vertical="center"/>
    </xf>
    <xf numFmtId="49" fontId="38" fillId="16" borderId="9" xfId="0" applyNumberFormat="1" applyFont="1" applyFill="1" applyBorder="1" applyAlignment="1">
      <alignment horizontal="center" vertical="center"/>
    </xf>
    <xf numFmtId="0" fontId="38" fillId="16" borderId="9" xfId="0" applyFont="1" applyFill="1" applyBorder="1" applyAlignment="1">
      <alignment horizontal="center" vertical="center"/>
    </xf>
    <xf numFmtId="0" fontId="38" fillId="16" borderId="1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49" fontId="17" fillId="10" borderId="3" xfId="1" applyNumberFormat="1" applyFont="1" applyFill="1" applyBorder="1" applyAlignment="1" applyProtection="1">
      <alignment vertical="center" wrapText="1"/>
      <protection locked="0"/>
    </xf>
    <xf numFmtId="0" fontId="17" fillId="3" borderId="3" xfId="0" applyFont="1" applyFill="1" applyBorder="1">
      <alignment vertical="center"/>
    </xf>
    <xf numFmtId="0" fontId="7" fillId="0" borderId="21" xfId="0" applyFont="1" applyBorder="1" applyAlignment="1">
      <alignment horizontal="center" vertical="center"/>
    </xf>
    <xf numFmtId="49" fontId="7" fillId="0" borderId="41" xfId="1" applyNumberFormat="1" applyFont="1" applyBorder="1" applyAlignment="1" applyProtection="1">
      <alignment horizontal="center" vertical="center" wrapText="1"/>
      <protection locked="0"/>
    </xf>
    <xf numFmtId="0" fontId="36" fillId="0" borderId="0" xfId="0" applyNumberFormat="1" applyFont="1" applyBorder="1" applyAlignment="1">
      <alignment horizontal="center" vertical="center"/>
    </xf>
    <xf numFmtId="0" fontId="36" fillId="0" borderId="34" xfId="0" applyNumberFormat="1" applyFont="1" applyBorder="1" applyAlignment="1">
      <alignment horizontal="center" vertical="center"/>
    </xf>
    <xf numFmtId="49" fontId="44" fillId="4" borderId="1" xfId="1" applyNumberFormat="1" applyFont="1" applyFill="1" applyBorder="1" applyAlignment="1" applyProtection="1">
      <alignment horizontal="center" vertical="center" shrinkToFit="1"/>
      <protection locked="0"/>
    </xf>
    <xf numFmtId="0" fontId="44" fillId="4" borderId="1" xfId="0" applyFont="1" applyFill="1" applyBorder="1" applyAlignment="1">
      <alignment horizontal="center" vertical="center" shrinkToFit="1"/>
    </xf>
    <xf numFmtId="0" fontId="0" fillId="0" borderId="0" xfId="0" applyFill="1" applyAlignment="1">
      <alignment horizontal="center" vertical="center"/>
    </xf>
    <xf numFmtId="49" fontId="2" fillId="0" borderId="1" xfId="1" applyNumberFormat="1" applyAlignment="1" applyProtection="1">
      <alignment horizontal="center" vertical="center" wrapText="1"/>
      <protection locked="0"/>
    </xf>
    <xf numFmtId="49" fontId="2" fillId="0" borderId="1" xfId="1" applyNumberFormat="1" applyAlignment="1" applyProtection="1">
      <alignment horizontal="center" vertical="center" wrapText="1"/>
      <protection locked="0"/>
    </xf>
    <xf numFmtId="49" fontId="2" fillId="0" borderId="1" xfId="1" applyNumberFormat="1" applyAlignment="1" applyProtection="1">
      <alignment horizontal="center" vertical="center" wrapText="1"/>
      <protection locked="0"/>
    </xf>
    <xf numFmtId="49" fontId="2" fillId="0" borderId="1" xfId="1" applyNumberFormat="1" applyAlignment="1" applyProtection="1">
      <alignment horizontal="center" vertical="center" wrapText="1"/>
      <protection locked="0"/>
    </xf>
    <xf numFmtId="0" fontId="7" fillId="0" borderId="26" xfId="0" applyFont="1" applyBorder="1" applyAlignment="1">
      <alignment horizontal="center" vertical="center"/>
    </xf>
    <xf numFmtId="49" fontId="7" fillId="0" borderId="11" xfId="1" applyNumberFormat="1" applyFont="1" applyBorder="1" applyAlignment="1" applyProtection="1">
      <alignment horizontal="center" vertical="center" wrapText="1"/>
      <protection locked="0"/>
    </xf>
    <xf numFmtId="49" fontId="2" fillId="7" borderId="1" xfId="1" applyNumberFormat="1" applyFont="1" applyFill="1" applyAlignment="1" applyProtection="1">
      <alignment vertical="center" wrapText="1"/>
      <protection locked="0"/>
    </xf>
    <xf numFmtId="49" fontId="2" fillId="7" borderId="1" xfId="1" applyNumberFormat="1" applyFont="1" applyFill="1" applyAlignment="1" applyProtection="1">
      <alignment horizontal="center" vertical="center" wrapText="1"/>
      <protection locked="0"/>
    </xf>
    <xf numFmtId="49" fontId="2" fillId="0" borderId="1" xfId="1" applyNumberFormat="1" applyFont="1" applyFill="1" applyAlignment="1" applyProtection="1">
      <alignment vertical="center" wrapText="1"/>
      <protection locked="0"/>
    </xf>
    <xf numFmtId="49" fontId="7" fillId="0" borderId="11" xfId="1" applyNumberFormat="1" applyFont="1" applyBorder="1" applyAlignment="1" applyProtection="1">
      <alignment horizontal="center" vertical="center" wrapText="1"/>
      <protection locked="0"/>
    </xf>
    <xf numFmtId="49" fontId="7" fillId="0" borderId="37" xfId="1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20" fillId="0" borderId="0" xfId="0" applyFont="1">
      <alignment vertical="center"/>
    </xf>
    <xf numFmtId="0" fontId="7" fillId="7" borderId="1" xfId="0" applyFont="1" applyFill="1" applyBorder="1" applyAlignment="1">
      <alignment horizontal="center" vertical="center"/>
    </xf>
    <xf numFmtId="49" fontId="7" fillId="7" borderId="1" xfId="1" applyNumberFormat="1" applyFont="1" applyFill="1" applyBorder="1" applyAlignment="1" applyProtection="1">
      <alignment horizontal="center" vertical="center" wrapText="1"/>
      <protection locked="0"/>
    </xf>
    <xf numFmtId="49" fontId="7" fillId="7" borderId="1" xfId="1" applyNumberFormat="1" applyFont="1" applyFill="1" applyBorder="1" applyAlignment="1" applyProtection="1">
      <alignment horizontal="center" vertical="center" shrinkToFit="1"/>
      <protection locked="0"/>
    </xf>
    <xf numFmtId="49" fontId="44" fillId="7" borderId="1" xfId="1" applyNumberFormat="1" applyFont="1" applyFill="1" applyBorder="1" applyAlignment="1" applyProtection="1">
      <alignment horizontal="center" vertical="center" shrinkToFit="1"/>
      <protection locked="0"/>
    </xf>
    <xf numFmtId="0" fontId="7" fillId="7" borderId="1" xfId="0" applyFont="1" applyFill="1" applyBorder="1">
      <alignment vertical="center"/>
    </xf>
    <xf numFmtId="0" fontId="7" fillId="7" borderId="1" xfId="0" applyFont="1" applyFill="1" applyBorder="1" applyAlignment="1">
      <alignment horizontal="center" vertical="center" shrinkToFit="1"/>
    </xf>
    <xf numFmtId="49" fontId="7" fillId="7" borderId="1" xfId="3" applyNumberFormat="1" applyFont="1" applyFill="1" applyBorder="1" applyAlignment="1" applyProtection="1">
      <alignment vertical="center" wrapText="1"/>
      <protection locked="0"/>
    </xf>
    <xf numFmtId="0" fontId="7" fillId="7" borderId="1" xfId="0" applyFont="1" applyFill="1" applyBorder="1" applyAlignment="1">
      <alignment horizontal="left" vertical="center"/>
    </xf>
    <xf numFmtId="0" fontId="44" fillId="7" borderId="1" xfId="0" applyFont="1" applyFill="1" applyBorder="1" applyAlignment="1">
      <alignment horizontal="center" vertical="center" shrinkToFit="1"/>
    </xf>
    <xf numFmtId="0" fontId="17" fillId="7" borderId="14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49" fontId="17" fillId="7" borderId="1" xfId="1" applyNumberFormat="1" applyFont="1" applyFill="1" applyAlignment="1" applyProtection="1">
      <alignment horizontal="center" vertical="center" wrapText="1"/>
      <protection locked="0"/>
    </xf>
    <xf numFmtId="49" fontId="17" fillId="7" borderId="1" xfId="1" applyNumberFormat="1" applyFont="1" applyFill="1" applyAlignment="1" applyProtection="1">
      <alignment horizontal="center" vertical="center" shrinkToFit="1"/>
      <protection locked="0"/>
    </xf>
    <xf numFmtId="0" fontId="17" fillId="7" borderId="1" xfId="0" applyFont="1" applyFill="1" applyBorder="1">
      <alignment vertical="center"/>
    </xf>
    <xf numFmtId="49" fontId="17" fillId="7" borderId="1" xfId="1" applyNumberFormat="1" applyFont="1" applyFill="1" applyAlignment="1" applyProtection="1">
      <alignment vertical="center" wrapText="1"/>
      <protection locked="0"/>
    </xf>
    <xf numFmtId="0" fontId="17" fillId="7" borderId="19" xfId="0" applyFont="1" applyFill="1" applyBorder="1" applyAlignment="1">
      <alignment horizontal="left" vertical="center"/>
    </xf>
    <xf numFmtId="49" fontId="17" fillId="7" borderId="1" xfId="1" applyNumberFormat="1" applyFont="1" applyFill="1" applyBorder="1" applyAlignment="1" applyProtection="1">
      <alignment horizontal="center" vertical="center" wrapText="1"/>
      <protection locked="0"/>
    </xf>
    <xf numFmtId="49" fontId="17" fillId="7" borderId="1" xfId="1" applyNumberFormat="1" applyFont="1" applyFill="1" applyBorder="1" applyAlignment="1" applyProtection="1">
      <alignment horizontal="center" vertical="center" shrinkToFit="1"/>
      <protection locked="0"/>
    </xf>
    <xf numFmtId="49" fontId="17" fillId="7" borderId="1" xfId="1" applyNumberFormat="1" applyFont="1" applyFill="1" applyBorder="1" applyAlignment="1" applyProtection="1">
      <alignment vertical="center" wrapText="1"/>
      <protection locked="0"/>
    </xf>
    <xf numFmtId="0" fontId="17" fillId="7" borderId="1" xfId="0" applyFont="1" applyFill="1" applyBorder="1" applyAlignment="1">
      <alignment horizontal="left" vertical="center"/>
    </xf>
    <xf numFmtId="0" fontId="17" fillId="10" borderId="1" xfId="3" applyFont="1" applyFill="1" applyBorder="1">
      <alignment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7" fillId="7" borderId="3" xfId="1" applyNumberFormat="1" applyFont="1" applyFill="1" applyBorder="1" applyAlignment="1" applyProtection="1">
      <alignment horizontal="center" vertical="center" wrapText="1"/>
      <protection locked="0"/>
    </xf>
    <xf numFmtId="0" fontId="7" fillId="7" borderId="3" xfId="0" applyFont="1" applyFill="1" applyBorder="1" applyAlignment="1">
      <alignment horizontal="center" vertical="center" shrinkToFit="1"/>
    </xf>
    <xf numFmtId="0" fontId="7" fillId="7" borderId="3" xfId="0" applyFont="1" applyFill="1" applyBorder="1">
      <alignment vertical="center"/>
    </xf>
    <xf numFmtId="176" fontId="7" fillId="7" borderId="3" xfId="0" applyNumberFormat="1" applyFont="1" applyFill="1" applyBorder="1" applyAlignment="1">
      <alignment horizontal="center" vertical="center" shrinkToFit="1"/>
    </xf>
    <xf numFmtId="49" fontId="7" fillId="7" borderId="3" xfId="3" applyNumberFormat="1" applyFont="1" applyFill="1" applyBorder="1" applyAlignment="1" applyProtection="1">
      <alignment vertical="center" wrapText="1"/>
      <protection locked="0"/>
    </xf>
    <xf numFmtId="0" fontId="7" fillId="7" borderId="20" xfId="0" applyFont="1" applyFill="1" applyBorder="1" applyAlignment="1">
      <alignment horizontal="left" vertical="center"/>
    </xf>
    <xf numFmtId="176" fontId="7" fillId="4" borderId="1" xfId="1" applyNumberFormat="1" applyFont="1" applyFill="1" applyAlignment="1" applyProtection="1">
      <alignment horizontal="center" vertical="center" shrinkToFit="1"/>
      <protection locked="0"/>
    </xf>
    <xf numFmtId="176" fontId="45" fillId="4" borderId="1" xfId="0" applyNumberFormat="1" applyFont="1" applyFill="1" applyBorder="1" applyAlignment="1">
      <alignment horizontal="center" vertical="center" shrinkToFit="1"/>
    </xf>
    <xf numFmtId="176" fontId="45" fillId="4" borderId="1" xfId="1" applyNumberFormat="1" applyFont="1" applyFill="1" applyAlignment="1" applyProtection="1">
      <alignment horizontal="center" vertical="center" shrinkToFit="1"/>
      <protection locked="0"/>
    </xf>
    <xf numFmtId="0" fontId="48" fillId="10" borderId="1" xfId="0" applyFont="1" applyFill="1" applyBorder="1" applyAlignment="1">
      <alignment horizontal="center" vertical="center"/>
    </xf>
    <xf numFmtId="0" fontId="49" fillId="10" borderId="1" xfId="0" applyFont="1" applyFill="1" applyBorder="1" applyAlignment="1">
      <alignment horizontal="center" vertical="center"/>
    </xf>
    <xf numFmtId="49" fontId="48" fillId="10" borderId="1" xfId="1" applyNumberFormat="1" applyFont="1" applyFill="1" applyBorder="1" applyAlignment="1" applyProtection="1">
      <alignment horizontal="center" vertical="center" wrapText="1"/>
      <protection locked="0"/>
    </xf>
    <xf numFmtId="49" fontId="48" fillId="10" borderId="1" xfId="1" applyNumberFormat="1" applyFont="1" applyFill="1" applyBorder="1" applyAlignment="1" applyProtection="1">
      <alignment horizontal="center" vertical="center" shrinkToFit="1"/>
      <protection locked="0"/>
    </xf>
    <xf numFmtId="49" fontId="48" fillId="10" borderId="1" xfId="1" applyNumberFormat="1" applyFont="1" applyFill="1" applyBorder="1" applyAlignment="1" applyProtection="1">
      <alignment vertical="center" wrapText="1"/>
      <protection locked="0"/>
    </xf>
    <xf numFmtId="0" fontId="48" fillId="10" borderId="1" xfId="0" applyFont="1" applyFill="1" applyBorder="1" applyAlignment="1">
      <alignment horizontal="left" vertical="center"/>
    </xf>
    <xf numFmtId="0" fontId="50" fillId="0" borderId="0" xfId="0" applyFont="1">
      <alignment vertical="center"/>
    </xf>
    <xf numFmtId="0" fontId="48" fillId="10" borderId="1" xfId="0" applyFont="1" applyFill="1" applyBorder="1">
      <alignment vertical="center"/>
    </xf>
    <xf numFmtId="0" fontId="48" fillId="10" borderId="1" xfId="0" applyFont="1" applyFill="1" applyBorder="1" applyAlignment="1">
      <alignment horizontal="center" vertical="center" shrinkToFit="1"/>
    </xf>
    <xf numFmtId="0" fontId="48" fillId="10" borderId="1" xfId="3" applyFont="1" applyFill="1" applyBorder="1" applyAlignment="1">
      <alignment horizontal="center" vertical="center"/>
    </xf>
    <xf numFmtId="49" fontId="48" fillId="10" borderId="1" xfId="3" applyNumberFormat="1" applyFont="1" applyFill="1" applyBorder="1" applyAlignment="1" applyProtection="1">
      <alignment vertical="center" wrapText="1"/>
      <protection locked="0"/>
    </xf>
    <xf numFmtId="0" fontId="46" fillId="0" borderId="0" xfId="0" applyFont="1">
      <alignment vertical="center"/>
    </xf>
    <xf numFmtId="0" fontId="36" fillId="14" borderId="44" xfId="0" applyFont="1" applyFill="1" applyBorder="1" applyAlignment="1">
      <alignment horizontal="center" vertical="center"/>
    </xf>
    <xf numFmtId="0" fontId="36" fillId="14" borderId="45" xfId="0" applyFont="1" applyFill="1" applyBorder="1" applyAlignment="1">
      <alignment horizontal="center" vertical="center"/>
    </xf>
    <xf numFmtId="0" fontId="36" fillId="14" borderId="46" xfId="0" applyFont="1" applyFill="1" applyBorder="1" applyAlignment="1">
      <alignment horizontal="center" vertical="center"/>
    </xf>
    <xf numFmtId="0" fontId="34" fillId="0" borderId="34" xfId="2" applyFont="1" applyBorder="1"/>
    <xf numFmtId="0" fontId="37" fillId="0" borderId="44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8" fillId="13" borderId="5" xfId="4" applyFont="1" applyBorder="1" applyAlignment="1">
      <alignment horizontal="center" vertical="center"/>
    </xf>
    <xf numFmtId="0" fontId="38" fillId="13" borderId="1" xfId="4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/>
    </xf>
    <xf numFmtId="0" fontId="36" fillId="0" borderId="45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7" fillId="14" borderId="44" xfId="0" applyFont="1" applyFill="1" applyBorder="1" applyAlignment="1">
      <alignment horizontal="center" vertical="center"/>
    </xf>
    <xf numFmtId="0" fontId="37" fillId="14" borderId="45" xfId="0" applyFont="1" applyFill="1" applyBorder="1" applyAlignment="1">
      <alignment horizontal="center" vertical="center"/>
    </xf>
    <xf numFmtId="0" fontId="37" fillId="14" borderId="4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7" fillId="0" borderId="11" xfId="1" applyNumberFormat="1" applyFont="1" applyBorder="1" applyAlignment="1" applyProtection="1">
      <alignment horizontal="center" vertical="center" wrapText="1"/>
      <protection locked="0"/>
    </xf>
    <xf numFmtId="49" fontId="7" fillId="0" borderId="37" xfId="1" applyNumberFormat="1" applyFont="1" applyBorder="1" applyAlignment="1" applyProtection="1">
      <alignment horizontal="center" vertical="center" wrapText="1"/>
      <protection locked="0"/>
    </xf>
    <xf numFmtId="49" fontId="7" fillId="0" borderId="24" xfId="1" applyNumberFormat="1" applyFont="1" applyBorder="1" applyAlignment="1" applyProtection="1">
      <alignment horizontal="center" vertical="center" shrinkToFit="1"/>
      <protection locked="0"/>
    </xf>
    <xf numFmtId="49" fontId="7" fillId="0" borderId="18" xfId="1" applyNumberFormat="1" applyFont="1" applyBorder="1" applyAlignment="1" applyProtection="1">
      <alignment horizontal="center" vertical="center" shrinkToFit="1"/>
      <protection locked="0"/>
    </xf>
    <xf numFmtId="49" fontId="7" fillId="0" borderId="27" xfId="1" applyNumberFormat="1" applyFont="1" applyBorder="1" applyAlignment="1" applyProtection="1">
      <alignment horizontal="center" vertical="center" shrinkToFit="1"/>
      <protection locked="0"/>
    </xf>
    <xf numFmtId="0" fontId="7" fillId="0" borderId="11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7" fillId="0" borderId="3" xfId="1" applyNumberFormat="1" applyFont="1" applyBorder="1" applyAlignment="1" applyProtection="1">
      <alignment horizontal="center" vertical="center" wrapText="1"/>
      <protection locked="0"/>
    </xf>
    <xf numFmtId="0" fontId="7" fillId="0" borderId="5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49" fontId="2" fillId="0" borderId="25" xfId="1" applyNumberFormat="1" applyBorder="1" applyAlignment="1" applyProtection="1">
      <alignment horizontal="center" vertical="center" wrapText="1"/>
      <protection locked="0"/>
    </xf>
    <xf numFmtId="49" fontId="2" fillId="0" borderId="19" xfId="1" applyNumberFormat="1" applyBorder="1" applyAlignment="1" applyProtection="1">
      <alignment horizontal="center" vertical="center" wrapText="1"/>
      <protection locked="0"/>
    </xf>
    <xf numFmtId="49" fontId="2" fillId="0" borderId="17" xfId="1" applyNumberFormat="1" applyBorder="1" applyAlignment="1" applyProtection="1">
      <alignment horizontal="center" vertical="center" wrapText="1"/>
      <protection locked="0"/>
    </xf>
    <xf numFmtId="49" fontId="2" fillId="0" borderId="1" xfId="1" applyNumberFormat="1" applyBorder="1" applyAlignment="1" applyProtection="1">
      <alignment horizontal="center" vertical="center" wrapText="1"/>
      <protection locked="0"/>
    </xf>
    <xf numFmtId="49" fontId="2" fillId="0" borderId="1" xfId="1" applyNumberFormat="1" applyAlignment="1" applyProtection="1">
      <alignment horizontal="center" vertical="center" wrapText="1"/>
      <protection locked="0"/>
    </xf>
    <xf numFmtId="0" fontId="51" fillId="0" borderId="0" xfId="0" applyFont="1">
      <alignment vertical="center"/>
    </xf>
    <xf numFmtId="0" fontId="17" fillId="5" borderId="3" xfId="0" applyFont="1" applyFill="1" applyBorder="1" applyAlignment="1">
      <alignment horizontal="center" vertical="center" shrinkToFit="1"/>
    </xf>
    <xf numFmtId="0" fontId="17" fillId="5" borderId="3" xfId="0" applyFont="1" applyFill="1" applyBorder="1" applyAlignment="1">
      <alignment horizontal="left" vertical="center"/>
    </xf>
    <xf numFmtId="0" fontId="9" fillId="0" borderId="20" xfId="0" applyFont="1" applyBorder="1">
      <alignment vertical="center"/>
    </xf>
  </cellXfs>
  <cellStyles count="5">
    <cellStyle name="EplDataRWStyle" xfId="1" xr:uid="{00000000-0005-0000-0000-000000000000}"/>
    <cellStyle name="메모" xfId="3" builtinId="10"/>
    <cellStyle name="좋음" xfId="4" builtinId="26"/>
    <cellStyle name="표준" xfId="0" builtinId="0"/>
    <cellStyle name="표준 2" xfId="2" xr:uid="{00000000-0005-0000-0000-000004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HI\Desktop\Standard_SCR%20system%20Signal%20list%20&amp;%20Configuration_2501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3_MOCS\FDS\&#52280;&#44256;&#51088;&#47308;_&#45236;&#48512;\Standard_SCR%20system%20Signal%20list%20&amp;%20Configuration_22011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HiMECS&#44060;&#48156;&#51088;&#47308;/03_HiMECS-A1&amp;A2&amp;W2/05_IO%20&amp;%20Safety%20Functional%20List/IO_functional_list/02_HiMECS-DF-A2_A2+_NG/HiMECS-DF-A2_IO%20functional%20list_rev48_1_check%20for%20distribu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0.25.203\k2f0\10.HiMECS&#44060;&#48156;&#51088;&#47308;\03_HiMECS-A1&amp;A2&amp;W2\05_IO%20&amp;%20Safety%20Functional%20List\IO_functional_list\02_HiMECS-DF-A2_A2+_NG\HiMECS-DF-A2_IO%20functional%20list_rev48_1_check%20for%20distrib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_Configuration"/>
      <sheetName val="Revision History"/>
      <sheetName val="Terminal_Arr"/>
      <sheetName val="Module_Arr"/>
      <sheetName val="Terminal_Arr (2)"/>
      <sheetName val="Common TB"/>
      <sheetName val="Common TB (2)"/>
      <sheetName val="2S-HP TB"/>
      <sheetName val="2S-LP(Blower)"/>
      <sheetName val="2S-HP TB (3)"/>
      <sheetName val="2S-LP TB"/>
      <sheetName val="4S-LP TB"/>
      <sheetName val="통합 정보"/>
      <sheetName val="Common_Module"/>
      <sheetName val="2S-HP_Module"/>
      <sheetName val="2S-LP_Module"/>
      <sheetName val="4S-LP_Module"/>
    </sheetNames>
    <sheetDataSet>
      <sheetData sheetId="0"/>
      <sheetData sheetId="1"/>
      <sheetData sheetId="2"/>
      <sheetData sheetId="3">
        <row r="3">
          <cell r="C3" t="str">
            <v>X20CP3585</v>
          </cell>
        </row>
        <row r="4">
          <cell r="C4" t="str">
            <v>X20HB8880</v>
          </cell>
        </row>
        <row r="5">
          <cell r="C5" t="str">
            <v>X20HB2880</v>
          </cell>
        </row>
        <row r="6">
          <cell r="C6" t="str">
            <v>X20PS8002</v>
          </cell>
        </row>
        <row r="7">
          <cell r="C7" t="str">
            <v>X20BC8084</v>
          </cell>
        </row>
        <row r="8">
          <cell r="C8" t="str">
            <v>X20HB2885</v>
          </cell>
        </row>
        <row r="9">
          <cell r="C9" t="str">
            <v>X20PS9400</v>
          </cell>
        </row>
        <row r="10">
          <cell r="C10" t="str">
            <v>X20CS1030</v>
          </cell>
        </row>
        <row r="11">
          <cell r="C11" t="str">
            <v>X20PS2100</v>
          </cell>
        </row>
        <row r="12">
          <cell r="C12" t="str">
            <v>X20PS3300</v>
          </cell>
        </row>
        <row r="13">
          <cell r="C13" t="str">
            <v>X20DIF371</v>
          </cell>
        </row>
        <row r="14">
          <cell r="C14" t="str">
            <v>X20DOF322</v>
          </cell>
        </row>
        <row r="15">
          <cell r="C15" t="str">
            <v>X20AI8321</v>
          </cell>
        </row>
        <row r="16">
          <cell r="C16" t="str">
            <v>X20AO4622</v>
          </cell>
        </row>
        <row r="17">
          <cell r="C17" t="str">
            <v>X20AT4222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minal_Arr"/>
      <sheetName val="Module_Arr"/>
      <sheetName val="Common"/>
      <sheetName val="2S-HP"/>
      <sheetName val="2S-LP(Blower)"/>
      <sheetName val="2S-LP(X-FD)"/>
      <sheetName val="4S-LP"/>
      <sheetName val="Common_Module"/>
      <sheetName val="2S-HP_Module"/>
      <sheetName val="2S-LP_Module"/>
      <sheetName val="4S-LP_Module"/>
    </sheetNames>
    <sheetDataSet>
      <sheetData sheetId="0"/>
      <sheetData sheetId="1">
        <row r="3">
          <cell r="C3" t="str">
            <v>X20CP3585</v>
          </cell>
        </row>
        <row r="4">
          <cell r="C4" t="str">
            <v>X20HB8880</v>
          </cell>
        </row>
        <row r="5">
          <cell r="C5" t="str">
            <v>X20HB2880</v>
          </cell>
        </row>
        <row r="6">
          <cell r="C6" t="str">
            <v>X20PS8002</v>
          </cell>
        </row>
        <row r="7">
          <cell r="C7" t="str">
            <v>X20BC8084</v>
          </cell>
        </row>
        <row r="8">
          <cell r="C8" t="str">
            <v>X20HB2885</v>
          </cell>
        </row>
        <row r="9">
          <cell r="C9" t="str">
            <v>X20PS9400</v>
          </cell>
        </row>
        <row r="10">
          <cell r="C10" t="str">
            <v>X20CS1030</v>
          </cell>
        </row>
        <row r="11">
          <cell r="C11" t="str">
            <v>X20PS2100</v>
          </cell>
        </row>
        <row r="12">
          <cell r="C12" t="str">
            <v>X20PS3300</v>
          </cell>
        </row>
        <row r="13">
          <cell r="C13" t="str">
            <v>X20DIF371</v>
          </cell>
        </row>
        <row r="14">
          <cell r="C14" t="str">
            <v>X20DOF322</v>
          </cell>
        </row>
        <row r="15">
          <cell r="C15" t="str">
            <v>X20AI8321</v>
          </cell>
        </row>
        <row r="16">
          <cell r="C16" t="str">
            <v>X20AO4622</v>
          </cell>
        </row>
        <row r="17">
          <cell r="C17" t="str">
            <v>X20AT4222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&amp;Abbreviation"/>
      <sheetName val="I_O functional list"/>
      <sheetName val="IO_Configuration"/>
      <sheetName val="IO_Configuration_A2plus"/>
      <sheetName val="No. of I_O L-type"/>
      <sheetName val="No. of I_O V-type"/>
      <sheetName val="Abbreviation"/>
      <sheetName val="Cable gland"/>
    </sheetNames>
    <sheetDataSet>
      <sheetData sheetId="0"/>
      <sheetData sheetId="1">
        <row r="2">
          <cell r="B2">
            <v>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&amp;Abbreviation"/>
      <sheetName val="I_O functional list"/>
      <sheetName val="IO_Configuration"/>
      <sheetName val="IO_Configuration_A2plus"/>
      <sheetName val="No. of I_O L-type"/>
      <sheetName val="No. of I_O V-type"/>
      <sheetName val="Abbreviation"/>
      <sheetName val="Cable gland"/>
    </sheetNames>
    <sheetDataSet>
      <sheetData sheetId="0"/>
      <sheetData sheetId="1">
        <row r="2">
          <cell r="B2">
            <v>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2011-3488-495F-B889-04C9A76096D2}">
  <sheetPr codeName="Sheet1">
    <tabColor rgb="FFFF0000"/>
  </sheetPr>
  <dimension ref="A1:C7"/>
  <sheetViews>
    <sheetView tabSelected="1" workbookViewId="0">
      <selection activeCell="D6" sqref="D6"/>
    </sheetView>
  </sheetViews>
  <sheetFormatPr defaultRowHeight="17.399999999999999"/>
  <cols>
    <col min="3" max="3" width="100" customWidth="1"/>
    <col min="4" max="4" width="26.8984375" bestFit="1" customWidth="1"/>
  </cols>
  <sheetData>
    <row r="1" spans="1:3">
      <c r="A1" s="287" t="s">
        <v>1179</v>
      </c>
      <c r="B1" s="287"/>
      <c r="C1" s="287"/>
    </row>
    <row r="2" spans="1:3">
      <c r="A2" s="287" t="s">
        <v>1180</v>
      </c>
      <c r="B2" s="287"/>
      <c r="C2" s="287"/>
    </row>
    <row r="3" spans="1:3">
      <c r="A3" s="54" t="s">
        <v>1088</v>
      </c>
      <c r="B3" s="54" t="s">
        <v>1089</v>
      </c>
      <c r="C3" s="54" t="s">
        <v>34</v>
      </c>
    </row>
    <row r="4" spans="1:3" ht="87">
      <c r="A4" t="s">
        <v>1201</v>
      </c>
      <c r="B4" t="s">
        <v>1234</v>
      </c>
      <c r="C4" s="241" t="s">
        <v>1233</v>
      </c>
    </row>
    <row r="5" spans="1:3" ht="87">
      <c r="A5" t="s">
        <v>1187</v>
      </c>
      <c r="B5" t="s">
        <v>1200</v>
      </c>
      <c r="C5" s="241" t="s">
        <v>1232</v>
      </c>
    </row>
    <row r="6" spans="1:3" ht="34.799999999999997">
      <c r="A6" t="s">
        <v>1185</v>
      </c>
      <c r="B6" t="s">
        <v>1126</v>
      </c>
      <c r="C6" s="241" t="s">
        <v>1186</v>
      </c>
    </row>
    <row r="7" spans="1:3" ht="69.599999999999994">
      <c r="A7" t="s">
        <v>1167</v>
      </c>
      <c r="B7" t="s">
        <v>1126</v>
      </c>
      <c r="C7" s="241" t="s">
        <v>1181</v>
      </c>
    </row>
  </sheetData>
  <mergeCells count="2">
    <mergeCell ref="A1:C1"/>
    <mergeCell ref="A2:C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00FF"/>
  </sheetPr>
  <dimension ref="B2:N40"/>
  <sheetViews>
    <sheetView showGridLines="0" zoomScaleNormal="100" workbookViewId="0">
      <selection activeCell="B29" sqref="B29:H29"/>
    </sheetView>
  </sheetViews>
  <sheetFormatPr defaultColWidth="9" defaultRowHeight="15.6"/>
  <cols>
    <col min="1" max="1" width="9" style="1"/>
    <col min="2" max="5" width="9" style="1" customWidth="1"/>
    <col min="6" max="7" width="12.69921875" style="1" customWidth="1"/>
    <col min="8" max="9" width="9" style="1" customWidth="1"/>
    <col min="10" max="10" width="15.8984375" style="1" customWidth="1"/>
    <col min="11" max="11" width="14.8984375" style="1" customWidth="1"/>
    <col min="12" max="12" width="9" style="1" customWidth="1"/>
    <col min="13" max="13" width="13.69921875" style="1" bestFit="1" customWidth="1"/>
    <col min="14" max="14" width="15.19921875" style="1" bestFit="1" customWidth="1"/>
    <col min="15" max="16384" width="9" style="1"/>
  </cols>
  <sheetData>
    <row r="2" spans="2:14" ht="16.8" thickBot="1">
      <c r="B2" s="291" t="s">
        <v>807</v>
      </c>
      <c r="C2" s="291"/>
      <c r="D2" s="291"/>
      <c r="E2" s="291"/>
      <c r="F2" s="291"/>
      <c r="G2" s="291"/>
      <c r="H2" s="291"/>
      <c r="I2" s="174"/>
      <c r="J2" s="174"/>
      <c r="K2" s="174"/>
      <c r="L2" s="174"/>
      <c r="M2" s="174"/>
      <c r="N2" s="174"/>
    </row>
    <row r="3" spans="2:14" ht="16.2" thickBot="1">
      <c r="B3" s="303" t="s">
        <v>808</v>
      </c>
      <c r="C3" s="304"/>
      <c r="D3" s="304"/>
      <c r="E3" s="304"/>
      <c r="F3" s="304"/>
      <c r="G3" s="304"/>
      <c r="H3" s="305"/>
      <c r="I3" s="174"/>
      <c r="J3" s="292" t="s">
        <v>809</v>
      </c>
      <c r="K3" s="293"/>
      <c r="L3" s="293"/>
      <c r="M3" s="293"/>
      <c r="N3" s="294"/>
    </row>
    <row r="4" spans="2:14" ht="16.2" thickBot="1">
      <c r="B4" s="306" t="s">
        <v>810</v>
      </c>
      <c r="C4" s="307"/>
      <c r="D4" s="307"/>
      <c r="E4" s="307"/>
      <c r="F4" s="307"/>
      <c r="G4" s="307"/>
      <c r="H4" s="308"/>
      <c r="I4" s="174"/>
      <c r="J4" s="295" t="s">
        <v>811</v>
      </c>
      <c r="K4" s="297" t="s">
        <v>812</v>
      </c>
      <c r="L4" s="299" t="s">
        <v>61</v>
      </c>
      <c r="M4" s="215" t="s">
        <v>813</v>
      </c>
      <c r="N4" s="301" t="s">
        <v>814</v>
      </c>
    </row>
    <row r="5" spans="2:14">
      <c r="B5" s="214"/>
      <c r="C5" s="175" t="s">
        <v>815</v>
      </c>
      <c r="D5" s="175" t="s">
        <v>816</v>
      </c>
      <c r="E5" s="176" t="s">
        <v>817</v>
      </c>
      <c r="F5" s="175" t="s">
        <v>818</v>
      </c>
      <c r="G5" s="175" t="s">
        <v>819</v>
      </c>
      <c r="H5" s="177" t="s">
        <v>820</v>
      </c>
      <c r="I5" s="174"/>
      <c r="J5" s="296"/>
      <c r="K5" s="298"/>
      <c r="L5" s="300"/>
      <c r="M5" s="178">
        <v>6</v>
      </c>
      <c r="N5" s="302"/>
    </row>
    <row r="6" spans="2:14">
      <c r="B6" s="179" t="s">
        <v>46</v>
      </c>
      <c r="C6" s="180">
        <f>F6*16</f>
        <v>16</v>
      </c>
      <c r="D6" s="180">
        <f>COUNTIF('Common module'!F:F,"DI")</f>
        <v>15</v>
      </c>
      <c r="E6" s="181">
        <f>C6-D6</f>
        <v>1</v>
      </c>
      <c r="F6" s="182">
        <v>1</v>
      </c>
      <c r="G6" s="180">
        <v>0</v>
      </c>
      <c r="H6" s="183">
        <f>F6+G6</f>
        <v>1</v>
      </c>
      <c r="I6" s="174"/>
      <c r="J6" s="184" t="s">
        <v>821</v>
      </c>
      <c r="K6" s="185" t="s">
        <v>822</v>
      </c>
      <c r="L6" s="186">
        <v>1</v>
      </c>
      <c r="M6" s="187" t="s">
        <v>69</v>
      </c>
      <c r="N6" s="188">
        <f>L6</f>
        <v>1</v>
      </c>
    </row>
    <row r="7" spans="2:14">
      <c r="B7" s="179" t="s">
        <v>38</v>
      </c>
      <c r="C7" s="180">
        <f>F7*16</f>
        <v>16</v>
      </c>
      <c r="D7" s="180">
        <f>COUNTIF('Common module'!F:F,"DO")</f>
        <v>7</v>
      </c>
      <c r="E7" s="181">
        <f t="shared" ref="E7:E8" si="0">C7-D7</f>
        <v>9</v>
      </c>
      <c r="F7" s="182">
        <v>1</v>
      </c>
      <c r="G7" s="180">
        <v>0</v>
      </c>
      <c r="H7" s="183">
        <f t="shared" ref="H7:H9" si="1">F7+G7</f>
        <v>1</v>
      </c>
      <c r="I7" s="174"/>
      <c r="J7" s="189" t="s">
        <v>823</v>
      </c>
      <c r="K7" s="190" t="s">
        <v>824</v>
      </c>
      <c r="L7" s="191">
        <v>1</v>
      </c>
      <c r="M7" s="191" t="s">
        <v>69</v>
      </c>
      <c r="N7" s="192">
        <f>L7</f>
        <v>1</v>
      </c>
    </row>
    <row r="8" spans="2:14">
      <c r="B8" s="179" t="s">
        <v>39</v>
      </c>
      <c r="C8" s="193">
        <f>F8*8</f>
        <v>8</v>
      </c>
      <c r="D8" s="180">
        <f>COUNTIF('Common module'!F:F,"AI")</f>
        <v>2</v>
      </c>
      <c r="E8" s="181">
        <f t="shared" si="0"/>
        <v>6</v>
      </c>
      <c r="F8" s="182">
        <v>1</v>
      </c>
      <c r="G8" s="180">
        <v>0</v>
      </c>
      <c r="H8" s="183">
        <f t="shared" si="1"/>
        <v>1</v>
      </c>
      <c r="I8" s="174"/>
      <c r="J8" s="194" t="s">
        <v>825</v>
      </c>
      <c r="K8" s="195" t="s">
        <v>826</v>
      </c>
      <c r="L8" s="196" t="s">
        <v>69</v>
      </c>
      <c r="M8" s="196">
        <f>IF(M$5&gt;1,1,0)</f>
        <v>1</v>
      </c>
      <c r="N8" s="197">
        <f>M8</f>
        <v>1</v>
      </c>
    </row>
    <row r="9" spans="2:14" ht="16.2" thickBot="1">
      <c r="B9" s="198" t="s">
        <v>45</v>
      </c>
      <c r="C9" s="180">
        <f>F9*4</f>
        <v>4</v>
      </c>
      <c r="D9" s="180">
        <f>COUNTIF('Common module'!F:F,"AO")</f>
        <v>2</v>
      </c>
      <c r="E9" s="199">
        <f>C9-D9</f>
        <v>2</v>
      </c>
      <c r="F9" s="182">
        <v>1</v>
      </c>
      <c r="G9" s="180">
        <v>0</v>
      </c>
      <c r="H9" s="200">
        <f t="shared" si="1"/>
        <v>1</v>
      </c>
      <c r="I9" s="174"/>
      <c r="J9" s="189" t="s">
        <v>825</v>
      </c>
      <c r="K9" s="190" t="s">
        <v>919</v>
      </c>
      <c r="L9" s="191" t="s">
        <v>69</v>
      </c>
      <c r="M9" s="191">
        <f>IF(M$5&gt;5,2,IF(M$5&gt;3,1,0))</f>
        <v>2</v>
      </c>
      <c r="N9" s="192">
        <f>M9</f>
        <v>2</v>
      </c>
    </row>
    <row r="10" spans="2:14" ht="16.2" thickBot="1">
      <c r="B10" s="288" t="s">
        <v>829</v>
      </c>
      <c r="C10" s="289"/>
      <c r="D10" s="289"/>
      <c r="E10" s="289"/>
      <c r="F10" s="289"/>
      <c r="G10" s="289"/>
      <c r="H10" s="290"/>
      <c r="I10" s="174"/>
      <c r="J10" s="194" t="s">
        <v>827</v>
      </c>
      <c r="K10" s="195" t="s">
        <v>828</v>
      </c>
      <c r="L10" s="196" t="s">
        <v>69</v>
      </c>
      <c r="M10" s="196">
        <f t="shared" ref="M10:M11" si="2">IF(M$5&gt;5,2,IF(M$5&gt;2,1,0))</f>
        <v>2</v>
      </c>
      <c r="N10" s="197">
        <f>M10</f>
        <v>2</v>
      </c>
    </row>
    <row r="11" spans="2:14">
      <c r="B11" s="214"/>
      <c r="C11" s="175" t="s">
        <v>815</v>
      </c>
      <c r="D11" s="175" t="s">
        <v>816</v>
      </c>
      <c r="E11" s="176" t="s">
        <v>817</v>
      </c>
      <c r="F11" s="175" t="s">
        <v>818</v>
      </c>
      <c r="G11" s="175" t="s">
        <v>819</v>
      </c>
      <c r="H11" s="177" t="s">
        <v>820</v>
      </c>
      <c r="I11" s="174"/>
      <c r="J11" s="189" t="s">
        <v>830</v>
      </c>
      <c r="K11" s="190"/>
      <c r="L11" s="191" t="s">
        <v>69</v>
      </c>
      <c r="M11" s="191">
        <f t="shared" si="2"/>
        <v>2</v>
      </c>
      <c r="N11" s="192">
        <f>M11</f>
        <v>2</v>
      </c>
    </row>
    <row r="12" spans="2:14">
      <c r="B12" s="179" t="s">
        <v>0</v>
      </c>
      <c r="C12" s="208">
        <f>F12*16</f>
        <v>16</v>
      </c>
      <c r="D12" s="180">
        <f>COUNTIF('No.# Module'!F:F,"DI")</f>
        <v>15</v>
      </c>
      <c r="E12" s="201">
        <f>C12-D12</f>
        <v>1</v>
      </c>
      <c r="F12" s="209">
        <v>1</v>
      </c>
      <c r="G12" s="208">
        <v>0</v>
      </c>
      <c r="H12" s="183">
        <f>F12+G12</f>
        <v>1</v>
      </c>
      <c r="I12" s="174"/>
      <c r="J12" s="194" t="s">
        <v>0</v>
      </c>
      <c r="K12" s="195" t="s">
        <v>831</v>
      </c>
      <c r="L12" s="196">
        <f>H6</f>
        <v>1</v>
      </c>
      <c r="M12" s="196">
        <f>H12*M$5</f>
        <v>6</v>
      </c>
      <c r="N12" s="197">
        <f>M12+L12</f>
        <v>7</v>
      </c>
    </row>
    <row r="13" spans="2:14">
      <c r="B13" s="179" t="s">
        <v>16</v>
      </c>
      <c r="C13" s="208">
        <f>F13*16</f>
        <v>16</v>
      </c>
      <c r="D13" s="208">
        <f>COUNTIF('No.# Module'!F:F,"DO")</f>
        <v>13</v>
      </c>
      <c r="E13" s="181">
        <f t="shared" ref="E13:E15" si="3">C13-D13</f>
        <v>3</v>
      </c>
      <c r="F13" s="209">
        <v>1</v>
      </c>
      <c r="G13" s="208">
        <v>0</v>
      </c>
      <c r="H13" s="183">
        <f t="shared" ref="H13:H15" si="4">F13+G13</f>
        <v>1</v>
      </c>
      <c r="I13" s="174"/>
      <c r="J13" s="189" t="s">
        <v>16</v>
      </c>
      <c r="K13" s="190" t="s">
        <v>832</v>
      </c>
      <c r="L13" s="191">
        <f>H7</f>
        <v>1</v>
      </c>
      <c r="M13" s="191">
        <f>H13*M$5</f>
        <v>6</v>
      </c>
      <c r="N13" s="192">
        <f t="shared" ref="N13:N15" si="5">M13+L13</f>
        <v>7</v>
      </c>
    </row>
    <row r="14" spans="2:14">
      <c r="B14" s="179" t="s">
        <v>2</v>
      </c>
      <c r="C14" s="210">
        <f>F14*8</f>
        <v>24</v>
      </c>
      <c r="D14" s="208">
        <f>COUNTIF('No.# Module'!F:F,"AI")</f>
        <v>22</v>
      </c>
      <c r="E14" s="201">
        <f t="shared" si="3"/>
        <v>2</v>
      </c>
      <c r="F14" s="209">
        <v>3</v>
      </c>
      <c r="G14" s="208">
        <v>0</v>
      </c>
      <c r="H14" s="183">
        <f t="shared" si="4"/>
        <v>3</v>
      </c>
      <c r="I14" s="174"/>
      <c r="J14" s="194" t="s">
        <v>2</v>
      </c>
      <c r="K14" s="195" t="s">
        <v>833</v>
      </c>
      <c r="L14" s="196">
        <f>H8</f>
        <v>1</v>
      </c>
      <c r="M14" s="196">
        <f>H14*M$5</f>
        <v>18</v>
      </c>
      <c r="N14" s="197">
        <f t="shared" si="5"/>
        <v>19</v>
      </c>
    </row>
    <row r="15" spans="2:14" ht="16.2" thickBot="1">
      <c r="B15" s="198" t="s">
        <v>3</v>
      </c>
      <c r="C15" s="202">
        <f>F15*4</f>
        <v>4</v>
      </c>
      <c r="D15" s="202">
        <f>COUNTIF('No.# Module'!F:F,"AO")</f>
        <v>2</v>
      </c>
      <c r="E15" s="199">
        <f t="shared" si="3"/>
        <v>2</v>
      </c>
      <c r="F15" s="203">
        <v>1</v>
      </c>
      <c r="G15" s="202">
        <v>0</v>
      </c>
      <c r="H15" s="200">
        <f t="shared" si="4"/>
        <v>1</v>
      </c>
      <c r="I15" s="174"/>
      <c r="J15" s="189" t="s">
        <v>3</v>
      </c>
      <c r="K15" s="190" t="s">
        <v>834</v>
      </c>
      <c r="L15" s="191">
        <f>H9</f>
        <v>1</v>
      </c>
      <c r="M15" s="191">
        <f>H15*M$5</f>
        <v>6</v>
      </c>
      <c r="N15" s="192">
        <f t="shared" si="5"/>
        <v>7</v>
      </c>
    </row>
    <row r="16" spans="2:14">
      <c r="B16" s="174"/>
      <c r="C16" s="174"/>
      <c r="D16" s="174"/>
      <c r="E16" s="174"/>
      <c r="F16" s="174"/>
      <c r="G16" s="174"/>
      <c r="H16" s="174"/>
      <c r="I16" s="174"/>
      <c r="J16" s="194" t="s">
        <v>835</v>
      </c>
      <c r="K16" s="195" t="s">
        <v>760</v>
      </c>
      <c r="L16" s="196">
        <v>1</v>
      </c>
      <c r="M16" s="196" t="s">
        <v>69</v>
      </c>
      <c r="N16" s="197">
        <f>L16</f>
        <v>1</v>
      </c>
    </row>
    <row r="17" spans="2:14" ht="16.2" thickBot="1">
      <c r="B17" s="204" t="s">
        <v>838</v>
      </c>
      <c r="C17" s="204"/>
      <c r="D17" s="204"/>
      <c r="E17" s="204"/>
      <c r="F17" s="204"/>
      <c r="G17" s="204"/>
      <c r="H17" s="204"/>
      <c r="I17" s="204"/>
      <c r="J17" s="216" t="s">
        <v>836</v>
      </c>
      <c r="K17" s="217" t="s">
        <v>837</v>
      </c>
      <c r="L17" s="218">
        <v>1</v>
      </c>
      <c r="M17" s="218" t="s">
        <v>69</v>
      </c>
      <c r="N17" s="219">
        <f t="shared" ref="N17" si="6">L17</f>
        <v>1</v>
      </c>
    </row>
    <row r="18" spans="2:14">
      <c r="B18" s="204"/>
      <c r="C18" s="204"/>
      <c r="D18" s="204"/>
      <c r="E18" s="204"/>
      <c r="F18" s="204"/>
      <c r="G18" s="204"/>
      <c r="H18" s="204"/>
      <c r="I18" s="204"/>
      <c r="J18" s="204" t="s">
        <v>920</v>
      </c>
      <c r="K18" s="205"/>
      <c r="L18" s="204"/>
      <c r="M18" s="204"/>
      <c r="N18" s="204"/>
    </row>
    <row r="19" spans="2:14">
      <c r="B19" s="204"/>
      <c r="C19" s="204"/>
      <c r="D19" s="204"/>
      <c r="E19" s="204"/>
      <c r="F19" s="204"/>
      <c r="G19" s="204"/>
      <c r="H19" s="204"/>
      <c r="I19" s="204"/>
      <c r="J19" s="204" t="s">
        <v>839</v>
      </c>
      <c r="K19" s="205"/>
      <c r="L19" s="204"/>
      <c r="M19" s="204"/>
      <c r="N19" s="204"/>
    </row>
    <row r="20" spans="2:14">
      <c r="B20" s="174"/>
      <c r="C20" s="174"/>
      <c r="D20" s="174"/>
      <c r="E20" s="174"/>
      <c r="F20" s="174"/>
      <c r="G20" s="174"/>
      <c r="H20" s="174"/>
      <c r="I20" s="174"/>
      <c r="J20" s="204" t="s">
        <v>840</v>
      </c>
      <c r="K20" s="174"/>
      <c r="L20" s="174"/>
      <c r="M20" s="174"/>
      <c r="N20" s="174"/>
    </row>
    <row r="21" spans="2:14" ht="16.8" thickBot="1">
      <c r="B21" s="291" t="s">
        <v>841</v>
      </c>
      <c r="C21" s="291"/>
      <c r="D21" s="291"/>
      <c r="E21" s="291"/>
      <c r="F21" s="291"/>
      <c r="G21" s="291"/>
      <c r="H21" s="291"/>
      <c r="I21" s="174"/>
      <c r="J21" s="174"/>
      <c r="K21" s="174"/>
      <c r="L21" s="174"/>
      <c r="M21" s="174"/>
      <c r="N21" s="174"/>
    </row>
    <row r="22" spans="2:14" ht="16.2" thickBot="1">
      <c r="B22" s="292" t="s">
        <v>808</v>
      </c>
      <c r="C22" s="293"/>
      <c r="D22" s="293"/>
      <c r="E22" s="293"/>
      <c r="F22" s="293"/>
      <c r="G22" s="293"/>
      <c r="H22" s="294"/>
      <c r="I22" s="174"/>
      <c r="J22" s="292" t="s">
        <v>809</v>
      </c>
      <c r="K22" s="293"/>
      <c r="L22" s="293"/>
      <c r="M22" s="293"/>
      <c r="N22" s="294"/>
    </row>
    <row r="23" spans="2:14" ht="16.2" thickBot="1">
      <c r="B23" s="288" t="s">
        <v>810</v>
      </c>
      <c r="C23" s="289"/>
      <c r="D23" s="289"/>
      <c r="E23" s="289"/>
      <c r="F23" s="289"/>
      <c r="G23" s="289"/>
      <c r="H23" s="290"/>
      <c r="I23" s="174"/>
      <c r="J23" s="295" t="s">
        <v>811</v>
      </c>
      <c r="K23" s="297" t="s">
        <v>812</v>
      </c>
      <c r="L23" s="299" t="s">
        <v>61</v>
      </c>
      <c r="M23" s="215" t="s">
        <v>813</v>
      </c>
      <c r="N23" s="301" t="s">
        <v>814</v>
      </c>
    </row>
    <row r="24" spans="2:14">
      <c r="B24" s="214"/>
      <c r="C24" s="175" t="s">
        <v>815</v>
      </c>
      <c r="D24" s="175" t="s">
        <v>816</v>
      </c>
      <c r="E24" s="176" t="s">
        <v>817</v>
      </c>
      <c r="F24" s="175" t="s">
        <v>818</v>
      </c>
      <c r="G24" s="175" t="s">
        <v>819</v>
      </c>
      <c r="H24" s="177" t="s">
        <v>820</v>
      </c>
      <c r="I24" s="174"/>
      <c r="J24" s="296"/>
      <c r="K24" s="298"/>
      <c r="L24" s="300"/>
      <c r="M24" s="178">
        <v>6</v>
      </c>
      <c r="N24" s="302"/>
    </row>
    <row r="25" spans="2:14">
      <c r="B25" s="179" t="s">
        <v>46</v>
      </c>
      <c r="C25" s="180">
        <f>F25*16</f>
        <v>16</v>
      </c>
      <c r="D25" s="180">
        <f>COUNTIFS('Common module'!F:F,"DI",'Common module'!I:I,"common")</f>
        <v>0</v>
      </c>
      <c r="E25" s="181">
        <f>C25-D25</f>
        <v>16</v>
      </c>
      <c r="F25" s="182">
        <v>1</v>
      </c>
      <c r="G25" s="180">
        <v>0</v>
      </c>
      <c r="H25" s="183">
        <f>F25+G25</f>
        <v>1</v>
      </c>
      <c r="I25" s="174"/>
      <c r="J25" s="184" t="s">
        <v>821</v>
      </c>
      <c r="K25" s="185" t="s">
        <v>822</v>
      </c>
      <c r="L25" s="186">
        <v>1</v>
      </c>
      <c r="M25" s="187" t="s">
        <v>69</v>
      </c>
      <c r="N25" s="188">
        <f>L25</f>
        <v>1</v>
      </c>
    </row>
    <row r="26" spans="2:14">
      <c r="B26" s="179" t="s">
        <v>38</v>
      </c>
      <c r="C26" s="180">
        <f>F26*16</f>
        <v>16</v>
      </c>
      <c r="D26" s="180">
        <f>COUNTIFS('Common module'!F:F,"DO",'Common module'!I:I,"common")</f>
        <v>0</v>
      </c>
      <c r="E26" s="181">
        <f t="shared" ref="E26:E27" si="7">C26-D26</f>
        <v>16</v>
      </c>
      <c r="F26" s="182">
        <v>1</v>
      </c>
      <c r="G26" s="180">
        <v>0</v>
      </c>
      <c r="H26" s="183">
        <f t="shared" ref="H26:H28" si="8">F26+G26</f>
        <v>1</v>
      </c>
      <c r="I26" s="174"/>
      <c r="J26" s="189" t="s">
        <v>823</v>
      </c>
      <c r="K26" s="190" t="s">
        <v>824</v>
      </c>
      <c r="L26" s="191">
        <v>1</v>
      </c>
      <c r="M26" s="191" t="s">
        <v>69</v>
      </c>
      <c r="N26" s="192">
        <f>L26</f>
        <v>1</v>
      </c>
    </row>
    <row r="27" spans="2:14">
      <c r="B27" s="179" t="s">
        <v>39</v>
      </c>
      <c r="C27" s="193">
        <f>F27*8</f>
        <v>0</v>
      </c>
      <c r="D27" s="180">
        <f>COUNTIFS('Common module'!F:F,"AI",'Common module'!I:I,"common")</f>
        <v>0</v>
      </c>
      <c r="E27" s="181">
        <f t="shared" si="7"/>
        <v>0</v>
      </c>
      <c r="F27" s="182">
        <v>0</v>
      </c>
      <c r="G27" s="180">
        <v>0</v>
      </c>
      <c r="H27" s="183">
        <f t="shared" si="8"/>
        <v>0</v>
      </c>
      <c r="I27" s="174"/>
      <c r="J27" s="194" t="s">
        <v>825</v>
      </c>
      <c r="K27" s="195" t="s">
        <v>826</v>
      </c>
      <c r="L27" s="196" t="s">
        <v>69</v>
      </c>
      <c r="M27" s="196">
        <f>IF(M$24&gt;1,1,0)</f>
        <v>1</v>
      </c>
      <c r="N27" s="197">
        <f>M27</f>
        <v>1</v>
      </c>
    </row>
    <row r="28" spans="2:14" ht="16.2" thickBot="1">
      <c r="B28" s="198" t="s">
        <v>45</v>
      </c>
      <c r="C28" s="180">
        <f>F28*4</f>
        <v>0</v>
      </c>
      <c r="D28" s="180">
        <f>COUNTIFS('Common module'!F:F,"AO",'Common module'!I:I,"common")</f>
        <v>0</v>
      </c>
      <c r="E28" s="199" t="s">
        <v>755</v>
      </c>
      <c r="F28" s="182">
        <v>0</v>
      </c>
      <c r="G28" s="180">
        <v>0</v>
      </c>
      <c r="H28" s="200">
        <f t="shared" si="8"/>
        <v>0</v>
      </c>
      <c r="I28" s="174"/>
      <c r="J28" s="189" t="s">
        <v>825</v>
      </c>
      <c r="K28" s="190" t="s">
        <v>919</v>
      </c>
      <c r="L28" s="191" t="s">
        <v>69</v>
      </c>
      <c r="M28" s="191">
        <f>IF(M$24&gt;5,2,IF(M$24&gt;3,1,0))</f>
        <v>2</v>
      </c>
      <c r="N28" s="192">
        <f>M28</f>
        <v>2</v>
      </c>
    </row>
    <row r="29" spans="2:14" ht="16.2" thickBot="1">
      <c r="B29" s="288" t="s">
        <v>829</v>
      </c>
      <c r="C29" s="289"/>
      <c r="D29" s="289"/>
      <c r="E29" s="289"/>
      <c r="F29" s="289"/>
      <c r="G29" s="289"/>
      <c r="H29" s="290"/>
      <c r="I29" s="174"/>
      <c r="J29" s="194" t="s">
        <v>827</v>
      </c>
      <c r="K29" s="195" t="s">
        <v>828</v>
      </c>
      <c r="L29" s="196" t="s">
        <v>69</v>
      </c>
      <c r="M29" s="196">
        <f>IF(M$24&gt;5,2,IF(M$24&gt;2,1,0))</f>
        <v>2</v>
      </c>
      <c r="N29" s="197">
        <f>M29</f>
        <v>2</v>
      </c>
    </row>
    <row r="30" spans="2:14">
      <c r="B30" s="214"/>
      <c r="C30" s="175" t="s">
        <v>815</v>
      </c>
      <c r="D30" s="175" t="s">
        <v>816</v>
      </c>
      <c r="E30" s="176" t="s">
        <v>817</v>
      </c>
      <c r="F30" s="175" t="s">
        <v>818</v>
      </c>
      <c r="G30" s="175" t="s">
        <v>819</v>
      </c>
      <c r="H30" s="177" t="s">
        <v>820</v>
      </c>
      <c r="I30" s="174"/>
      <c r="J30" s="189" t="s">
        <v>830</v>
      </c>
      <c r="K30" s="190"/>
      <c r="L30" s="191" t="s">
        <v>69</v>
      </c>
      <c r="M30" s="191">
        <f>IF(M$24&gt;5,2,IF(M$24&gt;2,1,0))</f>
        <v>2</v>
      </c>
      <c r="N30" s="192">
        <f>M30</f>
        <v>2</v>
      </c>
    </row>
    <row r="31" spans="2:14">
      <c r="B31" s="179" t="s">
        <v>0</v>
      </c>
      <c r="C31" s="208">
        <f>F31*16</f>
        <v>16</v>
      </c>
      <c r="D31" s="225">
        <f>COUNTIFS('No.# Module'!F:F,"DI",'No.# Module'!I:I,"Individual")</f>
        <v>0</v>
      </c>
      <c r="E31" s="181">
        <f>C31-D31</f>
        <v>16</v>
      </c>
      <c r="F31" s="209">
        <v>1</v>
      </c>
      <c r="G31" s="208">
        <v>0</v>
      </c>
      <c r="H31" s="183">
        <f>F31+G31</f>
        <v>1</v>
      </c>
      <c r="I31" s="174"/>
      <c r="J31" s="194" t="s">
        <v>0</v>
      </c>
      <c r="K31" s="195" t="s">
        <v>831</v>
      </c>
      <c r="L31" s="196">
        <f>H26</f>
        <v>1</v>
      </c>
      <c r="M31" s="196">
        <f>H32*M$24</f>
        <v>6</v>
      </c>
      <c r="N31" s="197">
        <f>M31+L31</f>
        <v>7</v>
      </c>
    </row>
    <row r="32" spans="2:14">
      <c r="B32" s="179" t="s">
        <v>16</v>
      </c>
      <c r="C32" s="208">
        <f>F32*16</f>
        <v>16</v>
      </c>
      <c r="D32" s="225">
        <f>COUNTIFS('No.# Module'!F:F,"DO",'No.# Module'!I:I,"Individual")</f>
        <v>0</v>
      </c>
      <c r="E32" s="181">
        <f t="shared" ref="E32:E34" si="9">C32-D32</f>
        <v>16</v>
      </c>
      <c r="F32" s="209">
        <v>1</v>
      </c>
      <c r="G32" s="208">
        <v>0</v>
      </c>
      <c r="H32" s="183">
        <f t="shared" ref="H32:H34" si="10">F32+G32</f>
        <v>1</v>
      </c>
      <c r="I32" s="174"/>
      <c r="J32" s="189" t="s">
        <v>16</v>
      </c>
      <c r="K32" s="190" t="s">
        <v>832</v>
      </c>
      <c r="L32" s="191">
        <f>H27</f>
        <v>0</v>
      </c>
      <c r="M32" s="191">
        <f>H33*M$24</f>
        <v>12</v>
      </c>
      <c r="N32" s="192">
        <f t="shared" ref="N32:N34" si="11">M32+L32</f>
        <v>12</v>
      </c>
    </row>
    <row r="33" spans="2:14">
      <c r="B33" s="179" t="s">
        <v>2</v>
      </c>
      <c r="C33" s="210">
        <f>F33*8</f>
        <v>16</v>
      </c>
      <c r="D33" s="225">
        <f>COUNTIFS('No.# Module'!F:F,"AI",'No.# Module'!I:I,"Individual")</f>
        <v>0</v>
      </c>
      <c r="E33" s="181">
        <f t="shared" si="9"/>
        <v>16</v>
      </c>
      <c r="F33" s="209">
        <v>2</v>
      </c>
      <c r="G33" s="208">
        <v>0</v>
      </c>
      <c r="H33" s="183">
        <f t="shared" si="10"/>
        <v>2</v>
      </c>
      <c r="I33" s="174"/>
      <c r="J33" s="194" t="s">
        <v>2</v>
      </c>
      <c r="K33" s="195" t="s">
        <v>833</v>
      </c>
      <c r="L33" s="196">
        <f>H28</f>
        <v>0</v>
      </c>
      <c r="M33" s="196">
        <f>H34*M$24</f>
        <v>6</v>
      </c>
      <c r="N33" s="197">
        <f t="shared" si="11"/>
        <v>6</v>
      </c>
    </row>
    <row r="34" spans="2:14" ht="16.2" thickBot="1">
      <c r="B34" s="198" t="s">
        <v>3</v>
      </c>
      <c r="C34" s="202">
        <f>F34*4</f>
        <v>4</v>
      </c>
      <c r="D34" s="226">
        <f>COUNTIFS('No.# Module'!F:F,"AO",'No.# Module'!I:I,"Individual")</f>
        <v>0</v>
      </c>
      <c r="E34" s="199">
        <f t="shared" si="9"/>
        <v>4</v>
      </c>
      <c r="F34" s="203">
        <v>1</v>
      </c>
      <c r="G34" s="202">
        <v>0</v>
      </c>
      <c r="H34" s="200">
        <f t="shared" si="10"/>
        <v>1</v>
      </c>
      <c r="I34" s="174"/>
      <c r="J34" s="189" t="s">
        <v>3</v>
      </c>
      <c r="K34" s="190" t="s">
        <v>834</v>
      </c>
      <c r="L34" s="191">
        <f>H29</f>
        <v>0</v>
      </c>
      <c r="M34" s="191">
        <f>H35*M$24</f>
        <v>0</v>
      </c>
      <c r="N34" s="192">
        <f t="shared" si="11"/>
        <v>0</v>
      </c>
    </row>
    <row r="35" spans="2:14">
      <c r="B35" s="174"/>
      <c r="C35" s="174"/>
      <c r="D35" s="174"/>
      <c r="E35" s="174"/>
      <c r="F35" s="174"/>
      <c r="G35" s="174"/>
      <c r="H35" s="174"/>
      <c r="I35" s="174"/>
      <c r="J35" s="194" t="s">
        <v>835</v>
      </c>
      <c r="K35" s="195" t="s">
        <v>760</v>
      </c>
      <c r="L35" s="196">
        <v>1</v>
      </c>
      <c r="M35" s="196" t="s">
        <v>69</v>
      </c>
      <c r="N35" s="197">
        <f>L35</f>
        <v>1</v>
      </c>
    </row>
    <row r="36" spans="2:14" ht="18" thickBot="1">
      <c r="B36"/>
      <c r="C36"/>
      <c r="D36"/>
      <c r="E36"/>
      <c r="F36"/>
      <c r="G36"/>
      <c r="H36"/>
      <c r="I36"/>
      <c r="J36" s="216" t="s">
        <v>836</v>
      </c>
      <c r="K36" s="217" t="s">
        <v>837</v>
      </c>
      <c r="L36" s="218">
        <v>1</v>
      </c>
      <c r="M36" s="218" t="s">
        <v>69</v>
      </c>
      <c r="N36" s="219">
        <f t="shared" ref="N36" si="12">L36</f>
        <v>1</v>
      </c>
    </row>
    <row r="37" spans="2:14" ht="17.399999999999999">
      <c r="B37"/>
      <c r="C37"/>
      <c r="D37"/>
      <c r="E37"/>
      <c r="F37"/>
      <c r="G37"/>
      <c r="H37"/>
      <c r="I37"/>
      <c r="J37"/>
      <c r="K37" s="206"/>
      <c r="L37"/>
      <c r="M37"/>
      <c r="N37"/>
    </row>
    <row r="38" spans="2:14" ht="17.399999999999999">
      <c r="B38"/>
      <c r="C38"/>
      <c r="D38"/>
      <c r="E38"/>
      <c r="F38"/>
      <c r="G38"/>
      <c r="H38"/>
      <c r="I38"/>
      <c r="J38"/>
      <c r="K38" s="206"/>
      <c r="L38"/>
      <c r="M38"/>
      <c r="N38"/>
    </row>
    <row r="39" spans="2:14" ht="17.399999999999999">
      <c r="J39"/>
      <c r="K39" s="206"/>
      <c r="L39"/>
      <c r="M39"/>
      <c r="N39"/>
    </row>
    <row r="40" spans="2:14" ht="17.399999999999999">
      <c r="J40"/>
    </row>
  </sheetData>
  <mergeCells count="18">
    <mergeCell ref="B2:H2"/>
    <mergeCell ref="B3:H3"/>
    <mergeCell ref="J3:N3"/>
    <mergeCell ref="B4:H4"/>
    <mergeCell ref="J4:J5"/>
    <mergeCell ref="K4:K5"/>
    <mergeCell ref="L4:L5"/>
    <mergeCell ref="N4:N5"/>
    <mergeCell ref="B29:H29"/>
    <mergeCell ref="B10:H10"/>
    <mergeCell ref="B21:H21"/>
    <mergeCell ref="B22:H22"/>
    <mergeCell ref="J22:N22"/>
    <mergeCell ref="B23:H23"/>
    <mergeCell ref="J23:J24"/>
    <mergeCell ref="K23:K24"/>
    <mergeCell ref="L23:L24"/>
    <mergeCell ref="N23:N2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Z83"/>
  <sheetViews>
    <sheetView topLeftCell="K28" zoomScale="85" zoomScaleNormal="85" workbookViewId="0">
      <selection activeCell="Q67" sqref="Q67"/>
    </sheetView>
  </sheetViews>
  <sheetFormatPr defaultRowHeight="17.399999999999999"/>
  <cols>
    <col min="2" max="2" width="11.09765625" customWidth="1"/>
    <col min="3" max="3" width="18.09765625" customWidth="1"/>
    <col min="4" max="7" width="11.09765625" customWidth="1"/>
    <col min="8" max="8" width="29.19921875" bestFit="1" customWidth="1"/>
    <col min="9" max="9" width="11.09765625" customWidth="1"/>
    <col min="10" max="10" width="14.3984375" customWidth="1"/>
    <col min="11" max="17" width="11.09765625" customWidth="1"/>
    <col min="18" max="18" width="3.69921875" customWidth="1"/>
    <col min="19" max="19" width="14.3984375" customWidth="1"/>
    <col min="20" max="26" width="11.09765625" customWidth="1"/>
  </cols>
  <sheetData>
    <row r="1" spans="2:26">
      <c r="B1" s="309" t="s">
        <v>4</v>
      </c>
      <c r="C1" s="309" t="s">
        <v>534</v>
      </c>
      <c r="D1" s="309" t="s">
        <v>535</v>
      </c>
      <c r="E1" s="309" t="s">
        <v>82</v>
      </c>
      <c r="F1" s="309" t="s">
        <v>758</v>
      </c>
      <c r="G1" s="309"/>
      <c r="H1" s="309" t="s">
        <v>361</v>
      </c>
      <c r="J1" t="s">
        <v>537</v>
      </c>
    </row>
    <row r="2" spans="2:26">
      <c r="B2" s="309"/>
      <c r="C2" s="309"/>
      <c r="D2" s="309"/>
      <c r="E2" s="309"/>
      <c r="F2" s="52" t="s">
        <v>538</v>
      </c>
      <c r="G2" s="52" t="s">
        <v>539</v>
      </c>
      <c r="H2" s="309"/>
      <c r="J2" t="s">
        <v>540</v>
      </c>
      <c r="L2">
        <v>800</v>
      </c>
    </row>
    <row r="3" spans="2:26">
      <c r="B3" s="52">
        <v>1</v>
      </c>
      <c r="C3" s="137" t="s">
        <v>757</v>
      </c>
      <c r="D3" s="169">
        <v>150</v>
      </c>
      <c r="E3" s="169" t="s">
        <v>541</v>
      </c>
      <c r="F3" s="156">
        <v>-7.5</v>
      </c>
      <c r="G3" s="156"/>
      <c r="H3" s="52"/>
      <c r="J3" t="s">
        <v>542</v>
      </c>
      <c r="L3">
        <v>300</v>
      </c>
    </row>
    <row r="4" spans="2:26">
      <c r="B4" s="52">
        <v>2</v>
      </c>
      <c r="C4" s="137" t="s">
        <v>552</v>
      </c>
      <c r="D4" s="169">
        <v>12.5</v>
      </c>
      <c r="E4" s="169" t="s">
        <v>553</v>
      </c>
      <c r="F4" s="156">
        <v>-0.01</v>
      </c>
      <c r="G4" s="156">
        <v>-1.44</v>
      </c>
      <c r="H4" s="52"/>
      <c r="J4" t="s">
        <v>543</v>
      </c>
      <c r="L4">
        <v>500</v>
      </c>
    </row>
    <row r="5" spans="2:26">
      <c r="B5" s="169">
        <v>3</v>
      </c>
      <c r="C5" s="137" t="s">
        <v>551</v>
      </c>
      <c r="D5" s="169">
        <v>12.5</v>
      </c>
      <c r="E5" s="169" t="s">
        <v>544</v>
      </c>
      <c r="F5" s="156">
        <v>7</v>
      </c>
      <c r="G5" s="156">
        <v>240</v>
      </c>
      <c r="H5" s="169"/>
    </row>
    <row r="6" spans="2:26">
      <c r="B6" s="169">
        <v>4</v>
      </c>
      <c r="C6" s="137" t="s">
        <v>806</v>
      </c>
      <c r="D6" s="169">
        <v>37.5</v>
      </c>
      <c r="E6" s="169" t="s">
        <v>538</v>
      </c>
      <c r="F6" s="156">
        <v>-2</v>
      </c>
      <c r="G6" s="156">
        <v>0</v>
      </c>
      <c r="H6" s="169" t="s">
        <v>548</v>
      </c>
      <c r="J6" s="54" t="s">
        <v>799</v>
      </c>
    </row>
    <row r="7" spans="2:26">
      <c r="B7" s="169">
        <v>5</v>
      </c>
      <c r="C7" s="137" t="s">
        <v>558</v>
      </c>
      <c r="D7" s="169">
        <v>12.5</v>
      </c>
      <c r="E7" s="169" t="s">
        <v>0</v>
      </c>
      <c r="F7" s="156">
        <v>-0.18</v>
      </c>
      <c r="G7" s="156">
        <v>-1.47</v>
      </c>
      <c r="H7" s="169"/>
      <c r="J7" t="s">
        <v>545</v>
      </c>
      <c r="L7">
        <f>SUM(K10:K29)</f>
        <v>381.5</v>
      </c>
      <c r="M7" s="30" t="s">
        <v>547</v>
      </c>
      <c r="N7" s="30"/>
      <c r="O7" s="30"/>
      <c r="P7" s="30"/>
      <c r="Q7" s="30"/>
      <c r="S7" t="s">
        <v>546</v>
      </c>
      <c r="U7">
        <f>SUM(T10:T43)</f>
        <v>450</v>
      </c>
      <c r="V7" s="30" t="s">
        <v>547</v>
      </c>
      <c r="W7" s="30"/>
      <c r="X7" s="30"/>
      <c r="Y7" s="30"/>
      <c r="Z7" s="30"/>
    </row>
    <row r="8" spans="2:26">
      <c r="B8" s="169">
        <v>5</v>
      </c>
      <c r="C8" s="137" t="s">
        <v>559</v>
      </c>
      <c r="D8" s="169">
        <v>12.5</v>
      </c>
      <c r="E8" s="169" t="s">
        <v>16</v>
      </c>
      <c r="F8" s="156">
        <v>-0.28000000000000003</v>
      </c>
      <c r="G8" s="156">
        <v>-95</v>
      </c>
      <c r="H8" s="169"/>
      <c r="J8" s="309" t="s">
        <v>534</v>
      </c>
      <c r="K8" s="309" t="s">
        <v>535</v>
      </c>
      <c r="L8" s="309" t="s">
        <v>82</v>
      </c>
      <c r="M8" s="309" t="s">
        <v>549</v>
      </c>
      <c r="N8" s="309" t="s">
        <v>536</v>
      </c>
      <c r="O8" s="309"/>
      <c r="P8" s="309" t="s">
        <v>550</v>
      </c>
      <c r="Q8" s="309"/>
      <c r="S8" s="309" t="s">
        <v>534</v>
      </c>
      <c r="T8" s="309" t="s">
        <v>535</v>
      </c>
      <c r="U8" s="309" t="s">
        <v>82</v>
      </c>
      <c r="V8" s="309" t="s">
        <v>549</v>
      </c>
      <c r="W8" s="309" t="s">
        <v>536</v>
      </c>
      <c r="X8" s="309"/>
      <c r="Y8" s="309" t="s">
        <v>550</v>
      </c>
      <c r="Z8" s="309"/>
    </row>
    <row r="9" spans="2:26">
      <c r="B9" s="169">
        <v>6</v>
      </c>
      <c r="C9" s="137" t="s">
        <v>561</v>
      </c>
      <c r="D9" s="169">
        <v>12.5</v>
      </c>
      <c r="E9" s="169" t="s">
        <v>2</v>
      </c>
      <c r="F9" s="156">
        <v>-0.01</v>
      </c>
      <c r="G9" s="156">
        <v>-1.37</v>
      </c>
      <c r="H9" s="169"/>
      <c r="J9" s="309"/>
      <c r="K9" s="309"/>
      <c r="L9" s="309"/>
      <c r="M9" s="309"/>
      <c r="N9" s="52" t="s">
        <v>538</v>
      </c>
      <c r="O9" s="52" t="s">
        <v>539</v>
      </c>
      <c r="P9" s="52" t="s">
        <v>538</v>
      </c>
      <c r="Q9" s="52" t="s">
        <v>539</v>
      </c>
      <c r="S9" s="309"/>
      <c r="T9" s="309"/>
      <c r="U9" s="309"/>
      <c r="V9" s="309"/>
      <c r="W9" s="52" t="s">
        <v>538</v>
      </c>
      <c r="X9" s="52" t="s">
        <v>539</v>
      </c>
      <c r="Y9" s="52" t="s">
        <v>538</v>
      </c>
      <c r="Z9" s="52" t="s">
        <v>539</v>
      </c>
    </row>
    <row r="10" spans="2:26">
      <c r="B10" s="169">
        <v>7</v>
      </c>
      <c r="C10" s="137" t="s">
        <v>562</v>
      </c>
      <c r="D10" s="169">
        <v>12.5</v>
      </c>
      <c r="E10" s="169" t="s">
        <v>3</v>
      </c>
      <c r="F10" s="156">
        <v>-0.01</v>
      </c>
      <c r="G10" s="156">
        <v>-1.8</v>
      </c>
      <c r="H10" s="169"/>
      <c r="J10" s="137" t="s">
        <v>756</v>
      </c>
      <c r="K10" s="157">
        <f t="shared" ref="K10:K30" si="0">IF(COUNTA(J10), VLOOKUP(J10, $C$3:$G$18, 2, 0), 0)</f>
        <v>150</v>
      </c>
      <c r="L10" s="157" t="str">
        <f t="shared" ref="L10:L30" si="1">IF(COUNTA(J10), VLOOKUP(J10, $C$3:$G$18, 3, 0), 0)</f>
        <v>CPU</v>
      </c>
      <c r="M10" s="56" t="s">
        <v>541</v>
      </c>
      <c r="N10" s="158">
        <f t="shared" ref="N10:N30" si="2">IF(COUNTA(J10), VLOOKUP(J10, $C$3:$G$18, 4, 0), 0)</f>
        <v>-7.5</v>
      </c>
      <c r="O10" s="158">
        <f t="shared" ref="O10:O30" si="3">IF(COUNTA(J10), VLOOKUP(J10, $C$3:$G$18, 5, 0), 0)</f>
        <v>0</v>
      </c>
      <c r="P10" s="56"/>
      <c r="Q10" s="56"/>
      <c r="S10" s="137" t="s">
        <v>805</v>
      </c>
      <c r="T10" s="157">
        <f>IF(COUNTA(S10), VLOOKUP(S10, $C$3:$G$18, 2, 0), 0)</f>
        <v>37.5</v>
      </c>
      <c r="U10" s="157" t="str">
        <f>IF(COUNTA(S10), VLOOKUP(S10, $C$3:$G$18, 3, 0), 0)</f>
        <v>Bus</v>
      </c>
      <c r="V10" s="56" t="s">
        <v>780</v>
      </c>
      <c r="W10" s="158">
        <f t="shared" ref="W10:W43" si="4">IF(COUNTA(S10), VLOOKUP(S10, $C$3:$G$18, 4, 0), 0)</f>
        <v>-2</v>
      </c>
      <c r="X10" s="158">
        <f t="shared" ref="X10:X43" si="5">IF(COUNTA(S10), VLOOKUP(S10, $C$3:$G$18, 5, 0), 0)</f>
        <v>0</v>
      </c>
      <c r="Y10" s="56"/>
      <c r="Z10" s="56"/>
    </row>
    <row r="11" spans="2:26">
      <c r="B11" s="152">
        <v>8</v>
      </c>
      <c r="C11" s="137" t="s">
        <v>994</v>
      </c>
      <c r="D11" s="152">
        <v>44</v>
      </c>
      <c r="E11" s="152"/>
      <c r="F11" s="173"/>
      <c r="G11" s="173"/>
      <c r="H11" s="152" t="s">
        <v>995</v>
      </c>
      <c r="J11" s="137"/>
      <c r="K11" s="157">
        <f t="shared" si="0"/>
        <v>0</v>
      </c>
      <c r="L11" s="157">
        <f t="shared" si="1"/>
        <v>0</v>
      </c>
      <c r="M11" s="56"/>
      <c r="N11" s="158">
        <f t="shared" si="2"/>
        <v>0</v>
      </c>
      <c r="O11" s="158">
        <f t="shared" si="3"/>
        <v>0</v>
      </c>
      <c r="P11" s="56"/>
      <c r="Q11" s="56"/>
      <c r="S11" s="137" t="s">
        <v>554</v>
      </c>
      <c r="T11" s="56">
        <f t="shared" ref="T11:T43" si="6">IF(COUNTA(S11), VLOOKUP(S11, $C$3:$E$18, 2, 0), 0)</f>
        <v>12.5</v>
      </c>
      <c r="U11" s="56" t="str">
        <f t="shared" ref="U11:U43" si="7">IF(COUNTA(S11), VLOOKUP(S11, $C$3:$E$18, 3, 0), 0)</f>
        <v>Power</v>
      </c>
      <c r="V11" s="56" t="s">
        <v>802</v>
      </c>
      <c r="W11" s="158">
        <f t="shared" si="4"/>
        <v>7</v>
      </c>
      <c r="X11" s="158">
        <f t="shared" si="5"/>
        <v>240</v>
      </c>
      <c r="Y11" s="158">
        <f>SUM(W10:W11)</f>
        <v>5</v>
      </c>
      <c r="Z11" s="158">
        <f>SUM(X10:X11)</f>
        <v>240</v>
      </c>
    </row>
    <row r="12" spans="2:26">
      <c r="B12" s="152"/>
      <c r="C12" s="152"/>
      <c r="D12" s="152"/>
      <c r="E12" s="152"/>
      <c r="F12" s="173"/>
      <c r="G12" s="173"/>
      <c r="H12" s="152"/>
      <c r="J12" s="137" t="s">
        <v>805</v>
      </c>
      <c r="K12" s="157">
        <f t="shared" si="0"/>
        <v>37.5</v>
      </c>
      <c r="L12" s="157" t="str">
        <f t="shared" si="1"/>
        <v>Bus</v>
      </c>
      <c r="M12" s="56" t="s">
        <v>761</v>
      </c>
      <c r="N12" s="158">
        <f t="shared" si="2"/>
        <v>-2</v>
      </c>
      <c r="O12" s="158">
        <f t="shared" si="3"/>
        <v>0</v>
      </c>
      <c r="P12" s="158">
        <f t="shared" ref="P12:P15" si="8">N12+P11</f>
        <v>-2</v>
      </c>
      <c r="Q12" s="158">
        <f t="shared" ref="Q12:Q15" si="9">O12+Q11</f>
        <v>0</v>
      </c>
      <c r="S12" s="137" t="s">
        <v>555</v>
      </c>
      <c r="T12" s="56">
        <f t="shared" si="6"/>
        <v>12.5</v>
      </c>
      <c r="U12" s="56" t="str">
        <f t="shared" si="7"/>
        <v>DI</v>
      </c>
      <c r="V12" s="56" t="s">
        <v>768</v>
      </c>
      <c r="W12" s="158">
        <f t="shared" si="4"/>
        <v>-0.18</v>
      </c>
      <c r="X12" s="158">
        <f t="shared" si="5"/>
        <v>-1.47</v>
      </c>
      <c r="Y12" s="158">
        <f>W12+Y11</f>
        <v>4.82</v>
      </c>
      <c r="Z12" s="158">
        <f>X12+Z11</f>
        <v>238.53</v>
      </c>
    </row>
    <row r="13" spans="2:26">
      <c r="B13" s="152"/>
      <c r="C13" s="152"/>
      <c r="D13" s="152"/>
      <c r="E13" s="152"/>
      <c r="F13" s="173"/>
      <c r="G13" s="173"/>
      <c r="H13" s="152"/>
      <c r="J13" s="137" t="s">
        <v>554</v>
      </c>
      <c r="K13" s="157">
        <f t="shared" si="0"/>
        <v>12.5</v>
      </c>
      <c r="L13" s="157" t="str">
        <f t="shared" si="1"/>
        <v>Power</v>
      </c>
      <c r="M13" s="56" t="s">
        <v>801</v>
      </c>
      <c r="N13" s="158">
        <f t="shared" si="2"/>
        <v>7</v>
      </c>
      <c r="O13" s="158">
        <f t="shared" si="3"/>
        <v>240</v>
      </c>
      <c r="P13" s="158">
        <f t="shared" si="8"/>
        <v>5</v>
      </c>
      <c r="Q13" s="158">
        <f t="shared" si="9"/>
        <v>240</v>
      </c>
      <c r="S13" s="137" t="s">
        <v>557</v>
      </c>
      <c r="T13" s="56">
        <f t="shared" si="6"/>
        <v>12.5</v>
      </c>
      <c r="U13" s="56" t="str">
        <f t="shared" si="7"/>
        <v>DO</v>
      </c>
      <c r="V13" s="56" t="s">
        <v>769</v>
      </c>
      <c r="W13" s="158">
        <f t="shared" si="4"/>
        <v>-0.28000000000000003</v>
      </c>
      <c r="X13" s="158">
        <f t="shared" si="5"/>
        <v>-95</v>
      </c>
      <c r="Y13" s="158">
        <f t="shared" ref="Y13:Z28" si="10">W13+Y12</f>
        <v>4.54</v>
      </c>
      <c r="Z13" s="158">
        <f t="shared" si="10"/>
        <v>143.53</v>
      </c>
    </row>
    <row r="14" spans="2:26">
      <c r="B14" s="152"/>
      <c r="C14" s="152"/>
      <c r="D14" s="152"/>
      <c r="E14" s="152"/>
      <c r="F14" s="173"/>
      <c r="G14" s="173"/>
      <c r="H14" s="152"/>
      <c r="J14" s="137" t="s">
        <v>556</v>
      </c>
      <c r="K14" s="157">
        <f t="shared" si="0"/>
        <v>12.5</v>
      </c>
      <c r="L14" s="157" t="str">
        <f t="shared" si="1"/>
        <v>RS485</v>
      </c>
      <c r="M14" s="56" t="s">
        <v>553</v>
      </c>
      <c r="N14" s="158">
        <f t="shared" si="2"/>
        <v>-0.01</v>
      </c>
      <c r="O14" s="158">
        <f t="shared" si="3"/>
        <v>-1.44</v>
      </c>
      <c r="P14" s="158">
        <f t="shared" si="8"/>
        <v>4.99</v>
      </c>
      <c r="Q14" s="158">
        <f t="shared" si="9"/>
        <v>238.56</v>
      </c>
      <c r="S14" s="137" t="s">
        <v>560</v>
      </c>
      <c r="T14" s="56">
        <f t="shared" si="6"/>
        <v>12.5</v>
      </c>
      <c r="U14" s="56" t="str">
        <f t="shared" si="7"/>
        <v>AI</v>
      </c>
      <c r="V14" s="56" t="s">
        <v>770</v>
      </c>
      <c r="W14" s="158">
        <f t="shared" si="4"/>
        <v>-0.01</v>
      </c>
      <c r="X14" s="158">
        <f t="shared" si="5"/>
        <v>-1.37</v>
      </c>
      <c r="Y14" s="158">
        <f t="shared" si="10"/>
        <v>4.53</v>
      </c>
      <c r="Z14" s="158">
        <f t="shared" si="10"/>
        <v>142.16</v>
      </c>
    </row>
    <row r="15" spans="2:26">
      <c r="B15" s="152"/>
      <c r="C15" s="152"/>
      <c r="D15" s="152"/>
      <c r="E15" s="152"/>
      <c r="F15" s="173"/>
      <c r="G15" s="173"/>
      <c r="H15" s="152"/>
      <c r="J15" s="137" t="s">
        <v>555</v>
      </c>
      <c r="K15" s="157">
        <f t="shared" si="0"/>
        <v>12.5</v>
      </c>
      <c r="L15" s="157" t="str">
        <f t="shared" si="1"/>
        <v>DI</v>
      </c>
      <c r="M15" s="56" t="s">
        <v>529</v>
      </c>
      <c r="N15" s="158">
        <f t="shared" si="2"/>
        <v>-0.18</v>
      </c>
      <c r="O15" s="158">
        <f t="shared" si="3"/>
        <v>-1.47</v>
      </c>
      <c r="P15" s="158">
        <f t="shared" si="8"/>
        <v>4.8100000000000005</v>
      </c>
      <c r="Q15" s="158">
        <f t="shared" si="9"/>
        <v>237.09</v>
      </c>
      <c r="S15" s="137" t="s">
        <v>560</v>
      </c>
      <c r="T15" s="56">
        <f t="shared" si="6"/>
        <v>12.5</v>
      </c>
      <c r="U15" s="56" t="str">
        <f t="shared" si="7"/>
        <v>AI</v>
      </c>
      <c r="V15" s="56" t="s">
        <v>771</v>
      </c>
      <c r="W15" s="158">
        <f t="shared" si="4"/>
        <v>-0.01</v>
      </c>
      <c r="X15" s="158">
        <f t="shared" si="5"/>
        <v>-1.37</v>
      </c>
      <c r="Y15" s="158">
        <f t="shared" si="10"/>
        <v>4.5200000000000005</v>
      </c>
      <c r="Z15" s="158">
        <f t="shared" si="10"/>
        <v>140.79</v>
      </c>
    </row>
    <row r="16" spans="2:26">
      <c r="B16" s="152"/>
      <c r="C16" s="152"/>
      <c r="D16" s="152"/>
      <c r="E16" s="152"/>
      <c r="F16" s="173"/>
      <c r="G16" s="173"/>
      <c r="H16" s="152"/>
      <c r="J16" s="137" t="s">
        <v>557</v>
      </c>
      <c r="K16" s="157">
        <f t="shared" si="0"/>
        <v>12.5</v>
      </c>
      <c r="L16" s="157" t="str">
        <f t="shared" si="1"/>
        <v>DO</v>
      </c>
      <c r="M16" s="56" t="s">
        <v>531</v>
      </c>
      <c r="N16" s="158">
        <f t="shared" si="2"/>
        <v>-0.28000000000000003</v>
      </c>
      <c r="O16" s="158">
        <f t="shared" si="3"/>
        <v>-95</v>
      </c>
      <c r="P16" s="158">
        <f t="shared" ref="P16:P30" si="11">N16+P15</f>
        <v>4.53</v>
      </c>
      <c r="Q16" s="158">
        <f t="shared" ref="Q16:Q30" si="12">O16+Q15</f>
        <v>142.09</v>
      </c>
      <c r="S16" s="137" t="s">
        <v>560</v>
      </c>
      <c r="T16" s="56">
        <f t="shared" si="6"/>
        <v>12.5</v>
      </c>
      <c r="U16" s="56" t="str">
        <f t="shared" si="7"/>
        <v>AI</v>
      </c>
      <c r="V16" s="56" t="s">
        <v>772</v>
      </c>
      <c r="W16" s="158">
        <f t="shared" si="4"/>
        <v>-0.01</v>
      </c>
      <c r="X16" s="158">
        <f t="shared" si="5"/>
        <v>-1.37</v>
      </c>
      <c r="Y16" s="158">
        <f t="shared" si="10"/>
        <v>4.5100000000000007</v>
      </c>
      <c r="Z16" s="158">
        <f t="shared" si="10"/>
        <v>139.41999999999999</v>
      </c>
    </row>
    <row r="17" spans="2:26">
      <c r="B17" s="152"/>
      <c r="C17" s="152"/>
      <c r="D17" s="152"/>
      <c r="E17" s="152"/>
      <c r="F17" s="173"/>
      <c r="G17" s="173"/>
      <c r="H17" s="152"/>
      <c r="J17" s="137" t="s">
        <v>560</v>
      </c>
      <c r="K17" s="157">
        <f t="shared" si="0"/>
        <v>12.5</v>
      </c>
      <c r="L17" s="157" t="str">
        <f t="shared" si="1"/>
        <v>AI</v>
      </c>
      <c r="M17" s="56" t="s">
        <v>533</v>
      </c>
      <c r="N17" s="158">
        <f t="shared" si="2"/>
        <v>-0.01</v>
      </c>
      <c r="O17" s="158">
        <f t="shared" si="3"/>
        <v>-1.37</v>
      </c>
      <c r="P17" s="158">
        <f t="shared" si="11"/>
        <v>4.5200000000000005</v>
      </c>
      <c r="Q17" s="158">
        <f t="shared" si="12"/>
        <v>140.72</v>
      </c>
      <c r="S17" s="137" t="s">
        <v>563</v>
      </c>
      <c r="T17" s="56">
        <f t="shared" si="6"/>
        <v>12.5</v>
      </c>
      <c r="U17" s="56" t="str">
        <f t="shared" si="7"/>
        <v>AO</v>
      </c>
      <c r="V17" s="56" t="s">
        <v>773</v>
      </c>
      <c r="W17" s="158">
        <f t="shared" si="4"/>
        <v>-0.01</v>
      </c>
      <c r="X17" s="158">
        <f t="shared" si="5"/>
        <v>-1.8</v>
      </c>
      <c r="Y17" s="158">
        <f t="shared" si="10"/>
        <v>4.5000000000000009</v>
      </c>
      <c r="Z17" s="158">
        <f t="shared" si="10"/>
        <v>137.61999999999998</v>
      </c>
    </row>
    <row r="18" spans="2:26">
      <c r="B18" s="152"/>
      <c r="C18" s="152"/>
      <c r="D18" s="152"/>
      <c r="E18" s="152"/>
      <c r="F18" s="173"/>
      <c r="G18" s="173"/>
      <c r="H18" s="152"/>
      <c r="J18" s="137" t="s">
        <v>563</v>
      </c>
      <c r="K18" s="157">
        <f t="shared" si="0"/>
        <v>12.5</v>
      </c>
      <c r="L18" s="157" t="str">
        <f t="shared" si="1"/>
        <v>AO</v>
      </c>
      <c r="M18" s="56" t="s">
        <v>762</v>
      </c>
      <c r="N18" s="158">
        <f t="shared" si="2"/>
        <v>-0.01</v>
      </c>
      <c r="O18" s="158">
        <f t="shared" si="3"/>
        <v>-1.8</v>
      </c>
      <c r="P18" s="158">
        <f t="shared" si="11"/>
        <v>4.5100000000000007</v>
      </c>
      <c r="Q18" s="158">
        <f t="shared" si="12"/>
        <v>138.91999999999999</v>
      </c>
      <c r="S18" s="137" t="s">
        <v>555</v>
      </c>
      <c r="T18" s="56">
        <f t="shared" si="6"/>
        <v>12.5</v>
      </c>
      <c r="U18" s="56" t="str">
        <f t="shared" si="7"/>
        <v>DI</v>
      </c>
      <c r="V18" s="56" t="s">
        <v>774</v>
      </c>
      <c r="W18" s="158">
        <f t="shared" si="4"/>
        <v>-0.18</v>
      </c>
      <c r="X18" s="158">
        <f t="shared" si="5"/>
        <v>-1.47</v>
      </c>
      <c r="Y18" s="158">
        <f t="shared" si="10"/>
        <v>4.3200000000000012</v>
      </c>
      <c r="Z18" s="158">
        <f t="shared" si="10"/>
        <v>136.14999999999998</v>
      </c>
    </row>
    <row r="19" spans="2:26">
      <c r="B19" s="152"/>
      <c r="C19" s="152"/>
      <c r="D19" s="152"/>
      <c r="E19" s="152"/>
      <c r="F19" s="173"/>
      <c r="G19" s="173"/>
      <c r="H19" s="152"/>
      <c r="J19" s="137" t="s">
        <v>555</v>
      </c>
      <c r="K19" s="157">
        <f t="shared" si="0"/>
        <v>12.5</v>
      </c>
      <c r="L19" s="157" t="str">
        <f t="shared" si="1"/>
        <v>DI</v>
      </c>
      <c r="M19" s="56" t="s">
        <v>763</v>
      </c>
      <c r="N19" s="158">
        <f t="shared" si="2"/>
        <v>-0.18</v>
      </c>
      <c r="O19" s="158">
        <f t="shared" si="3"/>
        <v>-1.47</v>
      </c>
      <c r="P19" s="158">
        <f t="shared" si="11"/>
        <v>4.330000000000001</v>
      </c>
      <c r="Q19" s="158">
        <f t="shared" si="12"/>
        <v>137.44999999999999</v>
      </c>
      <c r="S19" s="137" t="s">
        <v>557</v>
      </c>
      <c r="T19" s="56">
        <f t="shared" si="6"/>
        <v>12.5</v>
      </c>
      <c r="U19" s="56" t="str">
        <f t="shared" si="7"/>
        <v>DO</v>
      </c>
      <c r="V19" s="56" t="s">
        <v>775</v>
      </c>
      <c r="W19" s="158">
        <f t="shared" si="4"/>
        <v>-0.28000000000000003</v>
      </c>
      <c r="X19" s="158">
        <f t="shared" si="5"/>
        <v>-95</v>
      </c>
      <c r="Y19" s="158">
        <f t="shared" si="10"/>
        <v>4.0400000000000009</v>
      </c>
      <c r="Z19" s="158">
        <f t="shared" si="10"/>
        <v>41.149999999999977</v>
      </c>
    </row>
    <row r="20" spans="2:26">
      <c r="B20" s="155"/>
      <c r="C20" s="155"/>
      <c r="D20" s="155"/>
      <c r="E20" s="155"/>
      <c r="F20" s="155"/>
      <c r="G20" s="155"/>
      <c r="H20" s="155"/>
      <c r="J20" s="137" t="s">
        <v>557</v>
      </c>
      <c r="K20" s="157">
        <f t="shared" si="0"/>
        <v>12.5</v>
      </c>
      <c r="L20" s="157" t="str">
        <f t="shared" si="1"/>
        <v>DO</v>
      </c>
      <c r="M20" s="56" t="s">
        <v>764</v>
      </c>
      <c r="N20" s="158">
        <f t="shared" si="2"/>
        <v>-0.28000000000000003</v>
      </c>
      <c r="O20" s="158">
        <f t="shared" si="3"/>
        <v>-95</v>
      </c>
      <c r="P20" s="158">
        <f t="shared" si="11"/>
        <v>4.0500000000000007</v>
      </c>
      <c r="Q20" s="158">
        <f t="shared" si="12"/>
        <v>42.449999999999989</v>
      </c>
      <c r="S20" s="137" t="s">
        <v>560</v>
      </c>
      <c r="T20" s="56">
        <f t="shared" si="6"/>
        <v>12.5</v>
      </c>
      <c r="U20" s="56" t="str">
        <f t="shared" si="7"/>
        <v>AI</v>
      </c>
      <c r="V20" s="56" t="s">
        <v>776</v>
      </c>
      <c r="W20" s="158">
        <f t="shared" si="4"/>
        <v>-0.01</v>
      </c>
      <c r="X20" s="158">
        <f t="shared" si="5"/>
        <v>-1.37</v>
      </c>
      <c r="Y20" s="158">
        <f t="shared" si="10"/>
        <v>4.0300000000000011</v>
      </c>
      <c r="Z20" s="158">
        <f t="shared" si="10"/>
        <v>39.77999999999998</v>
      </c>
    </row>
    <row r="21" spans="2:26">
      <c r="J21" s="137" t="s">
        <v>560</v>
      </c>
      <c r="K21" s="157">
        <f t="shared" si="0"/>
        <v>12.5</v>
      </c>
      <c r="L21" s="157" t="str">
        <f t="shared" si="1"/>
        <v>AI</v>
      </c>
      <c r="M21" s="56" t="s">
        <v>765</v>
      </c>
      <c r="N21" s="158">
        <f t="shared" si="2"/>
        <v>-0.01</v>
      </c>
      <c r="O21" s="158">
        <f t="shared" si="3"/>
        <v>-1.37</v>
      </c>
      <c r="P21" s="158">
        <f t="shared" si="11"/>
        <v>4.0400000000000009</v>
      </c>
      <c r="Q21" s="158">
        <f t="shared" si="12"/>
        <v>41.079999999999991</v>
      </c>
      <c r="S21" s="137" t="s">
        <v>560</v>
      </c>
      <c r="T21" s="56">
        <f t="shared" si="6"/>
        <v>12.5</v>
      </c>
      <c r="U21" s="56" t="str">
        <f t="shared" si="7"/>
        <v>AI</v>
      </c>
      <c r="V21" s="56" t="s">
        <v>777</v>
      </c>
      <c r="W21" s="158">
        <f t="shared" si="4"/>
        <v>-0.01</v>
      </c>
      <c r="X21" s="158">
        <f t="shared" si="5"/>
        <v>-1.37</v>
      </c>
      <c r="Y21" s="158">
        <f t="shared" si="10"/>
        <v>4.0200000000000014</v>
      </c>
      <c r="Z21" s="158">
        <f t="shared" si="10"/>
        <v>38.409999999999982</v>
      </c>
    </row>
    <row r="22" spans="2:26">
      <c r="E22" s="30"/>
      <c r="F22" s="30"/>
      <c r="G22" s="30"/>
      <c r="H22" s="30"/>
      <c r="J22" s="137" t="s">
        <v>560</v>
      </c>
      <c r="K22" s="157">
        <f t="shared" si="0"/>
        <v>12.5</v>
      </c>
      <c r="L22" s="157" t="str">
        <f t="shared" si="1"/>
        <v>AI</v>
      </c>
      <c r="M22" s="56" t="s">
        <v>766</v>
      </c>
      <c r="N22" s="158">
        <f t="shared" si="2"/>
        <v>-0.01</v>
      </c>
      <c r="O22" s="158">
        <f t="shared" si="3"/>
        <v>-1.37</v>
      </c>
      <c r="P22" s="158">
        <f t="shared" si="11"/>
        <v>4.0300000000000011</v>
      </c>
      <c r="Q22" s="158">
        <f t="shared" si="12"/>
        <v>39.709999999999994</v>
      </c>
      <c r="S22" s="137" t="s">
        <v>560</v>
      </c>
      <c r="T22" s="56">
        <f t="shared" si="6"/>
        <v>12.5</v>
      </c>
      <c r="U22" s="56" t="str">
        <f t="shared" si="7"/>
        <v>AI</v>
      </c>
      <c r="V22" s="56" t="s">
        <v>778</v>
      </c>
      <c r="W22" s="158">
        <f t="shared" si="4"/>
        <v>-0.01</v>
      </c>
      <c r="X22" s="158">
        <f t="shared" si="5"/>
        <v>-1.37</v>
      </c>
      <c r="Y22" s="158">
        <f t="shared" si="10"/>
        <v>4.0100000000000016</v>
      </c>
      <c r="Z22" s="158">
        <f t="shared" si="10"/>
        <v>37.039999999999985</v>
      </c>
    </row>
    <row r="23" spans="2:26">
      <c r="D23" s="30"/>
      <c r="E23" s="30"/>
      <c r="F23" s="30"/>
      <c r="G23" s="30"/>
      <c r="H23" s="30"/>
      <c r="J23" s="137" t="s">
        <v>560</v>
      </c>
      <c r="K23" s="157">
        <f t="shared" si="0"/>
        <v>12.5</v>
      </c>
      <c r="L23" s="157" t="str">
        <f t="shared" si="1"/>
        <v>AI</v>
      </c>
      <c r="M23" s="56" t="s">
        <v>767</v>
      </c>
      <c r="N23" s="158">
        <f t="shared" si="2"/>
        <v>-0.01</v>
      </c>
      <c r="O23" s="158">
        <f t="shared" si="3"/>
        <v>-1.37</v>
      </c>
      <c r="P23" s="158">
        <f t="shared" si="11"/>
        <v>4.0200000000000014</v>
      </c>
      <c r="Q23" s="158">
        <f t="shared" si="12"/>
        <v>38.339999999999996</v>
      </c>
      <c r="S23" s="137" t="s">
        <v>563</v>
      </c>
      <c r="T23" s="56">
        <f t="shared" si="6"/>
        <v>12.5</v>
      </c>
      <c r="U23" s="56" t="str">
        <f t="shared" si="7"/>
        <v>AO</v>
      </c>
      <c r="V23" s="56" t="s">
        <v>779</v>
      </c>
      <c r="W23" s="158">
        <f t="shared" si="4"/>
        <v>-0.01</v>
      </c>
      <c r="X23" s="158">
        <f t="shared" si="5"/>
        <v>-1.8</v>
      </c>
      <c r="Y23" s="158">
        <f t="shared" si="10"/>
        <v>4.0000000000000018</v>
      </c>
      <c r="Z23" s="158">
        <f t="shared" si="10"/>
        <v>35.239999999999988</v>
      </c>
    </row>
    <row r="24" spans="2:26">
      <c r="D24" s="30"/>
      <c r="E24" s="30"/>
      <c r="F24" s="30"/>
      <c r="G24" s="30"/>
      <c r="J24" s="137" t="s">
        <v>563</v>
      </c>
      <c r="K24" s="157">
        <f t="shared" si="0"/>
        <v>12.5</v>
      </c>
      <c r="L24" s="157" t="str">
        <f t="shared" si="1"/>
        <v>AO</v>
      </c>
      <c r="M24" s="56"/>
      <c r="N24" s="158">
        <f t="shared" si="2"/>
        <v>-0.01</v>
      </c>
      <c r="O24" s="158">
        <f t="shared" si="3"/>
        <v>-1.8</v>
      </c>
      <c r="P24" s="158">
        <f t="shared" si="11"/>
        <v>4.0100000000000016</v>
      </c>
      <c r="Q24" s="158">
        <f t="shared" si="12"/>
        <v>36.54</v>
      </c>
      <c r="S24" s="137" t="s">
        <v>554</v>
      </c>
      <c r="T24" s="56">
        <f t="shared" si="6"/>
        <v>12.5</v>
      </c>
      <c r="U24" s="56" t="str">
        <f t="shared" si="7"/>
        <v>Power</v>
      </c>
      <c r="V24" s="56" t="s">
        <v>803</v>
      </c>
      <c r="W24" s="158">
        <f t="shared" si="4"/>
        <v>7</v>
      </c>
      <c r="X24" s="158">
        <f t="shared" si="5"/>
        <v>240</v>
      </c>
      <c r="Y24" s="158">
        <f t="shared" si="10"/>
        <v>11.000000000000002</v>
      </c>
      <c r="Z24" s="158">
        <f t="shared" si="10"/>
        <v>275.24</v>
      </c>
    </row>
    <row r="25" spans="2:26">
      <c r="D25" s="30"/>
      <c r="E25" s="30"/>
      <c r="F25" s="30"/>
      <c r="G25" s="30"/>
      <c r="J25" s="137"/>
      <c r="K25" s="157">
        <f t="shared" si="0"/>
        <v>0</v>
      </c>
      <c r="L25" s="157">
        <f t="shared" si="1"/>
        <v>0</v>
      </c>
      <c r="M25" s="56"/>
      <c r="N25" s="158">
        <f t="shared" si="2"/>
        <v>0</v>
      </c>
      <c r="O25" s="158">
        <f t="shared" si="3"/>
        <v>0</v>
      </c>
      <c r="P25" s="158">
        <f t="shared" si="11"/>
        <v>4.0100000000000016</v>
      </c>
      <c r="Q25" s="158">
        <f t="shared" si="12"/>
        <v>36.54</v>
      </c>
      <c r="S25" s="137" t="s">
        <v>555</v>
      </c>
      <c r="T25" s="56">
        <f t="shared" si="6"/>
        <v>12.5</v>
      </c>
      <c r="U25" s="56" t="str">
        <f t="shared" si="7"/>
        <v>DI</v>
      </c>
      <c r="V25" s="56" t="s">
        <v>781</v>
      </c>
      <c r="W25" s="158">
        <f t="shared" si="4"/>
        <v>-0.18</v>
      </c>
      <c r="X25" s="158">
        <f t="shared" si="5"/>
        <v>-1.47</v>
      </c>
      <c r="Y25" s="158">
        <f t="shared" si="10"/>
        <v>10.820000000000002</v>
      </c>
      <c r="Z25" s="158">
        <f t="shared" si="10"/>
        <v>273.77</v>
      </c>
    </row>
    <row r="26" spans="2:26">
      <c r="C26" s="30"/>
      <c r="J26" s="137" t="s">
        <v>993</v>
      </c>
      <c r="K26" s="157">
        <f t="shared" si="0"/>
        <v>44</v>
      </c>
      <c r="L26" s="157">
        <f t="shared" si="1"/>
        <v>0</v>
      </c>
      <c r="M26" s="56"/>
      <c r="N26" s="158">
        <f t="shared" si="2"/>
        <v>0</v>
      </c>
      <c r="O26" s="158">
        <f t="shared" si="3"/>
        <v>0</v>
      </c>
      <c r="P26" s="158">
        <f t="shared" si="11"/>
        <v>4.0100000000000016</v>
      </c>
      <c r="Q26" s="158">
        <f t="shared" si="12"/>
        <v>36.54</v>
      </c>
      <c r="R26" s="30"/>
      <c r="S26" s="137" t="s">
        <v>557</v>
      </c>
      <c r="T26" s="56">
        <f t="shared" si="6"/>
        <v>12.5</v>
      </c>
      <c r="U26" s="56" t="str">
        <f t="shared" si="7"/>
        <v>DO</v>
      </c>
      <c r="V26" s="56" t="s">
        <v>782</v>
      </c>
      <c r="W26" s="158">
        <f t="shared" si="4"/>
        <v>-0.28000000000000003</v>
      </c>
      <c r="X26" s="158">
        <f t="shared" si="5"/>
        <v>-95</v>
      </c>
      <c r="Y26" s="158">
        <f t="shared" si="10"/>
        <v>10.540000000000003</v>
      </c>
      <c r="Z26" s="158">
        <f t="shared" si="10"/>
        <v>178.76999999999998</v>
      </c>
    </row>
    <row r="27" spans="2:26">
      <c r="C27" s="30"/>
      <c r="J27" s="137"/>
      <c r="K27" s="157">
        <f t="shared" si="0"/>
        <v>0</v>
      </c>
      <c r="L27" s="157">
        <f t="shared" si="1"/>
        <v>0</v>
      </c>
      <c r="M27" s="56"/>
      <c r="N27" s="158">
        <f t="shared" si="2"/>
        <v>0</v>
      </c>
      <c r="O27" s="158">
        <f t="shared" si="3"/>
        <v>0</v>
      </c>
      <c r="P27" s="158">
        <f t="shared" si="11"/>
        <v>4.0100000000000016</v>
      </c>
      <c r="Q27" s="158">
        <f t="shared" si="12"/>
        <v>36.54</v>
      </c>
      <c r="S27" s="137" t="s">
        <v>560</v>
      </c>
      <c r="T27" s="56">
        <f t="shared" si="6"/>
        <v>12.5</v>
      </c>
      <c r="U27" s="56" t="str">
        <f t="shared" si="7"/>
        <v>AI</v>
      </c>
      <c r="V27" s="56" t="s">
        <v>783</v>
      </c>
      <c r="W27" s="158">
        <f t="shared" si="4"/>
        <v>-0.01</v>
      </c>
      <c r="X27" s="158">
        <f t="shared" si="5"/>
        <v>-1.37</v>
      </c>
      <c r="Y27" s="158">
        <f t="shared" si="10"/>
        <v>10.530000000000003</v>
      </c>
      <c r="Z27" s="158">
        <f t="shared" si="10"/>
        <v>177.39999999999998</v>
      </c>
    </row>
    <row r="28" spans="2:26">
      <c r="C28" s="30"/>
      <c r="J28" s="137"/>
      <c r="K28" s="157">
        <f t="shared" si="0"/>
        <v>0</v>
      </c>
      <c r="L28" s="157">
        <f t="shared" si="1"/>
        <v>0</v>
      </c>
      <c r="M28" s="56"/>
      <c r="N28" s="158">
        <f t="shared" si="2"/>
        <v>0</v>
      </c>
      <c r="O28" s="158">
        <f t="shared" si="3"/>
        <v>0</v>
      </c>
      <c r="P28" s="158">
        <f t="shared" si="11"/>
        <v>4.0100000000000016</v>
      </c>
      <c r="Q28" s="158">
        <f t="shared" si="12"/>
        <v>36.54</v>
      </c>
      <c r="S28" s="137" t="s">
        <v>560</v>
      </c>
      <c r="T28" s="56">
        <f t="shared" si="6"/>
        <v>12.5</v>
      </c>
      <c r="U28" s="56" t="str">
        <f t="shared" si="7"/>
        <v>AI</v>
      </c>
      <c r="V28" s="56" t="s">
        <v>784</v>
      </c>
      <c r="W28" s="158">
        <f t="shared" si="4"/>
        <v>-0.01</v>
      </c>
      <c r="X28" s="158">
        <f t="shared" si="5"/>
        <v>-1.37</v>
      </c>
      <c r="Y28" s="158">
        <f t="shared" si="10"/>
        <v>10.520000000000003</v>
      </c>
      <c r="Z28" s="158">
        <f t="shared" si="10"/>
        <v>176.02999999999997</v>
      </c>
    </row>
    <row r="29" spans="2:26">
      <c r="J29" s="137"/>
      <c r="K29" s="157">
        <f t="shared" si="0"/>
        <v>0</v>
      </c>
      <c r="L29" s="157">
        <f t="shared" si="1"/>
        <v>0</v>
      </c>
      <c r="M29" s="56"/>
      <c r="N29" s="158">
        <f t="shared" si="2"/>
        <v>0</v>
      </c>
      <c r="O29" s="158">
        <f t="shared" si="3"/>
        <v>0</v>
      </c>
      <c r="P29" s="158">
        <f t="shared" si="11"/>
        <v>4.0100000000000016</v>
      </c>
      <c r="Q29" s="158">
        <f t="shared" si="12"/>
        <v>36.54</v>
      </c>
      <c r="S29" s="137" t="s">
        <v>560</v>
      </c>
      <c r="T29" s="56">
        <f t="shared" si="6"/>
        <v>12.5</v>
      </c>
      <c r="U29" s="56" t="str">
        <f t="shared" si="7"/>
        <v>AI</v>
      </c>
      <c r="V29" s="56" t="s">
        <v>785</v>
      </c>
      <c r="W29" s="158">
        <f t="shared" si="4"/>
        <v>-0.01</v>
      </c>
      <c r="X29" s="158">
        <f t="shared" si="5"/>
        <v>-1.37</v>
      </c>
      <c r="Y29" s="158">
        <f t="shared" ref="Y29:Z34" si="13">W29+Y28</f>
        <v>10.510000000000003</v>
      </c>
      <c r="Z29" s="158">
        <f t="shared" si="13"/>
        <v>174.65999999999997</v>
      </c>
    </row>
    <row r="30" spans="2:26">
      <c r="J30" s="137"/>
      <c r="K30" s="157">
        <f t="shared" si="0"/>
        <v>0</v>
      </c>
      <c r="L30" s="157">
        <f t="shared" si="1"/>
        <v>0</v>
      </c>
      <c r="M30" s="56"/>
      <c r="N30" s="158">
        <f t="shared" si="2"/>
        <v>0</v>
      </c>
      <c r="O30" s="158">
        <f t="shared" si="3"/>
        <v>0</v>
      </c>
      <c r="P30" s="158">
        <f t="shared" si="11"/>
        <v>4.0100000000000016</v>
      </c>
      <c r="Q30" s="158">
        <f t="shared" si="12"/>
        <v>36.54</v>
      </c>
      <c r="S30" s="137" t="s">
        <v>563</v>
      </c>
      <c r="T30" s="56">
        <f t="shared" si="6"/>
        <v>12.5</v>
      </c>
      <c r="U30" s="56" t="str">
        <f t="shared" si="7"/>
        <v>AO</v>
      </c>
      <c r="V30" s="56" t="s">
        <v>786</v>
      </c>
      <c r="W30" s="158">
        <f t="shared" si="4"/>
        <v>-0.01</v>
      </c>
      <c r="X30" s="158">
        <f t="shared" si="5"/>
        <v>-1.8</v>
      </c>
      <c r="Y30" s="158">
        <f t="shared" si="13"/>
        <v>10.500000000000004</v>
      </c>
      <c r="Z30" s="158">
        <f t="shared" si="13"/>
        <v>172.85999999999996</v>
      </c>
    </row>
    <row r="31" spans="2:26">
      <c r="S31" s="137" t="s">
        <v>555</v>
      </c>
      <c r="T31" s="56">
        <f t="shared" si="6"/>
        <v>12.5</v>
      </c>
      <c r="U31" s="56" t="str">
        <f t="shared" si="7"/>
        <v>DI</v>
      </c>
      <c r="V31" s="56" t="s">
        <v>787</v>
      </c>
      <c r="W31" s="158">
        <f t="shared" si="4"/>
        <v>-0.18</v>
      </c>
      <c r="X31" s="158">
        <f t="shared" si="5"/>
        <v>-1.47</v>
      </c>
      <c r="Y31" s="158">
        <f t="shared" si="13"/>
        <v>10.320000000000004</v>
      </c>
      <c r="Z31" s="158">
        <f t="shared" si="13"/>
        <v>171.38999999999996</v>
      </c>
    </row>
    <row r="32" spans="2:26">
      <c r="E32" s="30"/>
      <c r="F32" s="30"/>
      <c r="G32" s="30"/>
      <c r="S32" s="137" t="s">
        <v>557</v>
      </c>
      <c r="T32" s="56">
        <f t="shared" si="6"/>
        <v>12.5</v>
      </c>
      <c r="U32" s="56" t="str">
        <f t="shared" si="7"/>
        <v>DO</v>
      </c>
      <c r="V32" s="56" t="s">
        <v>788</v>
      </c>
      <c r="W32" s="158">
        <f t="shared" si="4"/>
        <v>-0.28000000000000003</v>
      </c>
      <c r="X32" s="158">
        <f t="shared" si="5"/>
        <v>-95</v>
      </c>
      <c r="Y32" s="158">
        <f t="shared" si="13"/>
        <v>10.040000000000004</v>
      </c>
      <c r="Z32" s="158">
        <f t="shared" si="13"/>
        <v>76.389999999999958</v>
      </c>
    </row>
    <row r="33" spans="10:26">
      <c r="M33" s="30"/>
      <c r="N33" s="30"/>
      <c r="O33" s="30"/>
      <c r="P33" s="30"/>
      <c r="Q33" s="30"/>
      <c r="S33" s="137" t="s">
        <v>560</v>
      </c>
      <c r="T33" s="56">
        <f t="shared" si="6"/>
        <v>12.5</v>
      </c>
      <c r="U33" s="56" t="str">
        <f t="shared" si="7"/>
        <v>AI</v>
      </c>
      <c r="V33" s="56" t="s">
        <v>789</v>
      </c>
      <c r="W33" s="158">
        <f t="shared" si="4"/>
        <v>-0.01</v>
      </c>
      <c r="X33" s="158">
        <f t="shared" si="5"/>
        <v>-1.37</v>
      </c>
      <c r="Y33" s="158">
        <f t="shared" si="13"/>
        <v>10.030000000000005</v>
      </c>
      <c r="Z33" s="158">
        <f t="shared" si="13"/>
        <v>75.019999999999953</v>
      </c>
    </row>
    <row r="34" spans="10:26">
      <c r="S34" s="137" t="s">
        <v>560</v>
      </c>
      <c r="T34" s="56">
        <f t="shared" si="6"/>
        <v>12.5</v>
      </c>
      <c r="U34" s="56" t="str">
        <f t="shared" si="7"/>
        <v>AI</v>
      </c>
      <c r="V34" s="56" t="s">
        <v>790</v>
      </c>
      <c r="W34" s="158">
        <f t="shared" si="4"/>
        <v>-0.01</v>
      </c>
      <c r="X34" s="158">
        <f t="shared" si="5"/>
        <v>-1.37</v>
      </c>
      <c r="Y34" s="158">
        <f t="shared" si="13"/>
        <v>10.020000000000005</v>
      </c>
      <c r="Z34" s="158">
        <f t="shared" si="13"/>
        <v>73.649999999999949</v>
      </c>
    </row>
    <row r="35" spans="10:26">
      <c r="S35" s="137" t="s">
        <v>560</v>
      </c>
      <c r="T35" s="56">
        <f t="shared" si="6"/>
        <v>12.5</v>
      </c>
      <c r="U35" s="56" t="str">
        <f t="shared" si="7"/>
        <v>AI</v>
      </c>
      <c r="V35" s="56" t="s">
        <v>791</v>
      </c>
      <c r="W35" s="158">
        <f t="shared" si="4"/>
        <v>-0.01</v>
      </c>
      <c r="X35" s="158">
        <f t="shared" si="5"/>
        <v>-1.37</v>
      </c>
      <c r="Y35" s="158">
        <f t="shared" ref="Y35:Y43" si="14">W35+Y34</f>
        <v>10.010000000000005</v>
      </c>
      <c r="Z35" s="158">
        <f t="shared" ref="Z35:Z43" si="15">X35+Z34</f>
        <v>72.279999999999944</v>
      </c>
    </row>
    <row r="36" spans="10:26">
      <c r="S36" s="137" t="s">
        <v>563</v>
      </c>
      <c r="T36" s="56">
        <f t="shared" si="6"/>
        <v>12.5</v>
      </c>
      <c r="U36" s="56" t="str">
        <f t="shared" si="7"/>
        <v>AO</v>
      </c>
      <c r="V36" s="56" t="s">
        <v>792</v>
      </c>
      <c r="W36" s="158">
        <f t="shared" si="4"/>
        <v>-0.01</v>
      </c>
      <c r="X36" s="158">
        <f t="shared" si="5"/>
        <v>-1.8</v>
      </c>
      <c r="Y36" s="158">
        <f t="shared" si="14"/>
        <v>10.000000000000005</v>
      </c>
      <c r="Z36" s="158">
        <f t="shared" si="15"/>
        <v>70.479999999999947</v>
      </c>
    </row>
    <row r="37" spans="10:26">
      <c r="S37" s="137" t="s">
        <v>554</v>
      </c>
      <c r="T37" s="56">
        <f t="shared" si="6"/>
        <v>12.5</v>
      </c>
      <c r="U37" s="56" t="str">
        <f t="shared" si="7"/>
        <v>Power</v>
      </c>
      <c r="V37" s="56" t="s">
        <v>804</v>
      </c>
      <c r="W37" s="158">
        <f t="shared" si="4"/>
        <v>7</v>
      </c>
      <c r="X37" s="158">
        <f t="shared" si="5"/>
        <v>240</v>
      </c>
      <c r="Y37" s="158">
        <f t="shared" si="14"/>
        <v>17.000000000000007</v>
      </c>
      <c r="Z37" s="158">
        <f t="shared" si="15"/>
        <v>310.47999999999996</v>
      </c>
    </row>
    <row r="38" spans="10:26">
      <c r="S38" s="137" t="s">
        <v>555</v>
      </c>
      <c r="T38" s="56">
        <f t="shared" si="6"/>
        <v>12.5</v>
      </c>
      <c r="U38" s="56" t="str">
        <f t="shared" si="7"/>
        <v>DI</v>
      </c>
      <c r="V38" s="56" t="s">
        <v>793</v>
      </c>
      <c r="W38" s="158">
        <f t="shared" si="4"/>
        <v>-0.18</v>
      </c>
      <c r="X38" s="158">
        <f t="shared" si="5"/>
        <v>-1.47</v>
      </c>
      <c r="Y38" s="158">
        <f t="shared" si="14"/>
        <v>16.820000000000007</v>
      </c>
      <c r="Z38" s="158">
        <f t="shared" si="15"/>
        <v>309.00999999999993</v>
      </c>
    </row>
    <row r="39" spans="10:26">
      <c r="S39" s="137" t="s">
        <v>557</v>
      </c>
      <c r="T39" s="56">
        <f t="shared" si="6"/>
        <v>12.5</v>
      </c>
      <c r="U39" s="56" t="str">
        <f t="shared" si="7"/>
        <v>DO</v>
      </c>
      <c r="V39" s="56" t="s">
        <v>794</v>
      </c>
      <c r="W39" s="158">
        <f t="shared" si="4"/>
        <v>-0.28000000000000003</v>
      </c>
      <c r="X39" s="158">
        <f t="shared" si="5"/>
        <v>-95</v>
      </c>
      <c r="Y39" s="158">
        <f t="shared" si="14"/>
        <v>16.540000000000006</v>
      </c>
      <c r="Z39" s="158">
        <f t="shared" si="15"/>
        <v>214.00999999999993</v>
      </c>
    </row>
    <row r="40" spans="10:26">
      <c r="S40" s="137" t="s">
        <v>560</v>
      </c>
      <c r="T40" s="56">
        <f t="shared" si="6"/>
        <v>12.5</v>
      </c>
      <c r="U40" s="56" t="str">
        <f t="shared" si="7"/>
        <v>AI</v>
      </c>
      <c r="V40" s="56" t="s">
        <v>795</v>
      </c>
      <c r="W40" s="158">
        <f t="shared" si="4"/>
        <v>-0.01</v>
      </c>
      <c r="X40" s="158">
        <f t="shared" si="5"/>
        <v>-1.37</v>
      </c>
      <c r="Y40" s="158">
        <f t="shared" si="14"/>
        <v>16.530000000000005</v>
      </c>
      <c r="Z40" s="158">
        <f t="shared" si="15"/>
        <v>212.63999999999993</v>
      </c>
    </row>
    <row r="41" spans="10:26">
      <c r="S41" s="137" t="s">
        <v>560</v>
      </c>
      <c r="T41" s="56">
        <f t="shared" si="6"/>
        <v>12.5</v>
      </c>
      <c r="U41" s="56" t="str">
        <f t="shared" si="7"/>
        <v>AI</v>
      </c>
      <c r="V41" s="56" t="s">
        <v>796</v>
      </c>
      <c r="W41" s="158">
        <f t="shared" si="4"/>
        <v>-0.01</v>
      </c>
      <c r="X41" s="158">
        <f t="shared" si="5"/>
        <v>-1.37</v>
      </c>
      <c r="Y41" s="158">
        <f t="shared" si="14"/>
        <v>16.520000000000003</v>
      </c>
      <c r="Z41" s="158">
        <f t="shared" si="15"/>
        <v>211.26999999999992</v>
      </c>
    </row>
    <row r="42" spans="10:26">
      <c r="S42" s="137" t="s">
        <v>560</v>
      </c>
      <c r="T42" s="56">
        <f t="shared" si="6"/>
        <v>12.5</v>
      </c>
      <c r="U42" s="56" t="str">
        <f t="shared" si="7"/>
        <v>AI</v>
      </c>
      <c r="V42" s="56" t="s">
        <v>797</v>
      </c>
      <c r="W42" s="158">
        <f t="shared" si="4"/>
        <v>-0.01</v>
      </c>
      <c r="X42" s="158">
        <f t="shared" si="5"/>
        <v>-1.37</v>
      </c>
      <c r="Y42" s="158">
        <f t="shared" si="14"/>
        <v>16.510000000000002</v>
      </c>
      <c r="Z42" s="158">
        <f t="shared" si="15"/>
        <v>209.89999999999992</v>
      </c>
    </row>
    <row r="43" spans="10:26">
      <c r="S43" s="137" t="s">
        <v>563</v>
      </c>
      <c r="T43" s="56">
        <f t="shared" si="6"/>
        <v>12.5</v>
      </c>
      <c r="U43" s="56" t="str">
        <f t="shared" si="7"/>
        <v>AO</v>
      </c>
      <c r="V43" s="56" t="s">
        <v>798</v>
      </c>
      <c r="W43" s="158">
        <f t="shared" si="4"/>
        <v>-0.01</v>
      </c>
      <c r="X43" s="158">
        <f t="shared" si="5"/>
        <v>-1.8</v>
      </c>
      <c r="Y43" s="158">
        <f t="shared" si="14"/>
        <v>16.5</v>
      </c>
      <c r="Z43" s="158">
        <f t="shared" si="15"/>
        <v>208.09999999999991</v>
      </c>
    </row>
    <row r="46" spans="10:26">
      <c r="J46" s="54" t="s">
        <v>800</v>
      </c>
    </row>
    <row r="47" spans="10:26">
      <c r="J47" t="s">
        <v>545</v>
      </c>
      <c r="L47" t="e">
        <f>SUM(K50:K69)</f>
        <v>#N/A</v>
      </c>
      <c r="M47" s="30" t="s">
        <v>547</v>
      </c>
      <c r="N47" s="30"/>
      <c r="O47" s="30"/>
      <c r="P47" s="30"/>
      <c r="Q47" s="30"/>
      <c r="S47" t="s">
        <v>546</v>
      </c>
      <c r="U47">
        <f>SUM(T50:T83)</f>
        <v>387.5</v>
      </c>
      <c r="V47" s="30" t="s">
        <v>547</v>
      </c>
      <c r="W47" s="30"/>
      <c r="X47" s="30"/>
      <c r="Y47" s="30"/>
      <c r="Z47" s="30"/>
    </row>
    <row r="48" spans="10:26">
      <c r="J48" s="309" t="s">
        <v>534</v>
      </c>
      <c r="K48" s="309" t="s">
        <v>535</v>
      </c>
      <c r="L48" s="309" t="s">
        <v>82</v>
      </c>
      <c r="M48" s="309" t="s">
        <v>549</v>
      </c>
      <c r="N48" s="309" t="s">
        <v>536</v>
      </c>
      <c r="O48" s="309"/>
      <c r="P48" s="309" t="s">
        <v>550</v>
      </c>
      <c r="Q48" s="309"/>
      <c r="S48" s="309" t="s">
        <v>534</v>
      </c>
      <c r="T48" s="309" t="s">
        <v>535</v>
      </c>
      <c r="U48" s="309" t="s">
        <v>82</v>
      </c>
      <c r="V48" s="309" t="s">
        <v>549</v>
      </c>
      <c r="W48" s="309" t="s">
        <v>536</v>
      </c>
      <c r="X48" s="309"/>
      <c r="Y48" s="309" t="s">
        <v>550</v>
      </c>
      <c r="Z48" s="309"/>
    </row>
    <row r="49" spans="10:26">
      <c r="J49" s="309"/>
      <c r="K49" s="309"/>
      <c r="L49" s="309"/>
      <c r="M49" s="309"/>
      <c r="N49" s="169" t="s">
        <v>538</v>
      </c>
      <c r="O49" s="169" t="s">
        <v>539</v>
      </c>
      <c r="P49" s="169" t="s">
        <v>538</v>
      </c>
      <c r="Q49" s="169" t="s">
        <v>539</v>
      </c>
      <c r="S49" s="309"/>
      <c r="T49" s="309"/>
      <c r="U49" s="309"/>
      <c r="V49" s="309"/>
      <c r="W49" s="169" t="s">
        <v>538</v>
      </c>
      <c r="X49" s="169" t="s">
        <v>539</v>
      </c>
      <c r="Y49" s="169" t="s">
        <v>538</v>
      </c>
      <c r="Z49" s="169" t="s">
        <v>539</v>
      </c>
    </row>
    <row r="50" spans="10:26">
      <c r="J50" s="137" t="s">
        <v>756</v>
      </c>
      <c r="K50" s="157">
        <f t="shared" ref="K50:K70" si="16">IF(COUNTA(J50), VLOOKUP(J50, $C$3:$G$18, 2, 0), 0)</f>
        <v>150</v>
      </c>
      <c r="L50" s="157" t="str">
        <f t="shared" ref="L50:L70" si="17">IF(COUNTA(J50), VLOOKUP(J50, $C$3:$G$18, 3, 0), 0)</f>
        <v>CPU</v>
      </c>
      <c r="M50" s="56" t="s">
        <v>541</v>
      </c>
      <c r="N50" s="158">
        <f t="shared" ref="N50:N70" si="18">IF(COUNTA(J50), VLOOKUP(J50, $C$3:$G$18, 4, 0), 0)</f>
        <v>-7.5</v>
      </c>
      <c r="O50" s="158">
        <f t="shared" ref="O50:O70" si="19">IF(COUNTA(J50), VLOOKUP(J50, $C$3:$G$18, 5, 0), 0)</f>
        <v>0</v>
      </c>
      <c r="P50" s="56"/>
      <c r="Q50" s="56"/>
      <c r="S50" s="137" t="s">
        <v>805</v>
      </c>
      <c r="T50" s="157">
        <f>IF(COUNTA(S50), VLOOKUP(S50, $C$3:$G$18, 2, 0), 0)</f>
        <v>37.5</v>
      </c>
      <c r="U50" s="157" t="str">
        <f>IF(COUNTA(S50), VLOOKUP(S50, $C$3:$G$18, 3, 0), 0)</f>
        <v>Bus</v>
      </c>
      <c r="V50" s="56" t="s">
        <v>780</v>
      </c>
      <c r="W50" s="158">
        <f t="shared" ref="W50:W83" si="20">IF(COUNTA(S50), VLOOKUP(S50, $C$3:$G$18, 4, 0), 0)</f>
        <v>-2</v>
      </c>
      <c r="X50" s="158">
        <f t="shared" ref="X50:X83" si="21">IF(COUNTA(S50), VLOOKUP(S50, $C$3:$G$18, 5, 0), 0)</f>
        <v>0</v>
      </c>
      <c r="Y50" s="56"/>
      <c r="Z50" s="56"/>
    </row>
    <row r="51" spans="10:26">
      <c r="J51" s="137"/>
      <c r="K51" s="157">
        <f t="shared" si="16"/>
        <v>0</v>
      </c>
      <c r="L51" s="157">
        <f t="shared" si="17"/>
        <v>0</v>
      </c>
      <c r="M51" s="56"/>
      <c r="N51" s="158">
        <f t="shared" si="18"/>
        <v>0</v>
      </c>
      <c r="O51" s="158">
        <f t="shared" si="19"/>
        <v>0</v>
      </c>
      <c r="P51" s="56"/>
      <c r="Q51" s="56"/>
      <c r="S51" s="137" t="s">
        <v>554</v>
      </c>
      <c r="T51" s="56">
        <f t="shared" ref="T51:T83" si="22">IF(COUNTA(S51), VLOOKUP(S51, $C$3:$E$18, 2, 0), 0)</f>
        <v>12.5</v>
      </c>
      <c r="U51" s="56" t="str">
        <f t="shared" ref="U51:U83" si="23">IF(COUNTA(S51), VLOOKUP(S51, $C$3:$E$18, 3, 0), 0)</f>
        <v>Power</v>
      </c>
      <c r="V51" s="56"/>
      <c r="W51" s="158">
        <f t="shared" si="20"/>
        <v>7</v>
      </c>
      <c r="X51" s="158">
        <f t="shared" si="21"/>
        <v>240</v>
      </c>
      <c r="Y51" s="158">
        <f>SUM(W50:W51)</f>
        <v>5</v>
      </c>
      <c r="Z51" s="158">
        <f>SUM(X50:X51)</f>
        <v>240</v>
      </c>
    </row>
    <row r="52" spans="10:26">
      <c r="J52" s="137" t="s">
        <v>805</v>
      </c>
      <c r="K52" s="157">
        <f t="shared" si="16"/>
        <v>37.5</v>
      </c>
      <c r="L52" s="157" t="str">
        <f t="shared" si="17"/>
        <v>Bus</v>
      </c>
      <c r="M52" s="56" t="s">
        <v>761</v>
      </c>
      <c r="N52" s="158">
        <f t="shared" si="18"/>
        <v>-2</v>
      </c>
      <c r="O52" s="158">
        <f t="shared" si="19"/>
        <v>0</v>
      </c>
      <c r="P52" s="158">
        <f t="shared" ref="P52:P70" si="24">N52+P51</f>
        <v>-2</v>
      </c>
      <c r="Q52" s="158">
        <f t="shared" ref="Q52:Q70" si="25">O52+Q51</f>
        <v>0</v>
      </c>
      <c r="S52" s="137" t="s">
        <v>555</v>
      </c>
      <c r="T52" s="56">
        <f t="shared" si="22"/>
        <v>12.5</v>
      </c>
      <c r="U52" s="56" t="str">
        <f t="shared" si="23"/>
        <v>DI</v>
      </c>
      <c r="V52" s="56" t="s">
        <v>768</v>
      </c>
      <c r="W52" s="158">
        <f t="shared" si="20"/>
        <v>-0.18</v>
      </c>
      <c r="X52" s="158">
        <f t="shared" si="21"/>
        <v>-1.47</v>
      </c>
      <c r="Y52" s="158">
        <f>W52+Y51</f>
        <v>4.82</v>
      </c>
      <c r="Z52" s="158">
        <f>X52+Z51</f>
        <v>238.53</v>
      </c>
    </row>
    <row r="53" spans="10:26">
      <c r="J53" s="137" t="s">
        <v>554</v>
      </c>
      <c r="K53" s="157">
        <f t="shared" si="16"/>
        <v>12.5</v>
      </c>
      <c r="L53" s="157" t="str">
        <f t="shared" si="17"/>
        <v>Power</v>
      </c>
      <c r="M53" s="56"/>
      <c r="N53" s="158">
        <f t="shared" si="18"/>
        <v>7</v>
      </c>
      <c r="O53" s="158">
        <f t="shared" si="19"/>
        <v>240</v>
      </c>
      <c r="P53" s="158">
        <f t="shared" si="24"/>
        <v>5</v>
      </c>
      <c r="Q53" s="158">
        <f t="shared" si="25"/>
        <v>240</v>
      </c>
      <c r="S53" s="137" t="s">
        <v>557</v>
      </c>
      <c r="T53" s="56">
        <f t="shared" si="22"/>
        <v>12.5</v>
      </c>
      <c r="U53" s="56" t="str">
        <f t="shared" si="23"/>
        <v>DO</v>
      </c>
      <c r="V53" s="56" t="s">
        <v>769</v>
      </c>
      <c r="W53" s="158">
        <f t="shared" si="20"/>
        <v>-0.28000000000000003</v>
      </c>
      <c r="X53" s="158">
        <f t="shared" si="21"/>
        <v>-95</v>
      </c>
      <c r="Y53" s="158">
        <f t="shared" ref="Y53:Y83" si="26">W53+Y52</f>
        <v>4.54</v>
      </c>
      <c r="Z53" s="158">
        <f t="shared" ref="Z53:Z83" si="27">X53+Z52</f>
        <v>143.53</v>
      </c>
    </row>
    <row r="54" spans="10:26">
      <c r="J54" s="137" t="s">
        <v>556</v>
      </c>
      <c r="K54" s="157">
        <f t="shared" si="16"/>
        <v>12.5</v>
      </c>
      <c r="L54" s="157" t="str">
        <f t="shared" si="17"/>
        <v>RS485</v>
      </c>
      <c r="M54" s="56" t="s">
        <v>553</v>
      </c>
      <c r="N54" s="158">
        <f t="shared" si="18"/>
        <v>-0.01</v>
      </c>
      <c r="O54" s="158">
        <f t="shared" si="19"/>
        <v>-1.44</v>
      </c>
      <c r="P54" s="158">
        <f t="shared" si="24"/>
        <v>4.99</v>
      </c>
      <c r="Q54" s="158">
        <f t="shared" si="25"/>
        <v>238.56</v>
      </c>
      <c r="S54" s="137" t="s">
        <v>560</v>
      </c>
      <c r="T54" s="56">
        <f t="shared" si="22"/>
        <v>12.5</v>
      </c>
      <c r="U54" s="56" t="str">
        <f t="shared" si="23"/>
        <v>AI</v>
      </c>
      <c r="V54" s="56" t="s">
        <v>770</v>
      </c>
      <c r="W54" s="158">
        <f t="shared" si="20"/>
        <v>-0.01</v>
      </c>
      <c r="X54" s="158">
        <f t="shared" si="21"/>
        <v>-1.37</v>
      </c>
      <c r="Y54" s="158">
        <f t="shared" si="26"/>
        <v>4.53</v>
      </c>
      <c r="Z54" s="158">
        <f t="shared" si="27"/>
        <v>142.16</v>
      </c>
    </row>
    <row r="55" spans="10:26">
      <c r="J55" s="137" t="s">
        <v>555</v>
      </c>
      <c r="K55" s="157">
        <f t="shared" si="16"/>
        <v>12.5</v>
      </c>
      <c r="L55" s="157" t="str">
        <f t="shared" si="17"/>
        <v>DI</v>
      </c>
      <c r="M55" s="56" t="s">
        <v>529</v>
      </c>
      <c r="N55" s="158">
        <f t="shared" si="18"/>
        <v>-0.18</v>
      </c>
      <c r="O55" s="158">
        <f t="shared" si="19"/>
        <v>-1.47</v>
      </c>
      <c r="P55" s="158">
        <f t="shared" si="24"/>
        <v>4.8100000000000005</v>
      </c>
      <c r="Q55" s="158">
        <f t="shared" si="25"/>
        <v>237.09</v>
      </c>
      <c r="S55" s="137" t="s">
        <v>560</v>
      </c>
      <c r="T55" s="56">
        <f t="shared" si="22"/>
        <v>12.5</v>
      </c>
      <c r="U55" s="56" t="str">
        <f t="shared" si="23"/>
        <v>AI</v>
      </c>
      <c r="V55" s="56" t="s">
        <v>771</v>
      </c>
      <c r="W55" s="158">
        <f t="shared" si="20"/>
        <v>-0.01</v>
      </c>
      <c r="X55" s="158">
        <f t="shared" si="21"/>
        <v>-1.37</v>
      </c>
      <c r="Y55" s="158">
        <f t="shared" si="26"/>
        <v>4.5200000000000005</v>
      </c>
      <c r="Z55" s="158">
        <f t="shared" si="27"/>
        <v>140.79</v>
      </c>
    </row>
    <row r="56" spans="10:26">
      <c r="J56" s="137" t="s">
        <v>557</v>
      </c>
      <c r="K56" s="157">
        <f t="shared" si="16"/>
        <v>12.5</v>
      </c>
      <c r="L56" s="157" t="str">
        <f t="shared" si="17"/>
        <v>DO</v>
      </c>
      <c r="M56" s="56" t="s">
        <v>531</v>
      </c>
      <c r="N56" s="158">
        <f t="shared" si="18"/>
        <v>-0.28000000000000003</v>
      </c>
      <c r="O56" s="158">
        <f t="shared" si="19"/>
        <v>-95</v>
      </c>
      <c r="P56" s="158">
        <f t="shared" si="24"/>
        <v>4.53</v>
      </c>
      <c r="Q56" s="158">
        <f t="shared" si="25"/>
        <v>142.09</v>
      </c>
      <c r="S56" s="137" t="s">
        <v>563</v>
      </c>
      <c r="T56" s="56">
        <f t="shared" si="22"/>
        <v>12.5</v>
      </c>
      <c r="U56" s="56" t="str">
        <f t="shared" si="23"/>
        <v>AO</v>
      </c>
      <c r="V56" s="56" t="s">
        <v>773</v>
      </c>
      <c r="W56" s="158">
        <f t="shared" si="20"/>
        <v>-0.01</v>
      </c>
      <c r="X56" s="158">
        <f t="shared" si="21"/>
        <v>-1.8</v>
      </c>
      <c r="Y56" s="158">
        <f t="shared" si="26"/>
        <v>4.5100000000000007</v>
      </c>
      <c r="Z56" s="158">
        <f t="shared" si="27"/>
        <v>138.98999999999998</v>
      </c>
    </row>
    <row r="57" spans="10:26">
      <c r="J57" s="137" t="s">
        <v>555</v>
      </c>
      <c r="K57" s="157">
        <f t="shared" si="16"/>
        <v>12.5</v>
      </c>
      <c r="L57" s="157" t="str">
        <f t="shared" si="17"/>
        <v>DI</v>
      </c>
      <c r="M57" s="56" t="s">
        <v>762</v>
      </c>
      <c r="N57" s="158">
        <f t="shared" si="18"/>
        <v>-0.18</v>
      </c>
      <c r="O57" s="158">
        <f t="shared" si="19"/>
        <v>-1.47</v>
      </c>
      <c r="P57" s="158">
        <f t="shared" si="24"/>
        <v>4.3500000000000005</v>
      </c>
      <c r="Q57" s="158">
        <f t="shared" si="25"/>
        <v>140.62</v>
      </c>
      <c r="S57" s="137" t="s">
        <v>555</v>
      </c>
      <c r="T57" s="56">
        <f t="shared" si="22"/>
        <v>12.5</v>
      </c>
      <c r="U57" s="56" t="str">
        <f t="shared" si="23"/>
        <v>DI</v>
      </c>
      <c r="V57" s="56" t="s">
        <v>774</v>
      </c>
      <c r="W57" s="158">
        <f t="shared" si="20"/>
        <v>-0.18</v>
      </c>
      <c r="X57" s="158">
        <f t="shared" si="21"/>
        <v>-1.47</v>
      </c>
      <c r="Y57" s="158">
        <f t="shared" si="26"/>
        <v>4.330000000000001</v>
      </c>
      <c r="Z57" s="158">
        <f t="shared" si="27"/>
        <v>137.51999999999998</v>
      </c>
    </row>
    <row r="58" spans="10:26">
      <c r="J58" s="137" t="s">
        <v>557</v>
      </c>
      <c r="K58" s="157">
        <f t="shared" si="16"/>
        <v>12.5</v>
      </c>
      <c r="L58" s="157" t="str">
        <f t="shared" si="17"/>
        <v>DO</v>
      </c>
      <c r="M58" s="56" t="s">
        <v>763</v>
      </c>
      <c r="N58" s="158">
        <f t="shared" si="18"/>
        <v>-0.28000000000000003</v>
      </c>
      <c r="O58" s="158">
        <f t="shared" si="19"/>
        <v>-95</v>
      </c>
      <c r="P58" s="158">
        <f t="shared" si="24"/>
        <v>4.07</v>
      </c>
      <c r="Q58" s="158">
        <f t="shared" si="25"/>
        <v>45.620000000000005</v>
      </c>
      <c r="S58" s="137" t="s">
        <v>557</v>
      </c>
      <c r="T58" s="56">
        <f t="shared" si="22"/>
        <v>12.5</v>
      </c>
      <c r="U58" s="56" t="str">
        <f t="shared" si="23"/>
        <v>DO</v>
      </c>
      <c r="V58" s="56" t="s">
        <v>775</v>
      </c>
      <c r="W58" s="158">
        <f t="shared" si="20"/>
        <v>-0.28000000000000003</v>
      </c>
      <c r="X58" s="158">
        <f t="shared" si="21"/>
        <v>-95</v>
      </c>
      <c r="Y58" s="158">
        <f t="shared" si="26"/>
        <v>4.0500000000000007</v>
      </c>
      <c r="Z58" s="158">
        <f t="shared" si="27"/>
        <v>42.519999999999982</v>
      </c>
    </row>
    <row r="59" spans="10:26">
      <c r="J59" s="137" t="s">
        <v>560</v>
      </c>
      <c r="K59" s="157">
        <f t="shared" si="16"/>
        <v>12.5</v>
      </c>
      <c r="L59" s="157" t="str">
        <f t="shared" si="17"/>
        <v>AI</v>
      </c>
      <c r="M59" s="56" t="s">
        <v>764</v>
      </c>
      <c r="N59" s="158">
        <f t="shared" si="18"/>
        <v>-0.01</v>
      </c>
      <c r="O59" s="158">
        <f t="shared" si="19"/>
        <v>-1.37</v>
      </c>
      <c r="P59" s="158">
        <f t="shared" si="24"/>
        <v>4.0600000000000005</v>
      </c>
      <c r="Q59" s="158">
        <f t="shared" si="25"/>
        <v>44.250000000000007</v>
      </c>
      <c r="S59" s="137" t="s">
        <v>560</v>
      </c>
      <c r="T59" s="56">
        <f t="shared" si="22"/>
        <v>12.5</v>
      </c>
      <c r="U59" s="56" t="str">
        <f t="shared" si="23"/>
        <v>AI</v>
      </c>
      <c r="V59" s="56" t="s">
        <v>776</v>
      </c>
      <c r="W59" s="158">
        <f t="shared" si="20"/>
        <v>-0.01</v>
      </c>
      <c r="X59" s="158">
        <f t="shared" si="21"/>
        <v>-1.37</v>
      </c>
      <c r="Y59" s="158">
        <f t="shared" si="26"/>
        <v>4.0400000000000009</v>
      </c>
      <c r="Z59" s="158">
        <f t="shared" si="27"/>
        <v>41.149999999999984</v>
      </c>
    </row>
    <row r="60" spans="10:26">
      <c r="J60" s="137" t="s">
        <v>560</v>
      </c>
      <c r="K60" s="157">
        <f t="shared" si="16"/>
        <v>12.5</v>
      </c>
      <c r="L60" s="157" t="str">
        <f t="shared" si="17"/>
        <v>AI</v>
      </c>
      <c r="M60" s="56" t="s">
        <v>765</v>
      </c>
      <c r="N60" s="158">
        <f t="shared" si="18"/>
        <v>-0.01</v>
      </c>
      <c r="O60" s="158">
        <f t="shared" si="19"/>
        <v>-1.37</v>
      </c>
      <c r="P60" s="158">
        <f t="shared" si="24"/>
        <v>4.0500000000000007</v>
      </c>
      <c r="Q60" s="158">
        <f t="shared" si="25"/>
        <v>42.88000000000001</v>
      </c>
      <c r="S60" s="137" t="s">
        <v>560</v>
      </c>
      <c r="T60" s="56">
        <f t="shared" si="22"/>
        <v>12.5</v>
      </c>
      <c r="U60" s="56" t="str">
        <f t="shared" si="23"/>
        <v>AI</v>
      </c>
      <c r="V60" s="56" t="s">
        <v>777</v>
      </c>
      <c r="W60" s="158">
        <f t="shared" si="20"/>
        <v>-0.01</v>
      </c>
      <c r="X60" s="158">
        <f t="shared" si="21"/>
        <v>-1.37</v>
      </c>
      <c r="Y60" s="158">
        <f t="shared" si="26"/>
        <v>4.0300000000000011</v>
      </c>
      <c r="Z60" s="158">
        <f t="shared" si="27"/>
        <v>39.779999999999987</v>
      </c>
    </row>
    <row r="61" spans="10:26">
      <c r="J61" s="137" t="s">
        <v>563</v>
      </c>
      <c r="K61" s="157">
        <f t="shared" si="16"/>
        <v>12.5</v>
      </c>
      <c r="L61" s="157" t="str">
        <f t="shared" si="17"/>
        <v>AO</v>
      </c>
      <c r="M61" s="56" t="s">
        <v>767</v>
      </c>
      <c r="N61" s="158">
        <f t="shared" si="18"/>
        <v>-0.01</v>
      </c>
      <c r="O61" s="158">
        <f t="shared" si="19"/>
        <v>-1.8</v>
      </c>
      <c r="P61" s="158">
        <f t="shared" si="24"/>
        <v>4.0400000000000009</v>
      </c>
      <c r="Q61" s="158">
        <f t="shared" si="25"/>
        <v>41.080000000000013</v>
      </c>
      <c r="S61" s="137" t="s">
        <v>563</v>
      </c>
      <c r="T61" s="56">
        <f t="shared" si="22"/>
        <v>12.5</v>
      </c>
      <c r="U61" s="56" t="str">
        <f t="shared" si="23"/>
        <v>AO</v>
      </c>
      <c r="V61" s="56" t="s">
        <v>779</v>
      </c>
      <c r="W61" s="158">
        <f t="shared" si="20"/>
        <v>-0.01</v>
      </c>
      <c r="X61" s="158">
        <f t="shared" si="21"/>
        <v>-1.8</v>
      </c>
      <c r="Y61" s="158">
        <f t="shared" si="26"/>
        <v>4.0200000000000014</v>
      </c>
      <c r="Z61" s="158">
        <f t="shared" si="27"/>
        <v>37.97999999999999</v>
      </c>
    </row>
    <row r="62" spans="10:26">
      <c r="J62" s="137"/>
      <c r="K62" s="157">
        <f t="shared" si="16"/>
        <v>0</v>
      </c>
      <c r="L62" s="157">
        <f t="shared" si="17"/>
        <v>0</v>
      </c>
      <c r="M62" s="56"/>
      <c r="N62" s="158">
        <f t="shared" si="18"/>
        <v>0</v>
      </c>
      <c r="O62" s="158">
        <f t="shared" si="19"/>
        <v>0</v>
      </c>
      <c r="P62" s="158">
        <f t="shared" si="24"/>
        <v>4.0400000000000009</v>
      </c>
      <c r="Q62" s="158">
        <f t="shared" si="25"/>
        <v>41.080000000000013</v>
      </c>
      <c r="S62" s="137" t="s">
        <v>554</v>
      </c>
      <c r="T62" s="56">
        <f t="shared" si="22"/>
        <v>12.5</v>
      </c>
      <c r="U62" s="56" t="str">
        <f t="shared" si="23"/>
        <v>Power</v>
      </c>
      <c r="V62" s="56"/>
      <c r="W62" s="158">
        <f t="shared" si="20"/>
        <v>7</v>
      </c>
      <c r="X62" s="158">
        <f t="shared" si="21"/>
        <v>240</v>
      </c>
      <c r="Y62" s="158">
        <f t="shared" si="26"/>
        <v>11.020000000000001</v>
      </c>
      <c r="Z62" s="158">
        <f t="shared" si="27"/>
        <v>277.98</v>
      </c>
    </row>
    <row r="63" spans="10:26">
      <c r="J63" s="137" t="s">
        <v>759</v>
      </c>
      <c r="K63" s="157" t="e">
        <f t="shared" si="16"/>
        <v>#N/A</v>
      </c>
      <c r="L63" s="157" t="e">
        <f t="shared" si="17"/>
        <v>#N/A</v>
      </c>
      <c r="M63" s="56"/>
      <c r="N63" s="158" t="e">
        <f t="shared" si="18"/>
        <v>#N/A</v>
      </c>
      <c r="O63" s="158" t="e">
        <f t="shared" si="19"/>
        <v>#N/A</v>
      </c>
      <c r="P63" s="158" t="e">
        <f t="shared" si="24"/>
        <v>#N/A</v>
      </c>
      <c r="Q63" s="158" t="e">
        <f t="shared" si="25"/>
        <v>#N/A</v>
      </c>
      <c r="S63" s="137" t="s">
        <v>555</v>
      </c>
      <c r="T63" s="56">
        <f t="shared" si="22"/>
        <v>12.5</v>
      </c>
      <c r="U63" s="56" t="str">
        <f t="shared" si="23"/>
        <v>DI</v>
      </c>
      <c r="V63" s="56" t="s">
        <v>781</v>
      </c>
      <c r="W63" s="158">
        <f t="shared" si="20"/>
        <v>-0.18</v>
      </c>
      <c r="X63" s="158">
        <f t="shared" si="21"/>
        <v>-1.47</v>
      </c>
      <c r="Y63" s="158">
        <f t="shared" si="26"/>
        <v>10.840000000000002</v>
      </c>
      <c r="Z63" s="158">
        <f t="shared" si="27"/>
        <v>276.51</v>
      </c>
    </row>
    <row r="64" spans="10:26">
      <c r="J64" s="137"/>
      <c r="K64" s="157">
        <f t="shared" si="16"/>
        <v>0</v>
      </c>
      <c r="L64" s="157">
        <f t="shared" si="17"/>
        <v>0</v>
      </c>
      <c r="M64" s="56"/>
      <c r="N64" s="158">
        <f t="shared" si="18"/>
        <v>0</v>
      </c>
      <c r="O64" s="158">
        <f t="shared" si="19"/>
        <v>0</v>
      </c>
      <c r="P64" s="158" t="e">
        <f t="shared" si="24"/>
        <v>#N/A</v>
      </c>
      <c r="Q64" s="158" t="e">
        <f t="shared" si="25"/>
        <v>#N/A</v>
      </c>
      <c r="S64" s="137" t="s">
        <v>557</v>
      </c>
      <c r="T64" s="56">
        <f t="shared" si="22"/>
        <v>12.5</v>
      </c>
      <c r="U64" s="56" t="str">
        <f t="shared" si="23"/>
        <v>DO</v>
      </c>
      <c r="V64" s="56" t="s">
        <v>782</v>
      </c>
      <c r="W64" s="158">
        <f t="shared" si="20"/>
        <v>-0.28000000000000003</v>
      </c>
      <c r="X64" s="158">
        <f t="shared" si="21"/>
        <v>-95</v>
      </c>
      <c r="Y64" s="158">
        <f t="shared" si="26"/>
        <v>10.560000000000002</v>
      </c>
      <c r="Z64" s="158">
        <f t="shared" si="27"/>
        <v>181.51</v>
      </c>
    </row>
    <row r="65" spans="10:26">
      <c r="J65" s="137"/>
      <c r="K65" s="157">
        <f t="shared" si="16"/>
        <v>0</v>
      </c>
      <c r="L65" s="157">
        <f t="shared" si="17"/>
        <v>0</v>
      </c>
      <c r="M65" s="56"/>
      <c r="N65" s="158">
        <f t="shared" si="18"/>
        <v>0</v>
      </c>
      <c r="O65" s="158">
        <f t="shared" si="19"/>
        <v>0</v>
      </c>
      <c r="P65" s="158" t="e">
        <f t="shared" si="24"/>
        <v>#N/A</v>
      </c>
      <c r="Q65" s="158" t="e">
        <f t="shared" si="25"/>
        <v>#N/A</v>
      </c>
      <c r="S65" s="137" t="s">
        <v>560</v>
      </c>
      <c r="T65" s="56">
        <f t="shared" si="22"/>
        <v>12.5</v>
      </c>
      <c r="U65" s="56" t="str">
        <f t="shared" si="23"/>
        <v>AI</v>
      </c>
      <c r="V65" s="56" t="s">
        <v>783</v>
      </c>
      <c r="W65" s="158">
        <f t="shared" si="20"/>
        <v>-0.01</v>
      </c>
      <c r="X65" s="158">
        <f t="shared" si="21"/>
        <v>-1.37</v>
      </c>
      <c r="Y65" s="158">
        <f t="shared" si="26"/>
        <v>10.550000000000002</v>
      </c>
      <c r="Z65" s="158">
        <f t="shared" si="27"/>
        <v>180.14</v>
      </c>
    </row>
    <row r="66" spans="10:26">
      <c r="J66" s="137"/>
      <c r="K66" s="157">
        <f t="shared" si="16"/>
        <v>0</v>
      </c>
      <c r="L66" s="157">
        <f t="shared" si="17"/>
        <v>0</v>
      </c>
      <c r="M66" s="56"/>
      <c r="N66" s="158">
        <f t="shared" si="18"/>
        <v>0</v>
      </c>
      <c r="O66" s="158">
        <f t="shared" si="19"/>
        <v>0</v>
      </c>
      <c r="P66" s="158" t="e">
        <f t="shared" si="24"/>
        <v>#N/A</v>
      </c>
      <c r="Q66" s="158" t="e">
        <f t="shared" si="25"/>
        <v>#N/A</v>
      </c>
      <c r="R66" s="30"/>
      <c r="S66" s="137" t="s">
        <v>560</v>
      </c>
      <c r="T66" s="56">
        <f t="shared" si="22"/>
        <v>12.5</v>
      </c>
      <c r="U66" s="56" t="str">
        <f t="shared" si="23"/>
        <v>AI</v>
      </c>
      <c r="V66" s="56" t="s">
        <v>784</v>
      </c>
      <c r="W66" s="158">
        <f t="shared" si="20"/>
        <v>-0.01</v>
      </c>
      <c r="X66" s="158">
        <f t="shared" si="21"/>
        <v>-1.37</v>
      </c>
      <c r="Y66" s="158">
        <f t="shared" si="26"/>
        <v>10.540000000000003</v>
      </c>
      <c r="Z66" s="158">
        <f t="shared" si="27"/>
        <v>178.76999999999998</v>
      </c>
    </row>
    <row r="67" spans="10:26">
      <c r="J67" s="137"/>
      <c r="K67" s="157">
        <f t="shared" si="16"/>
        <v>0</v>
      </c>
      <c r="L67" s="157">
        <f t="shared" si="17"/>
        <v>0</v>
      </c>
      <c r="M67" s="56"/>
      <c r="N67" s="158">
        <f t="shared" si="18"/>
        <v>0</v>
      </c>
      <c r="O67" s="158">
        <f t="shared" si="19"/>
        <v>0</v>
      </c>
      <c r="P67" s="158" t="e">
        <f t="shared" si="24"/>
        <v>#N/A</v>
      </c>
      <c r="Q67" s="158" t="e">
        <f t="shared" si="25"/>
        <v>#N/A</v>
      </c>
      <c r="S67" s="137" t="s">
        <v>563</v>
      </c>
      <c r="T67" s="56">
        <f t="shared" si="22"/>
        <v>12.5</v>
      </c>
      <c r="U67" s="56" t="str">
        <f t="shared" si="23"/>
        <v>AO</v>
      </c>
      <c r="V67" s="56" t="s">
        <v>786</v>
      </c>
      <c r="W67" s="158">
        <f t="shared" si="20"/>
        <v>-0.01</v>
      </c>
      <c r="X67" s="158">
        <f t="shared" si="21"/>
        <v>-1.8</v>
      </c>
      <c r="Y67" s="158">
        <f t="shared" si="26"/>
        <v>10.530000000000003</v>
      </c>
      <c r="Z67" s="158">
        <f t="shared" si="27"/>
        <v>176.96999999999997</v>
      </c>
    </row>
    <row r="68" spans="10:26">
      <c r="J68" s="137"/>
      <c r="K68" s="157">
        <f t="shared" si="16"/>
        <v>0</v>
      </c>
      <c r="L68" s="157">
        <f t="shared" si="17"/>
        <v>0</v>
      </c>
      <c r="M68" s="56"/>
      <c r="N68" s="158">
        <f t="shared" si="18"/>
        <v>0</v>
      </c>
      <c r="O68" s="158">
        <f t="shared" si="19"/>
        <v>0</v>
      </c>
      <c r="P68" s="158" t="e">
        <f t="shared" si="24"/>
        <v>#N/A</v>
      </c>
      <c r="Q68" s="158" t="e">
        <f t="shared" si="25"/>
        <v>#N/A</v>
      </c>
      <c r="S68" s="137" t="s">
        <v>555</v>
      </c>
      <c r="T68" s="56">
        <f t="shared" si="22"/>
        <v>12.5</v>
      </c>
      <c r="U68" s="56" t="str">
        <f t="shared" si="23"/>
        <v>DI</v>
      </c>
      <c r="V68" s="56" t="s">
        <v>787</v>
      </c>
      <c r="W68" s="158">
        <f t="shared" si="20"/>
        <v>-0.18</v>
      </c>
      <c r="X68" s="158">
        <f t="shared" si="21"/>
        <v>-1.47</v>
      </c>
      <c r="Y68" s="158">
        <f t="shared" si="26"/>
        <v>10.350000000000003</v>
      </c>
      <c r="Z68" s="158">
        <f t="shared" si="27"/>
        <v>175.49999999999997</v>
      </c>
    </row>
    <row r="69" spans="10:26">
      <c r="J69" s="137"/>
      <c r="K69" s="157">
        <f t="shared" si="16"/>
        <v>0</v>
      </c>
      <c r="L69" s="157">
        <f t="shared" si="17"/>
        <v>0</v>
      </c>
      <c r="M69" s="56"/>
      <c r="N69" s="158">
        <f t="shared" si="18"/>
        <v>0</v>
      </c>
      <c r="O69" s="158">
        <f t="shared" si="19"/>
        <v>0</v>
      </c>
      <c r="P69" s="158" t="e">
        <f t="shared" si="24"/>
        <v>#N/A</v>
      </c>
      <c r="Q69" s="158" t="e">
        <f t="shared" si="25"/>
        <v>#N/A</v>
      </c>
      <c r="S69" s="137" t="s">
        <v>557</v>
      </c>
      <c r="T69" s="56">
        <f t="shared" si="22"/>
        <v>12.5</v>
      </c>
      <c r="U69" s="56" t="str">
        <f t="shared" si="23"/>
        <v>DO</v>
      </c>
      <c r="V69" s="56" t="s">
        <v>788</v>
      </c>
      <c r="W69" s="158">
        <f t="shared" si="20"/>
        <v>-0.28000000000000003</v>
      </c>
      <c r="X69" s="158">
        <f t="shared" si="21"/>
        <v>-95</v>
      </c>
      <c r="Y69" s="158">
        <f t="shared" si="26"/>
        <v>10.070000000000004</v>
      </c>
      <c r="Z69" s="158">
        <f t="shared" si="27"/>
        <v>80.499999999999972</v>
      </c>
    </row>
    <row r="70" spans="10:26">
      <c r="J70" s="137"/>
      <c r="K70" s="157">
        <f t="shared" si="16"/>
        <v>0</v>
      </c>
      <c r="L70" s="157">
        <f t="shared" si="17"/>
        <v>0</v>
      </c>
      <c r="M70" s="56"/>
      <c r="N70" s="158">
        <f t="shared" si="18"/>
        <v>0</v>
      </c>
      <c r="O70" s="158">
        <f t="shared" si="19"/>
        <v>0</v>
      </c>
      <c r="P70" s="158" t="e">
        <f t="shared" si="24"/>
        <v>#N/A</v>
      </c>
      <c r="Q70" s="158" t="e">
        <f t="shared" si="25"/>
        <v>#N/A</v>
      </c>
      <c r="S70" s="137" t="s">
        <v>560</v>
      </c>
      <c r="T70" s="56">
        <f t="shared" si="22"/>
        <v>12.5</v>
      </c>
      <c r="U70" s="56" t="str">
        <f t="shared" si="23"/>
        <v>AI</v>
      </c>
      <c r="V70" s="56" t="s">
        <v>789</v>
      </c>
      <c r="W70" s="158">
        <f t="shared" si="20"/>
        <v>-0.01</v>
      </c>
      <c r="X70" s="158">
        <f t="shared" si="21"/>
        <v>-1.37</v>
      </c>
      <c r="Y70" s="158">
        <f t="shared" si="26"/>
        <v>10.060000000000004</v>
      </c>
      <c r="Z70" s="158">
        <f t="shared" si="27"/>
        <v>79.129999999999967</v>
      </c>
    </row>
    <row r="71" spans="10:26">
      <c r="S71" s="137" t="s">
        <v>560</v>
      </c>
      <c r="T71" s="56">
        <f t="shared" si="22"/>
        <v>12.5</v>
      </c>
      <c r="U71" s="56" t="str">
        <f t="shared" si="23"/>
        <v>AI</v>
      </c>
      <c r="V71" s="56" t="s">
        <v>790</v>
      </c>
      <c r="W71" s="158">
        <f t="shared" si="20"/>
        <v>-0.01</v>
      </c>
      <c r="X71" s="158">
        <f t="shared" si="21"/>
        <v>-1.37</v>
      </c>
      <c r="Y71" s="158">
        <f t="shared" si="26"/>
        <v>10.050000000000004</v>
      </c>
      <c r="Z71" s="158">
        <f t="shared" si="27"/>
        <v>77.759999999999962</v>
      </c>
    </row>
    <row r="72" spans="10:26">
      <c r="S72" s="137" t="s">
        <v>563</v>
      </c>
      <c r="T72" s="56">
        <f t="shared" si="22"/>
        <v>12.5</v>
      </c>
      <c r="U72" s="56" t="str">
        <f t="shared" si="23"/>
        <v>AO</v>
      </c>
      <c r="V72" s="56" t="s">
        <v>792</v>
      </c>
      <c r="W72" s="158">
        <f t="shared" si="20"/>
        <v>-0.01</v>
      </c>
      <c r="X72" s="158">
        <f t="shared" si="21"/>
        <v>-1.8</v>
      </c>
      <c r="Y72" s="158">
        <f t="shared" si="26"/>
        <v>10.040000000000004</v>
      </c>
      <c r="Z72" s="158">
        <f t="shared" si="27"/>
        <v>75.959999999999965</v>
      </c>
    </row>
    <row r="73" spans="10:26">
      <c r="M73" s="30"/>
      <c r="N73" s="30"/>
      <c r="O73" s="30"/>
      <c r="P73" s="30"/>
      <c r="Q73" s="30"/>
      <c r="S73" s="137" t="s">
        <v>554</v>
      </c>
      <c r="T73" s="56">
        <f t="shared" si="22"/>
        <v>12.5</v>
      </c>
      <c r="U73" s="56" t="str">
        <f t="shared" si="23"/>
        <v>Power</v>
      </c>
      <c r="V73" s="56"/>
      <c r="W73" s="158">
        <f t="shared" si="20"/>
        <v>7</v>
      </c>
      <c r="X73" s="158">
        <f t="shared" si="21"/>
        <v>240</v>
      </c>
      <c r="Y73" s="158">
        <f t="shared" si="26"/>
        <v>17.040000000000006</v>
      </c>
      <c r="Z73" s="158">
        <f t="shared" si="27"/>
        <v>315.95999999999998</v>
      </c>
    </row>
    <row r="74" spans="10:26">
      <c r="S74" s="137" t="s">
        <v>555</v>
      </c>
      <c r="T74" s="56">
        <f t="shared" si="22"/>
        <v>12.5</v>
      </c>
      <c r="U74" s="56" t="str">
        <f t="shared" si="23"/>
        <v>DI</v>
      </c>
      <c r="V74" s="56" t="s">
        <v>793</v>
      </c>
      <c r="W74" s="158">
        <f t="shared" si="20"/>
        <v>-0.18</v>
      </c>
      <c r="X74" s="158">
        <f t="shared" si="21"/>
        <v>-1.47</v>
      </c>
      <c r="Y74" s="158">
        <f t="shared" si="26"/>
        <v>16.860000000000007</v>
      </c>
      <c r="Z74" s="158">
        <f t="shared" si="27"/>
        <v>314.48999999999995</v>
      </c>
    </row>
    <row r="75" spans="10:26">
      <c r="S75" s="137" t="s">
        <v>557</v>
      </c>
      <c r="T75" s="56">
        <f t="shared" si="22"/>
        <v>12.5</v>
      </c>
      <c r="U75" s="56" t="str">
        <f t="shared" si="23"/>
        <v>DO</v>
      </c>
      <c r="V75" s="56" t="s">
        <v>794</v>
      </c>
      <c r="W75" s="158">
        <f t="shared" si="20"/>
        <v>-0.28000000000000003</v>
      </c>
      <c r="X75" s="158">
        <f t="shared" si="21"/>
        <v>-95</v>
      </c>
      <c r="Y75" s="158">
        <f t="shared" si="26"/>
        <v>16.580000000000005</v>
      </c>
      <c r="Z75" s="158">
        <f t="shared" si="27"/>
        <v>219.48999999999995</v>
      </c>
    </row>
    <row r="76" spans="10:26">
      <c r="S76" s="137" t="s">
        <v>560</v>
      </c>
      <c r="T76" s="56">
        <f t="shared" si="22"/>
        <v>12.5</v>
      </c>
      <c r="U76" s="56" t="str">
        <f t="shared" si="23"/>
        <v>AI</v>
      </c>
      <c r="V76" s="56" t="s">
        <v>795</v>
      </c>
      <c r="W76" s="158">
        <f t="shared" si="20"/>
        <v>-0.01</v>
      </c>
      <c r="X76" s="158">
        <f t="shared" si="21"/>
        <v>-1.37</v>
      </c>
      <c r="Y76" s="158">
        <f t="shared" si="26"/>
        <v>16.570000000000004</v>
      </c>
      <c r="Z76" s="158">
        <f t="shared" si="27"/>
        <v>218.11999999999995</v>
      </c>
    </row>
    <row r="77" spans="10:26">
      <c r="S77" s="137" t="s">
        <v>560</v>
      </c>
      <c r="T77" s="56">
        <f t="shared" si="22"/>
        <v>12.5</v>
      </c>
      <c r="U77" s="56" t="str">
        <f t="shared" si="23"/>
        <v>AI</v>
      </c>
      <c r="V77" s="56" t="s">
        <v>796</v>
      </c>
      <c r="W77" s="158">
        <f t="shared" si="20"/>
        <v>-0.01</v>
      </c>
      <c r="X77" s="158">
        <f t="shared" si="21"/>
        <v>-1.37</v>
      </c>
      <c r="Y77" s="158">
        <f t="shared" si="26"/>
        <v>16.560000000000002</v>
      </c>
      <c r="Z77" s="158">
        <f t="shared" si="27"/>
        <v>216.74999999999994</v>
      </c>
    </row>
    <row r="78" spans="10:26">
      <c r="S78" s="137" t="s">
        <v>563</v>
      </c>
      <c r="T78" s="56">
        <f t="shared" si="22"/>
        <v>12.5</v>
      </c>
      <c r="U78" s="56" t="str">
        <f t="shared" si="23"/>
        <v>AO</v>
      </c>
      <c r="V78" s="56" t="s">
        <v>798</v>
      </c>
      <c r="W78" s="158">
        <f t="shared" si="20"/>
        <v>-0.01</v>
      </c>
      <c r="X78" s="158">
        <f t="shared" si="21"/>
        <v>-1.8</v>
      </c>
      <c r="Y78" s="158">
        <f t="shared" si="26"/>
        <v>16.55</v>
      </c>
      <c r="Z78" s="158">
        <f t="shared" si="27"/>
        <v>214.94999999999993</v>
      </c>
    </row>
    <row r="79" spans="10:26">
      <c r="S79" s="137"/>
      <c r="T79" s="56">
        <f t="shared" si="22"/>
        <v>0</v>
      </c>
      <c r="U79" s="56">
        <f t="shared" si="23"/>
        <v>0</v>
      </c>
      <c r="V79" s="56"/>
      <c r="W79" s="158">
        <f t="shared" si="20"/>
        <v>0</v>
      </c>
      <c r="X79" s="158">
        <f t="shared" si="21"/>
        <v>0</v>
      </c>
      <c r="Y79" s="158">
        <f t="shared" si="26"/>
        <v>16.55</v>
      </c>
      <c r="Z79" s="158">
        <f t="shared" si="27"/>
        <v>214.94999999999993</v>
      </c>
    </row>
    <row r="80" spans="10:26">
      <c r="S80" s="137"/>
      <c r="T80" s="56">
        <f t="shared" si="22"/>
        <v>0</v>
      </c>
      <c r="U80" s="56">
        <f t="shared" si="23"/>
        <v>0</v>
      </c>
      <c r="V80" s="56"/>
      <c r="W80" s="158">
        <f t="shared" si="20"/>
        <v>0</v>
      </c>
      <c r="X80" s="158">
        <f t="shared" si="21"/>
        <v>0</v>
      </c>
      <c r="Y80" s="158">
        <f t="shared" si="26"/>
        <v>16.55</v>
      </c>
      <c r="Z80" s="158">
        <f t="shared" si="27"/>
        <v>214.94999999999993</v>
      </c>
    </row>
    <row r="81" spans="19:26">
      <c r="S81" s="137"/>
      <c r="T81" s="56">
        <f t="shared" si="22"/>
        <v>0</v>
      </c>
      <c r="U81" s="56">
        <f t="shared" si="23"/>
        <v>0</v>
      </c>
      <c r="V81" s="56"/>
      <c r="W81" s="158">
        <f t="shared" si="20"/>
        <v>0</v>
      </c>
      <c r="X81" s="158">
        <f t="shared" si="21"/>
        <v>0</v>
      </c>
      <c r="Y81" s="158">
        <f t="shared" si="26"/>
        <v>16.55</v>
      </c>
      <c r="Z81" s="158">
        <f t="shared" si="27"/>
        <v>214.94999999999993</v>
      </c>
    </row>
    <row r="82" spans="19:26">
      <c r="S82" s="137"/>
      <c r="T82" s="56">
        <f t="shared" si="22"/>
        <v>0</v>
      </c>
      <c r="U82" s="56">
        <f t="shared" si="23"/>
        <v>0</v>
      </c>
      <c r="V82" s="56"/>
      <c r="W82" s="158">
        <f t="shared" si="20"/>
        <v>0</v>
      </c>
      <c r="X82" s="158">
        <f t="shared" si="21"/>
        <v>0</v>
      </c>
      <c r="Y82" s="158">
        <f t="shared" si="26"/>
        <v>16.55</v>
      </c>
      <c r="Z82" s="158">
        <f t="shared" si="27"/>
        <v>214.94999999999993</v>
      </c>
    </row>
    <row r="83" spans="19:26">
      <c r="S83" s="137"/>
      <c r="T83" s="56">
        <f t="shared" si="22"/>
        <v>0</v>
      </c>
      <c r="U83" s="56">
        <f t="shared" si="23"/>
        <v>0</v>
      </c>
      <c r="V83" s="56"/>
      <c r="W83" s="158">
        <f t="shared" si="20"/>
        <v>0</v>
      </c>
      <c r="X83" s="158">
        <f t="shared" si="21"/>
        <v>0</v>
      </c>
      <c r="Y83" s="158">
        <f t="shared" si="26"/>
        <v>16.55</v>
      </c>
      <c r="Z83" s="158">
        <f t="shared" si="27"/>
        <v>214.94999999999993</v>
      </c>
    </row>
  </sheetData>
  <mergeCells count="30">
    <mergeCell ref="W48:X48"/>
    <mergeCell ref="Y48:Z48"/>
    <mergeCell ref="P48:Q48"/>
    <mergeCell ref="S48:S49"/>
    <mergeCell ref="T48:T49"/>
    <mergeCell ref="U48:U49"/>
    <mergeCell ref="V48:V49"/>
    <mergeCell ref="J48:J49"/>
    <mergeCell ref="K48:K49"/>
    <mergeCell ref="L48:L49"/>
    <mergeCell ref="M48:M49"/>
    <mergeCell ref="N48:O48"/>
    <mergeCell ref="H1:H2"/>
    <mergeCell ref="B1:B2"/>
    <mergeCell ref="C1:C2"/>
    <mergeCell ref="D1:D2"/>
    <mergeCell ref="E1:E2"/>
    <mergeCell ref="F1:G1"/>
    <mergeCell ref="Y8:Z8"/>
    <mergeCell ref="J8:J9"/>
    <mergeCell ref="K8:K9"/>
    <mergeCell ref="L8:L9"/>
    <mergeCell ref="M8:M9"/>
    <mergeCell ref="N8:O8"/>
    <mergeCell ref="P8:Q8"/>
    <mergeCell ref="S8:S9"/>
    <mergeCell ref="T8:T9"/>
    <mergeCell ref="U8:U9"/>
    <mergeCell ref="V8:V9"/>
    <mergeCell ref="W8:X8"/>
  </mergeCells>
  <phoneticPr fontId="1" type="noConversion"/>
  <conditionalFormatting sqref="L7">
    <cfRule type="cellIs" dxfId="20" priority="30" operator="greaterThanOrEqual">
      <formula>500</formula>
    </cfRule>
  </conditionalFormatting>
  <conditionalFormatting sqref="U7">
    <cfRule type="cellIs" dxfId="19" priority="29" operator="greaterThanOrEqual">
      <formula>500</formula>
    </cfRule>
  </conditionalFormatting>
  <conditionalFormatting sqref="L31">
    <cfRule type="cellIs" dxfId="18" priority="28" operator="greaterThanOrEqual">
      <formula>500</formula>
    </cfRule>
  </conditionalFormatting>
  <conditionalFormatting sqref="L32">
    <cfRule type="cellIs" dxfId="17" priority="26" operator="greaterThanOrEqual">
      <formula>500</formula>
    </cfRule>
  </conditionalFormatting>
  <conditionalFormatting sqref="L32">
    <cfRule type="cellIs" dxfId="16" priority="16" operator="greaterThanOrEqual">
      <formula>500</formula>
    </cfRule>
  </conditionalFormatting>
  <conditionalFormatting sqref="L33">
    <cfRule type="cellIs" dxfId="15" priority="14" operator="greaterThanOrEqual">
      <formula>500</formula>
    </cfRule>
  </conditionalFormatting>
  <conditionalFormatting sqref="L47">
    <cfRule type="cellIs" dxfId="14" priority="6" operator="greaterThanOrEqual">
      <formula>500</formula>
    </cfRule>
  </conditionalFormatting>
  <conditionalFormatting sqref="U47">
    <cfRule type="cellIs" dxfId="13" priority="5" operator="greaterThanOrEqual">
      <formula>500</formula>
    </cfRule>
  </conditionalFormatting>
  <conditionalFormatting sqref="L71">
    <cfRule type="cellIs" dxfId="12" priority="4" operator="greaterThanOrEqual">
      <formula>500</formula>
    </cfRule>
  </conditionalFormatting>
  <conditionalFormatting sqref="L72">
    <cfRule type="cellIs" dxfId="11" priority="3" operator="greaterThanOrEqual">
      <formula>500</formula>
    </cfRule>
  </conditionalFormatting>
  <conditionalFormatting sqref="L72">
    <cfRule type="cellIs" dxfId="10" priority="2" operator="greaterThanOrEqual">
      <formula>500</formula>
    </cfRule>
  </conditionalFormatting>
  <conditionalFormatting sqref="L73">
    <cfRule type="cellIs" dxfId="9" priority="1" operator="greaterThanOrEqual">
      <formula>500</formula>
    </cfRule>
  </conditionalFormatting>
  <dataValidations count="1">
    <dataValidation type="list" allowBlank="1" showInputMessage="1" showErrorMessage="1" sqref="S50:S83 J50:J70 S10:S43 J10:J30" xr:uid="{00000000-0002-0000-0200-000000000000}">
      <formula1>$C$3:$C$11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Y59"/>
  <sheetViews>
    <sheetView view="pageBreakPreview" zoomScale="70" zoomScaleNormal="70" zoomScaleSheetLayoutView="70" workbookViewId="0">
      <pane xSplit="5" ySplit="4" topLeftCell="F5" activePane="bottomRight" state="frozen"/>
      <selection sqref="A1:A2"/>
      <selection pane="topRight" sqref="A1:A2"/>
      <selection pane="bottomLeft" sqref="A1:A2"/>
      <selection pane="bottomRight" activeCell="A18" sqref="A18:XFD19"/>
    </sheetView>
  </sheetViews>
  <sheetFormatPr defaultColWidth="9" defaultRowHeight="15"/>
  <cols>
    <col min="1" max="4" width="11.59765625" style="2" customWidth="1"/>
    <col min="5" max="5" width="23.59765625" style="5" bestFit="1" customWidth="1"/>
    <col min="6" max="6" width="10.09765625" style="2" customWidth="1"/>
    <col min="7" max="8" width="10.09765625" style="4" customWidth="1"/>
    <col min="9" max="9" width="12.796875" style="4" bestFit="1" customWidth="1"/>
    <col min="10" max="10" width="36.09765625" style="2" customWidth="1"/>
    <col min="11" max="11" width="72.19921875" style="3" customWidth="1"/>
    <col min="12" max="13" width="6.59765625" style="22" customWidth="1"/>
    <col min="14" max="14" width="9.59765625" style="22" customWidth="1"/>
    <col min="15" max="22" width="11.59765625" style="22" customWidth="1"/>
    <col min="23" max="23" width="121.59765625" style="6" customWidth="1"/>
    <col min="24" max="24" width="30.69921875" style="2" customWidth="1"/>
    <col min="25" max="25" width="10" style="2" bestFit="1" customWidth="1"/>
    <col min="26" max="16384" width="9" style="2"/>
  </cols>
  <sheetData>
    <row r="1" spans="1:25" ht="17.399999999999999">
      <c r="A1" s="242" t="s">
        <v>930</v>
      </c>
      <c r="B1" s="242" t="s">
        <v>932</v>
      </c>
      <c r="C1" s="242" t="s">
        <v>933</v>
      </c>
      <c r="D1" s="242" t="s">
        <v>934</v>
      </c>
      <c r="E1" s="242" t="s">
        <v>935</v>
      </c>
      <c r="F1" s="242" t="s">
        <v>936</v>
      </c>
      <c r="G1" s="242" t="s">
        <v>937</v>
      </c>
      <c r="H1" s="242" t="s">
        <v>938</v>
      </c>
      <c r="I1" s="242" t="s">
        <v>939</v>
      </c>
      <c r="J1" s="2" t="s">
        <v>929</v>
      </c>
      <c r="K1" s="242" t="s">
        <v>940</v>
      </c>
      <c r="L1" s="242" t="s">
        <v>941</v>
      </c>
      <c r="M1" s="242" t="s">
        <v>942</v>
      </c>
      <c r="N1" s="242" t="s">
        <v>943</v>
      </c>
      <c r="O1" s="242" t="s">
        <v>1072</v>
      </c>
      <c r="P1" s="242" t="s">
        <v>1073</v>
      </c>
      <c r="Q1" s="242" t="s">
        <v>1074</v>
      </c>
      <c r="R1" s="242" t="s">
        <v>1075</v>
      </c>
      <c r="S1" s="242" t="s">
        <v>1076</v>
      </c>
      <c r="T1" s="242" t="s">
        <v>1077</v>
      </c>
      <c r="U1" s="242" t="s">
        <v>1078</v>
      </c>
      <c r="V1" s="242" t="s">
        <v>1079</v>
      </c>
      <c r="W1" s="242" t="s">
        <v>944</v>
      </c>
      <c r="X1" s="242" t="s">
        <v>945</v>
      </c>
      <c r="Y1" s="2" t="s">
        <v>949</v>
      </c>
    </row>
    <row r="2" spans="1:25" ht="18" thickBot="1">
      <c r="A2" s="242" t="s">
        <v>946</v>
      </c>
      <c r="B2" s="242" t="s">
        <v>947</v>
      </c>
      <c r="C2" s="242" t="s">
        <v>947</v>
      </c>
      <c r="D2" s="242" t="s">
        <v>947</v>
      </c>
      <c r="E2" s="242" t="s">
        <v>946</v>
      </c>
      <c r="F2" s="242" t="s">
        <v>948</v>
      </c>
      <c r="G2" s="242" t="s">
        <v>948</v>
      </c>
      <c r="H2" s="242" t="s">
        <v>948</v>
      </c>
      <c r="I2" s="242" t="s">
        <v>948</v>
      </c>
      <c r="J2" s="2" t="s">
        <v>950</v>
      </c>
      <c r="K2" s="242" t="s">
        <v>946</v>
      </c>
      <c r="L2" s="242" t="s">
        <v>947</v>
      </c>
      <c r="M2" s="242" t="s">
        <v>947</v>
      </c>
      <c r="N2" s="242" t="s">
        <v>946</v>
      </c>
      <c r="O2" s="242" t="s">
        <v>946</v>
      </c>
      <c r="P2" s="242" t="s">
        <v>951</v>
      </c>
      <c r="Q2" s="242" t="s">
        <v>946</v>
      </c>
      <c r="R2" s="242" t="s">
        <v>951</v>
      </c>
      <c r="S2" s="242" t="s">
        <v>946</v>
      </c>
      <c r="T2" s="242" t="s">
        <v>951</v>
      </c>
      <c r="U2" s="242" t="s">
        <v>946</v>
      </c>
      <c r="V2" s="242" t="s">
        <v>947</v>
      </c>
      <c r="W2" s="242" t="s">
        <v>946</v>
      </c>
      <c r="X2" s="242" t="s">
        <v>946</v>
      </c>
      <c r="Y2" s="2" t="s">
        <v>948</v>
      </c>
    </row>
    <row r="3" spans="1:25" ht="31.5" customHeight="1">
      <c r="A3" s="323" t="s">
        <v>4</v>
      </c>
      <c r="B3" s="325" t="s">
        <v>5</v>
      </c>
      <c r="C3" s="325" t="s">
        <v>6</v>
      </c>
      <c r="D3" s="325" t="s">
        <v>7</v>
      </c>
      <c r="E3" s="325" t="s">
        <v>8</v>
      </c>
      <c r="F3" s="317" t="s">
        <v>9</v>
      </c>
      <c r="G3" s="318"/>
      <c r="H3" s="319"/>
      <c r="I3" s="315" t="s">
        <v>1183</v>
      </c>
      <c r="J3" s="239" t="s">
        <v>1125</v>
      </c>
      <c r="K3" s="310" t="s">
        <v>34</v>
      </c>
      <c r="L3" s="312" t="s">
        <v>17</v>
      </c>
      <c r="M3" s="313"/>
      <c r="N3" s="314"/>
      <c r="O3" s="312" t="s">
        <v>21</v>
      </c>
      <c r="P3" s="313"/>
      <c r="Q3" s="313"/>
      <c r="R3" s="313"/>
      <c r="S3" s="313"/>
      <c r="T3" s="313"/>
      <c r="U3" s="313"/>
      <c r="V3" s="314"/>
      <c r="W3" s="310" t="s">
        <v>10</v>
      </c>
      <c r="X3" s="310" t="s">
        <v>11</v>
      </c>
      <c r="Y3" s="239"/>
    </row>
    <row r="4" spans="1:25" ht="31.5" customHeight="1" thickBot="1">
      <c r="A4" s="324"/>
      <c r="B4" s="316"/>
      <c r="C4" s="316"/>
      <c r="D4" s="316"/>
      <c r="E4" s="316"/>
      <c r="F4" s="320"/>
      <c r="G4" s="321"/>
      <c r="H4" s="322"/>
      <c r="I4" s="316"/>
      <c r="J4" s="240"/>
      <c r="K4" s="311"/>
      <c r="L4" s="21" t="s">
        <v>18</v>
      </c>
      <c r="M4" s="21" t="s">
        <v>19</v>
      </c>
      <c r="N4" s="21" t="s">
        <v>20</v>
      </c>
      <c r="O4" s="21" t="s">
        <v>22</v>
      </c>
      <c r="P4" s="21" t="s">
        <v>26</v>
      </c>
      <c r="Q4" s="21" t="s">
        <v>23</v>
      </c>
      <c r="R4" s="21" t="s">
        <v>26</v>
      </c>
      <c r="S4" s="21" t="s">
        <v>24</v>
      </c>
      <c r="T4" s="21" t="s">
        <v>26</v>
      </c>
      <c r="U4" s="21" t="s">
        <v>25</v>
      </c>
      <c r="V4" s="21" t="s">
        <v>26</v>
      </c>
      <c r="W4" s="311"/>
      <c r="X4" s="311"/>
      <c r="Y4" s="240"/>
    </row>
    <row r="5" spans="1:25" ht="37.5" customHeight="1">
      <c r="A5" s="265" t="s">
        <v>529</v>
      </c>
      <c r="B5" s="266">
        <v>1</v>
      </c>
      <c r="C5" s="266">
        <v>11</v>
      </c>
      <c r="D5" s="266"/>
      <c r="E5" s="267" t="s">
        <v>587</v>
      </c>
      <c r="F5" s="267" t="s">
        <v>46</v>
      </c>
      <c r="G5" s="268" t="s">
        <v>36</v>
      </c>
      <c r="H5" s="268" t="s">
        <v>67</v>
      </c>
      <c r="I5" s="268" t="s">
        <v>927</v>
      </c>
      <c r="J5" s="268" t="s">
        <v>1080</v>
      </c>
      <c r="K5" s="269" t="s">
        <v>1071</v>
      </c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1" t="s">
        <v>381</v>
      </c>
      <c r="X5" s="272" t="s">
        <v>235</v>
      </c>
      <c r="Y5" s="26" t="s">
        <v>60</v>
      </c>
    </row>
    <row r="6" spans="1:25" ht="37.5" customHeight="1">
      <c r="A6" s="23" t="s">
        <v>529</v>
      </c>
      <c r="B6" s="8">
        <v>2</v>
      </c>
      <c r="C6" s="8">
        <v>21</v>
      </c>
      <c r="D6" s="8"/>
      <c r="E6" s="8" t="s">
        <v>70</v>
      </c>
      <c r="F6" s="7" t="s">
        <v>12</v>
      </c>
      <c r="G6" s="24" t="s">
        <v>36</v>
      </c>
      <c r="H6" s="27" t="s">
        <v>67</v>
      </c>
      <c r="I6" s="27" t="s">
        <v>927</v>
      </c>
      <c r="J6" s="27" t="s">
        <v>1081</v>
      </c>
      <c r="K6" s="9" t="s">
        <v>283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1" t="s">
        <v>381</v>
      </c>
      <c r="X6" s="28" t="s">
        <v>54</v>
      </c>
      <c r="Y6" s="28" t="s">
        <v>927</v>
      </c>
    </row>
    <row r="7" spans="1:25" ht="37.5" customHeight="1">
      <c r="A7" s="23" t="s">
        <v>529</v>
      </c>
      <c r="B7" s="8">
        <v>3</v>
      </c>
      <c r="C7" s="8">
        <v>12</v>
      </c>
      <c r="D7" s="8"/>
      <c r="E7" s="8" t="s">
        <v>1069</v>
      </c>
      <c r="F7" s="7" t="s">
        <v>12</v>
      </c>
      <c r="G7" s="24" t="s">
        <v>65</v>
      </c>
      <c r="H7" s="27" t="s">
        <v>67</v>
      </c>
      <c r="I7" s="27" t="s">
        <v>927</v>
      </c>
      <c r="J7" s="27" t="s">
        <v>1082</v>
      </c>
      <c r="K7" s="9" t="s">
        <v>1070</v>
      </c>
      <c r="L7" s="120"/>
      <c r="M7" s="120"/>
      <c r="N7" s="120"/>
      <c r="O7" s="120"/>
      <c r="P7" s="120"/>
      <c r="Q7" s="274">
        <v>0</v>
      </c>
      <c r="R7" s="274">
        <v>1</v>
      </c>
      <c r="S7" s="120"/>
      <c r="T7" s="120"/>
      <c r="U7" s="120"/>
      <c r="V7" s="120"/>
      <c r="W7" s="11" t="s">
        <v>303</v>
      </c>
      <c r="X7" s="28" t="s">
        <v>64</v>
      </c>
      <c r="Y7" s="28" t="s">
        <v>927</v>
      </c>
    </row>
    <row r="8" spans="1:25" ht="37.5" customHeight="1">
      <c r="A8" s="23" t="s">
        <v>529</v>
      </c>
      <c r="B8" s="8">
        <v>4</v>
      </c>
      <c r="C8" s="8">
        <v>22</v>
      </c>
      <c r="D8" s="8"/>
      <c r="E8" s="8" t="s">
        <v>573</v>
      </c>
      <c r="F8" s="7" t="s">
        <v>0</v>
      </c>
      <c r="G8" s="24" t="s">
        <v>65</v>
      </c>
      <c r="H8" s="27" t="s">
        <v>67</v>
      </c>
      <c r="I8" s="27" t="s">
        <v>927</v>
      </c>
      <c r="J8" s="27" t="s">
        <v>1084</v>
      </c>
      <c r="K8" s="9" t="s">
        <v>564</v>
      </c>
      <c r="L8" s="120"/>
      <c r="M8" s="120"/>
      <c r="N8" s="120"/>
      <c r="O8" s="120"/>
      <c r="P8" s="120"/>
      <c r="Q8" s="120">
        <v>0</v>
      </c>
      <c r="R8" s="120">
        <v>1</v>
      </c>
      <c r="S8" s="120"/>
      <c r="T8" s="120"/>
      <c r="U8" s="120"/>
      <c r="V8" s="120"/>
      <c r="W8" s="11" t="s">
        <v>569</v>
      </c>
      <c r="X8" s="25" t="s">
        <v>570</v>
      </c>
      <c r="Y8" s="28" t="s">
        <v>927</v>
      </c>
    </row>
    <row r="9" spans="1:25" ht="37.5" customHeight="1">
      <c r="A9" s="23" t="s">
        <v>529</v>
      </c>
      <c r="B9" s="8">
        <v>5</v>
      </c>
      <c r="C9" s="8">
        <v>13</v>
      </c>
      <c r="D9" s="8"/>
      <c r="E9" s="8" t="s">
        <v>574</v>
      </c>
      <c r="F9" s="7" t="s">
        <v>0</v>
      </c>
      <c r="G9" s="24" t="s">
        <v>65</v>
      </c>
      <c r="H9" s="27" t="s">
        <v>67</v>
      </c>
      <c r="I9" s="27" t="s">
        <v>927</v>
      </c>
      <c r="J9" s="27" t="s">
        <v>1085</v>
      </c>
      <c r="K9" s="9" t="s">
        <v>566</v>
      </c>
      <c r="L9" s="120"/>
      <c r="M9" s="120"/>
      <c r="N9" s="120"/>
      <c r="O9" s="120"/>
      <c r="P9" s="120"/>
      <c r="Q9" s="120">
        <v>0</v>
      </c>
      <c r="R9" s="120">
        <v>1</v>
      </c>
      <c r="S9" s="120"/>
      <c r="T9" s="120"/>
      <c r="U9" s="120"/>
      <c r="V9" s="120"/>
      <c r="W9" s="11" t="s">
        <v>569</v>
      </c>
      <c r="X9" s="25" t="s">
        <v>570</v>
      </c>
      <c r="Y9" s="28" t="s">
        <v>927</v>
      </c>
    </row>
    <row r="10" spans="1:25" ht="37.5" customHeight="1">
      <c r="A10" s="23" t="s">
        <v>529</v>
      </c>
      <c r="B10" s="8">
        <v>6</v>
      </c>
      <c r="C10" s="8">
        <v>23</v>
      </c>
      <c r="D10" s="8"/>
      <c r="E10" s="8" t="s">
        <v>575</v>
      </c>
      <c r="F10" s="7" t="s">
        <v>0</v>
      </c>
      <c r="G10" s="24" t="s">
        <v>65</v>
      </c>
      <c r="H10" s="27" t="s">
        <v>67</v>
      </c>
      <c r="I10" s="27" t="s">
        <v>927</v>
      </c>
      <c r="J10" s="27" t="s">
        <v>1086</v>
      </c>
      <c r="K10" s="9" t="s">
        <v>567</v>
      </c>
      <c r="L10" s="120"/>
      <c r="M10" s="120"/>
      <c r="N10" s="120"/>
      <c r="O10" s="120"/>
      <c r="P10" s="120"/>
      <c r="Q10" s="120">
        <v>0</v>
      </c>
      <c r="R10" s="120">
        <v>1</v>
      </c>
      <c r="S10" s="120"/>
      <c r="T10" s="120"/>
      <c r="U10" s="120"/>
      <c r="V10" s="120"/>
      <c r="W10" s="11" t="s">
        <v>569</v>
      </c>
      <c r="X10" s="25" t="s">
        <v>570</v>
      </c>
      <c r="Y10" s="28" t="s">
        <v>927</v>
      </c>
    </row>
    <row r="11" spans="1:25" ht="37.5" customHeight="1">
      <c r="A11" s="23" t="s">
        <v>529</v>
      </c>
      <c r="B11" s="8">
        <v>7</v>
      </c>
      <c r="C11" s="8">
        <v>14</v>
      </c>
      <c r="D11" s="8"/>
      <c r="E11" s="8" t="s">
        <v>576</v>
      </c>
      <c r="F11" s="7" t="s">
        <v>0</v>
      </c>
      <c r="G11" s="24" t="s">
        <v>65</v>
      </c>
      <c r="H11" s="27" t="s">
        <v>67</v>
      </c>
      <c r="I11" s="27" t="s">
        <v>927</v>
      </c>
      <c r="J11" s="27" t="s">
        <v>1087</v>
      </c>
      <c r="K11" s="9" t="s">
        <v>568</v>
      </c>
      <c r="L11" s="120"/>
      <c r="M11" s="120"/>
      <c r="N11" s="120"/>
      <c r="O11" s="120"/>
      <c r="P11" s="120"/>
      <c r="Q11" s="120">
        <v>0</v>
      </c>
      <c r="R11" s="120">
        <v>1</v>
      </c>
      <c r="S11" s="120"/>
      <c r="T11" s="120"/>
      <c r="U11" s="120"/>
      <c r="V11" s="120"/>
      <c r="W11" s="11" t="s">
        <v>569</v>
      </c>
      <c r="X11" s="25" t="s">
        <v>570</v>
      </c>
      <c r="Y11" s="28" t="s">
        <v>927</v>
      </c>
    </row>
    <row r="12" spans="1:25" ht="37.5" customHeight="1">
      <c r="A12" s="23" t="s">
        <v>529</v>
      </c>
      <c r="B12" s="8">
        <v>8</v>
      </c>
      <c r="C12" s="8">
        <v>24</v>
      </c>
      <c r="D12" s="8"/>
      <c r="E12" s="7" t="s">
        <v>1000</v>
      </c>
      <c r="F12" s="7" t="s">
        <v>0</v>
      </c>
      <c r="G12" s="24" t="s">
        <v>65</v>
      </c>
      <c r="H12" s="27" t="s">
        <v>67</v>
      </c>
      <c r="I12" s="27" t="s">
        <v>927</v>
      </c>
      <c r="J12" s="27" t="s">
        <v>1090</v>
      </c>
      <c r="K12" s="9" t="s">
        <v>1001</v>
      </c>
      <c r="L12" s="120"/>
      <c r="M12" s="120"/>
      <c r="N12" s="120"/>
      <c r="O12" s="120"/>
      <c r="P12" s="120"/>
      <c r="Q12" s="120">
        <v>0</v>
      </c>
      <c r="R12" s="120">
        <v>1</v>
      </c>
      <c r="S12" s="120"/>
      <c r="T12" s="120"/>
      <c r="U12" s="120"/>
      <c r="V12" s="120"/>
      <c r="W12" s="11" t="s">
        <v>569</v>
      </c>
      <c r="X12" s="25" t="s">
        <v>570</v>
      </c>
      <c r="Y12" s="26" t="s">
        <v>927</v>
      </c>
    </row>
    <row r="13" spans="1:25" ht="37.5" customHeight="1">
      <c r="A13" s="23" t="s">
        <v>528</v>
      </c>
      <c r="B13" s="8">
        <v>9</v>
      </c>
      <c r="C13" s="8">
        <v>15</v>
      </c>
      <c r="D13" s="8"/>
      <c r="E13" s="7" t="s">
        <v>221</v>
      </c>
      <c r="F13" s="7" t="s">
        <v>46</v>
      </c>
      <c r="G13" s="24" t="s">
        <v>36</v>
      </c>
      <c r="H13" s="24" t="s">
        <v>67</v>
      </c>
      <c r="I13" s="24" t="s">
        <v>60</v>
      </c>
      <c r="J13" s="24" t="s">
        <v>1111</v>
      </c>
      <c r="K13" s="9" t="s">
        <v>1029</v>
      </c>
      <c r="L13" s="120"/>
      <c r="M13" s="120"/>
      <c r="N13" s="120"/>
      <c r="O13" s="120"/>
      <c r="P13" s="120"/>
      <c r="Q13" s="120">
        <v>0</v>
      </c>
      <c r="R13" s="120">
        <v>1</v>
      </c>
      <c r="S13" s="120"/>
      <c r="T13" s="120"/>
      <c r="U13" s="120"/>
      <c r="V13" s="120"/>
      <c r="W13" s="10" t="s">
        <v>988</v>
      </c>
      <c r="X13" s="26" t="s">
        <v>55</v>
      </c>
      <c r="Y13" s="26" t="s">
        <v>60</v>
      </c>
    </row>
    <row r="14" spans="1:25" ht="37.5" customHeight="1">
      <c r="A14" s="23" t="s">
        <v>528</v>
      </c>
      <c r="B14" s="8">
        <v>10</v>
      </c>
      <c r="C14" s="8">
        <v>25</v>
      </c>
      <c r="D14" s="8"/>
      <c r="E14" s="7" t="s">
        <v>222</v>
      </c>
      <c r="F14" s="7" t="s">
        <v>46</v>
      </c>
      <c r="G14" s="27" t="s">
        <v>47</v>
      </c>
      <c r="H14" s="24" t="s">
        <v>67</v>
      </c>
      <c r="I14" s="24" t="s">
        <v>60</v>
      </c>
      <c r="J14" s="24" t="s">
        <v>1112</v>
      </c>
      <c r="K14" s="9" t="s">
        <v>1030</v>
      </c>
      <c r="L14" s="273"/>
      <c r="M14" s="273"/>
      <c r="N14" s="273"/>
      <c r="O14" s="273"/>
      <c r="P14" s="273"/>
      <c r="Q14" s="273">
        <v>0</v>
      </c>
      <c r="R14" s="273">
        <v>1</v>
      </c>
      <c r="S14" s="273"/>
      <c r="T14" s="273"/>
      <c r="U14" s="273"/>
      <c r="V14" s="273"/>
      <c r="W14" s="10" t="s">
        <v>988</v>
      </c>
      <c r="X14" s="25" t="s">
        <v>236</v>
      </c>
      <c r="Y14" s="26" t="s">
        <v>60</v>
      </c>
    </row>
    <row r="15" spans="1:25" ht="37.5" customHeight="1">
      <c r="A15" s="23" t="s">
        <v>528</v>
      </c>
      <c r="B15" s="8">
        <v>11</v>
      </c>
      <c r="C15" s="8">
        <v>16</v>
      </c>
      <c r="D15" s="8"/>
      <c r="E15" s="7" t="s">
        <v>223</v>
      </c>
      <c r="F15" s="7" t="s">
        <v>46</v>
      </c>
      <c r="G15" s="27" t="s">
        <v>36</v>
      </c>
      <c r="H15" s="24" t="s">
        <v>67</v>
      </c>
      <c r="I15" s="24" t="s">
        <v>60</v>
      </c>
      <c r="J15" s="24" t="s">
        <v>1113</v>
      </c>
      <c r="K15" s="9" t="s">
        <v>1031</v>
      </c>
      <c r="L15" s="273"/>
      <c r="M15" s="273"/>
      <c r="N15" s="273"/>
      <c r="O15" s="273"/>
      <c r="P15" s="273"/>
      <c r="Q15" s="275">
        <v>0</v>
      </c>
      <c r="R15" s="275">
        <v>10</v>
      </c>
      <c r="S15" s="273"/>
      <c r="T15" s="273"/>
      <c r="U15" s="273"/>
      <c r="V15" s="273"/>
      <c r="W15" s="10" t="s">
        <v>988</v>
      </c>
      <c r="X15" s="85" t="s">
        <v>59</v>
      </c>
      <c r="Y15" s="26" t="s">
        <v>60</v>
      </c>
    </row>
    <row r="16" spans="1:25" ht="37.5" customHeight="1">
      <c r="A16" s="23" t="s">
        <v>528</v>
      </c>
      <c r="B16" s="8">
        <v>12</v>
      </c>
      <c r="C16" s="8">
        <v>26</v>
      </c>
      <c r="D16" s="8"/>
      <c r="E16" s="7" t="s">
        <v>224</v>
      </c>
      <c r="F16" s="7" t="s">
        <v>46</v>
      </c>
      <c r="G16" s="27" t="s">
        <v>36</v>
      </c>
      <c r="H16" s="24" t="s">
        <v>67</v>
      </c>
      <c r="I16" s="24" t="s">
        <v>60</v>
      </c>
      <c r="J16" s="24" t="s">
        <v>1114</v>
      </c>
      <c r="K16" s="9" t="s">
        <v>1032</v>
      </c>
      <c r="L16" s="273"/>
      <c r="M16" s="273"/>
      <c r="N16" s="273"/>
      <c r="O16" s="273"/>
      <c r="P16" s="273"/>
      <c r="Q16" s="273">
        <v>0</v>
      </c>
      <c r="R16" s="273">
        <v>1</v>
      </c>
      <c r="S16" s="273"/>
      <c r="T16" s="273"/>
      <c r="U16" s="273"/>
      <c r="V16" s="273"/>
      <c r="W16" s="10" t="s">
        <v>989</v>
      </c>
      <c r="X16" s="26" t="s">
        <v>55</v>
      </c>
      <c r="Y16" s="26" t="s">
        <v>60</v>
      </c>
    </row>
    <row r="17" spans="1:25" ht="37.5" customHeight="1">
      <c r="A17" s="23" t="s">
        <v>528</v>
      </c>
      <c r="B17" s="8">
        <v>13</v>
      </c>
      <c r="C17" s="8">
        <v>17</v>
      </c>
      <c r="D17" s="8"/>
      <c r="E17" s="7" t="s">
        <v>225</v>
      </c>
      <c r="F17" s="7" t="s">
        <v>46</v>
      </c>
      <c r="G17" s="27" t="s">
        <v>47</v>
      </c>
      <c r="H17" s="24" t="s">
        <v>67</v>
      </c>
      <c r="I17" s="24" t="s">
        <v>60</v>
      </c>
      <c r="J17" s="24" t="s">
        <v>1115</v>
      </c>
      <c r="K17" s="9" t="s">
        <v>1033</v>
      </c>
      <c r="L17" s="120"/>
      <c r="M17" s="120"/>
      <c r="N17" s="120"/>
      <c r="O17" s="120"/>
      <c r="P17" s="120"/>
      <c r="Q17" s="120">
        <v>0</v>
      </c>
      <c r="R17" s="120">
        <v>1</v>
      </c>
      <c r="S17" s="120"/>
      <c r="T17" s="120"/>
      <c r="U17" s="120"/>
      <c r="V17" s="120"/>
      <c r="W17" s="10" t="s">
        <v>989</v>
      </c>
      <c r="X17" s="25" t="s">
        <v>236</v>
      </c>
      <c r="Y17" s="26" t="s">
        <v>60</v>
      </c>
    </row>
    <row r="18" spans="1:25" ht="37.5" customHeight="1">
      <c r="A18" s="23" t="s">
        <v>528</v>
      </c>
      <c r="B18" s="8">
        <v>14</v>
      </c>
      <c r="C18" s="8">
        <v>27</v>
      </c>
      <c r="D18" s="8"/>
      <c r="E18" s="7" t="s">
        <v>226</v>
      </c>
      <c r="F18" s="7" t="s">
        <v>46</v>
      </c>
      <c r="G18" s="24" t="s">
        <v>36</v>
      </c>
      <c r="H18" s="24" t="s">
        <v>67</v>
      </c>
      <c r="I18" s="24" t="s">
        <v>60</v>
      </c>
      <c r="J18" s="24" t="s">
        <v>1116</v>
      </c>
      <c r="K18" s="9" t="s">
        <v>1034</v>
      </c>
      <c r="L18" s="120"/>
      <c r="M18" s="120"/>
      <c r="N18" s="120"/>
      <c r="O18" s="120"/>
      <c r="P18" s="120"/>
      <c r="Q18" s="274">
        <v>0</v>
      </c>
      <c r="R18" s="274">
        <v>10</v>
      </c>
      <c r="S18" s="120"/>
      <c r="T18" s="120"/>
      <c r="U18" s="120"/>
      <c r="V18" s="120"/>
      <c r="W18" s="10" t="s">
        <v>989</v>
      </c>
      <c r="X18" s="85" t="s">
        <v>59</v>
      </c>
      <c r="Y18" s="26" t="s">
        <v>60</v>
      </c>
    </row>
    <row r="19" spans="1:25" ht="37.5" customHeight="1">
      <c r="A19" s="23" t="s">
        <v>528</v>
      </c>
      <c r="B19" s="8">
        <v>15</v>
      </c>
      <c r="C19" s="8">
        <v>18</v>
      </c>
      <c r="D19" s="8"/>
      <c r="E19" s="7" t="s">
        <v>1025</v>
      </c>
      <c r="F19" s="7" t="s">
        <v>46</v>
      </c>
      <c r="G19" s="24" t="s">
        <v>36</v>
      </c>
      <c r="H19" s="24" t="s">
        <v>67</v>
      </c>
      <c r="I19" s="24" t="s">
        <v>60</v>
      </c>
      <c r="J19" s="24" t="s">
        <v>1117</v>
      </c>
      <c r="K19" s="9" t="s">
        <v>1035</v>
      </c>
      <c r="L19" s="120"/>
      <c r="M19" s="120"/>
      <c r="N19" s="120"/>
      <c r="O19" s="120"/>
      <c r="P19" s="120"/>
      <c r="Q19" s="274">
        <v>0</v>
      </c>
      <c r="R19" s="274">
        <v>10</v>
      </c>
      <c r="S19" s="120"/>
      <c r="T19" s="120"/>
      <c r="U19" s="120"/>
      <c r="V19" s="120"/>
      <c r="W19" s="10" t="s">
        <v>303</v>
      </c>
      <c r="X19" s="85" t="s">
        <v>59</v>
      </c>
      <c r="Y19" s="85"/>
    </row>
    <row r="20" spans="1:25" ht="37.5" customHeight="1">
      <c r="A20" s="23" t="s">
        <v>528</v>
      </c>
      <c r="B20" s="8">
        <v>16</v>
      </c>
      <c r="C20" s="8">
        <v>28</v>
      </c>
      <c r="D20" s="8"/>
      <c r="E20" s="7"/>
      <c r="F20" s="7"/>
      <c r="G20" s="24"/>
      <c r="H20" s="24"/>
      <c r="I20" s="24"/>
      <c r="J20" s="24" t="s">
        <v>1083</v>
      </c>
      <c r="K20" s="9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0"/>
      <c r="X20" s="85"/>
      <c r="Y20" s="85"/>
    </row>
    <row r="21" spans="1:25" ht="37.5" customHeight="1">
      <c r="A21" s="17" t="s">
        <v>531</v>
      </c>
      <c r="B21" s="13">
        <v>1</v>
      </c>
      <c r="C21" s="13">
        <v>11</v>
      </c>
      <c r="D21" s="13"/>
      <c r="E21" s="13" t="s">
        <v>281</v>
      </c>
      <c r="F21" s="12" t="s">
        <v>1</v>
      </c>
      <c r="G21" s="20" t="s">
        <v>65</v>
      </c>
      <c r="H21" s="19" t="s">
        <v>68</v>
      </c>
      <c r="I21" s="19" t="s">
        <v>927</v>
      </c>
      <c r="J21" s="19" t="s">
        <v>1108</v>
      </c>
      <c r="K21" s="14" t="s">
        <v>230</v>
      </c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5" t="s">
        <v>308</v>
      </c>
      <c r="X21" s="18" t="s">
        <v>231</v>
      </c>
      <c r="Y21" s="18" t="s">
        <v>927</v>
      </c>
    </row>
    <row r="22" spans="1:25" ht="37.5" customHeight="1">
      <c r="A22" s="17" t="s">
        <v>531</v>
      </c>
      <c r="B22" s="13">
        <v>2</v>
      </c>
      <c r="C22" s="13">
        <v>21</v>
      </c>
      <c r="D22" s="13"/>
      <c r="E22" s="13" t="s">
        <v>77</v>
      </c>
      <c r="F22" s="12" t="s">
        <v>1</v>
      </c>
      <c r="G22" s="19" t="s">
        <v>36</v>
      </c>
      <c r="H22" s="19"/>
      <c r="I22" s="19" t="s">
        <v>927</v>
      </c>
      <c r="J22" s="19" t="s">
        <v>1109</v>
      </c>
      <c r="K22" s="14" t="s">
        <v>282</v>
      </c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86" t="s">
        <v>307</v>
      </c>
      <c r="X22" s="86" t="s">
        <v>48</v>
      </c>
      <c r="Y22" s="86" t="s">
        <v>927</v>
      </c>
    </row>
    <row r="23" spans="1:25" ht="37.5" customHeight="1">
      <c r="A23" s="17" t="s">
        <v>531</v>
      </c>
      <c r="B23" s="13">
        <v>3</v>
      </c>
      <c r="C23" s="13">
        <v>12</v>
      </c>
      <c r="D23" s="13"/>
      <c r="E23" s="13" t="s">
        <v>286</v>
      </c>
      <c r="F23" s="12" t="s">
        <v>1</v>
      </c>
      <c r="G23" s="19" t="s">
        <v>36</v>
      </c>
      <c r="H23" s="19"/>
      <c r="I23" s="19" t="s">
        <v>927</v>
      </c>
      <c r="J23" s="19" t="s">
        <v>1110</v>
      </c>
      <c r="K23" s="14" t="s">
        <v>287</v>
      </c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86" t="s">
        <v>307</v>
      </c>
      <c r="X23" s="86" t="s">
        <v>288</v>
      </c>
      <c r="Y23" s="86" t="s">
        <v>927</v>
      </c>
    </row>
    <row r="24" spans="1:25" ht="37.5" customHeight="1">
      <c r="A24" s="17" t="s">
        <v>531</v>
      </c>
      <c r="B24" s="13">
        <v>4</v>
      </c>
      <c r="C24" s="13">
        <v>22</v>
      </c>
      <c r="D24" s="13"/>
      <c r="E24" s="12" t="s">
        <v>227</v>
      </c>
      <c r="F24" s="12" t="s">
        <v>38</v>
      </c>
      <c r="G24" s="20" t="s">
        <v>36</v>
      </c>
      <c r="H24" s="20" t="s">
        <v>68</v>
      </c>
      <c r="I24" s="20" t="s">
        <v>927</v>
      </c>
      <c r="J24" s="20" t="s">
        <v>1118</v>
      </c>
      <c r="K24" s="14" t="s">
        <v>1036</v>
      </c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6" t="s">
        <v>990</v>
      </c>
      <c r="X24" s="18" t="s">
        <v>384</v>
      </c>
      <c r="Y24" s="18" t="s">
        <v>60</v>
      </c>
    </row>
    <row r="25" spans="1:25" ht="37.5" customHeight="1">
      <c r="A25" s="17" t="s">
        <v>531</v>
      </c>
      <c r="B25" s="13">
        <v>5</v>
      </c>
      <c r="C25" s="13">
        <v>13</v>
      </c>
      <c r="D25" s="13"/>
      <c r="E25" s="12" t="s">
        <v>228</v>
      </c>
      <c r="F25" s="12" t="s">
        <v>38</v>
      </c>
      <c r="G25" s="20" t="s">
        <v>36</v>
      </c>
      <c r="H25" s="20" t="s">
        <v>68</v>
      </c>
      <c r="I25" s="20" t="s">
        <v>60</v>
      </c>
      <c r="J25" s="20" t="s">
        <v>1119</v>
      </c>
      <c r="K25" s="14" t="s">
        <v>1037</v>
      </c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6" t="s">
        <v>991</v>
      </c>
      <c r="X25" s="18" t="s">
        <v>384</v>
      </c>
      <c r="Y25" s="18" t="s">
        <v>60</v>
      </c>
    </row>
    <row r="26" spans="1:25" ht="37.5" customHeight="1">
      <c r="A26" s="17" t="s">
        <v>531</v>
      </c>
      <c r="B26" s="13">
        <v>6</v>
      </c>
      <c r="C26" s="13">
        <v>23</v>
      </c>
      <c r="D26" s="13"/>
      <c r="E26" s="12" t="s">
        <v>952</v>
      </c>
      <c r="F26" s="12" t="s">
        <v>16</v>
      </c>
      <c r="G26" s="20" t="s">
        <v>36</v>
      </c>
      <c r="H26" s="20" t="s">
        <v>68</v>
      </c>
      <c r="I26" s="20" t="s">
        <v>60</v>
      </c>
      <c r="J26" s="20" t="s">
        <v>1120</v>
      </c>
      <c r="K26" s="14" t="s">
        <v>1038</v>
      </c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6" t="s">
        <v>308</v>
      </c>
      <c r="X26" s="18" t="s">
        <v>384</v>
      </c>
      <c r="Y26" s="18" t="s">
        <v>60</v>
      </c>
    </row>
    <row r="27" spans="1:25" ht="37.5" customHeight="1">
      <c r="A27" s="17" t="s">
        <v>531</v>
      </c>
      <c r="B27" s="13">
        <v>7</v>
      </c>
      <c r="C27" s="13">
        <v>14</v>
      </c>
      <c r="D27" s="13"/>
      <c r="E27" s="12" t="s">
        <v>953</v>
      </c>
      <c r="F27" s="12" t="s">
        <v>16</v>
      </c>
      <c r="G27" s="20" t="s">
        <v>65</v>
      </c>
      <c r="H27" s="20" t="s">
        <v>68</v>
      </c>
      <c r="I27" s="20" t="s">
        <v>60</v>
      </c>
      <c r="J27" s="20" t="s">
        <v>1184</v>
      </c>
      <c r="K27" s="14" t="s">
        <v>1039</v>
      </c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6" t="s">
        <v>308</v>
      </c>
      <c r="X27" s="18" t="s">
        <v>570</v>
      </c>
      <c r="Y27" s="18" t="s">
        <v>60</v>
      </c>
    </row>
    <row r="28" spans="1:25" ht="37.5" customHeight="1">
      <c r="A28" s="17" t="s">
        <v>530</v>
      </c>
      <c r="B28" s="13">
        <v>8</v>
      </c>
      <c r="C28" s="13">
        <v>24</v>
      </c>
      <c r="D28" s="13"/>
      <c r="E28" s="12"/>
      <c r="F28" s="12"/>
      <c r="G28" s="20"/>
      <c r="H28" s="20"/>
      <c r="I28" s="20"/>
      <c r="J28" s="20" t="s">
        <v>1091</v>
      </c>
      <c r="K28" s="14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6"/>
      <c r="X28" s="18"/>
      <c r="Y28" s="18"/>
    </row>
    <row r="29" spans="1:25" ht="37.5" customHeight="1">
      <c r="A29" s="17" t="s">
        <v>530</v>
      </c>
      <c r="B29" s="13">
        <v>9</v>
      </c>
      <c r="C29" s="13">
        <v>15</v>
      </c>
      <c r="D29" s="13"/>
      <c r="E29" s="12"/>
      <c r="F29" s="12"/>
      <c r="G29" s="20"/>
      <c r="H29" s="20"/>
      <c r="I29" s="20"/>
      <c r="J29" s="20" t="s">
        <v>1092</v>
      </c>
      <c r="K29" s="14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6"/>
      <c r="X29" s="18"/>
      <c r="Y29" s="18"/>
    </row>
    <row r="30" spans="1:25" ht="37.5" customHeight="1">
      <c r="A30" s="17" t="s">
        <v>530</v>
      </c>
      <c r="B30" s="13">
        <v>10</v>
      </c>
      <c r="C30" s="13">
        <v>25</v>
      </c>
      <c r="D30" s="13"/>
      <c r="E30" s="12"/>
      <c r="F30" s="12"/>
      <c r="G30" s="20"/>
      <c r="H30" s="20"/>
      <c r="I30" s="20"/>
      <c r="J30" s="20" t="s">
        <v>1093</v>
      </c>
      <c r="K30" s="14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6"/>
      <c r="X30" s="18"/>
      <c r="Y30" s="18"/>
    </row>
    <row r="31" spans="1:25" ht="37.5" customHeight="1">
      <c r="A31" s="17" t="s">
        <v>530</v>
      </c>
      <c r="B31" s="13">
        <v>11</v>
      </c>
      <c r="C31" s="13">
        <v>16</v>
      </c>
      <c r="D31" s="13"/>
      <c r="E31" s="12"/>
      <c r="F31" s="12"/>
      <c r="G31" s="20"/>
      <c r="H31" s="20"/>
      <c r="I31" s="20"/>
      <c r="J31" s="20" t="s">
        <v>1094</v>
      </c>
      <c r="K31" s="14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6"/>
      <c r="X31" s="18"/>
      <c r="Y31" s="18"/>
    </row>
    <row r="32" spans="1:25" ht="37.5" customHeight="1">
      <c r="A32" s="17" t="s">
        <v>530</v>
      </c>
      <c r="B32" s="13">
        <v>12</v>
      </c>
      <c r="C32" s="13">
        <v>26</v>
      </c>
      <c r="D32" s="13"/>
      <c r="E32" s="12"/>
      <c r="F32" s="12"/>
      <c r="G32" s="20"/>
      <c r="H32" s="20"/>
      <c r="I32" s="20"/>
      <c r="J32" s="20" t="s">
        <v>1095</v>
      </c>
      <c r="K32" s="14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6"/>
      <c r="X32" s="18"/>
      <c r="Y32" s="18"/>
    </row>
    <row r="33" spans="1:25" ht="37.5" customHeight="1">
      <c r="A33" s="17" t="s">
        <v>530</v>
      </c>
      <c r="B33" s="13">
        <v>13</v>
      </c>
      <c r="C33" s="13">
        <v>17</v>
      </c>
      <c r="D33" s="13"/>
      <c r="E33" s="12"/>
      <c r="F33" s="12"/>
      <c r="G33" s="20"/>
      <c r="H33" s="20"/>
      <c r="I33" s="20"/>
      <c r="J33" s="20" t="s">
        <v>1096</v>
      </c>
      <c r="K33" s="14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6"/>
      <c r="X33" s="18"/>
      <c r="Y33" s="18"/>
    </row>
    <row r="34" spans="1:25" ht="37.5" customHeight="1">
      <c r="A34" s="17" t="s">
        <v>530</v>
      </c>
      <c r="B34" s="13">
        <v>14</v>
      </c>
      <c r="C34" s="13">
        <v>27</v>
      </c>
      <c r="D34" s="13"/>
      <c r="E34" s="12"/>
      <c r="F34" s="12"/>
      <c r="G34" s="20"/>
      <c r="H34" s="20"/>
      <c r="I34" s="20"/>
      <c r="J34" s="20" t="s">
        <v>1097</v>
      </c>
      <c r="K34" s="14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6"/>
      <c r="X34" s="18"/>
      <c r="Y34" s="18"/>
    </row>
    <row r="35" spans="1:25" ht="37.5" customHeight="1">
      <c r="A35" s="17" t="s">
        <v>530</v>
      </c>
      <c r="B35" s="13">
        <v>15</v>
      </c>
      <c r="C35" s="13">
        <v>18</v>
      </c>
      <c r="D35" s="13"/>
      <c r="E35" s="12"/>
      <c r="F35" s="12"/>
      <c r="G35" s="20"/>
      <c r="H35" s="20"/>
      <c r="I35" s="20"/>
      <c r="J35" s="20" t="s">
        <v>1098</v>
      </c>
      <c r="K35" s="14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6"/>
      <c r="X35" s="18"/>
      <c r="Y35" s="18"/>
    </row>
    <row r="36" spans="1:25" ht="37.5" customHeight="1">
      <c r="A36" s="17" t="s">
        <v>530</v>
      </c>
      <c r="B36" s="13">
        <v>16</v>
      </c>
      <c r="C36" s="13">
        <v>28</v>
      </c>
      <c r="D36" s="13"/>
      <c r="E36" s="12"/>
      <c r="F36" s="12"/>
      <c r="G36" s="20"/>
      <c r="H36" s="20"/>
      <c r="I36" s="20"/>
      <c r="J36" s="20" t="s">
        <v>1099</v>
      </c>
      <c r="K36" s="14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6"/>
      <c r="X36" s="18"/>
      <c r="Y36" s="18"/>
    </row>
    <row r="37" spans="1:25" ht="37.5" customHeight="1">
      <c r="A37" s="87" t="s">
        <v>533</v>
      </c>
      <c r="B37" s="88">
        <v>1</v>
      </c>
      <c r="C37" s="88">
        <v>11</v>
      </c>
      <c r="D37" s="88">
        <v>21</v>
      </c>
      <c r="E37" s="89" t="s">
        <v>229</v>
      </c>
      <c r="F37" s="90" t="s">
        <v>39</v>
      </c>
      <c r="G37" s="91" t="s">
        <v>40</v>
      </c>
      <c r="H37" s="91" t="s">
        <v>67</v>
      </c>
      <c r="I37" s="92" t="s">
        <v>60</v>
      </c>
      <c r="J37" s="92" t="s">
        <v>1121</v>
      </c>
      <c r="K37" s="93" t="s">
        <v>1040</v>
      </c>
      <c r="L37" s="127">
        <v>-1</v>
      </c>
      <c r="M37" s="126">
        <v>10</v>
      </c>
      <c r="N37" s="124" t="s">
        <v>28</v>
      </c>
      <c r="O37" s="123"/>
      <c r="P37" s="123"/>
      <c r="Q37" s="126">
        <v>-0.2</v>
      </c>
      <c r="R37" s="126">
        <v>2</v>
      </c>
      <c r="S37" s="123"/>
      <c r="T37" s="123"/>
      <c r="U37" s="123"/>
      <c r="V37" s="126"/>
      <c r="W37" s="94" t="s">
        <v>992</v>
      </c>
      <c r="X37" s="95"/>
      <c r="Y37" s="18" t="s">
        <v>60</v>
      </c>
    </row>
    <row r="38" spans="1:25" ht="37.5" customHeight="1">
      <c r="A38" s="87" t="s">
        <v>533</v>
      </c>
      <c r="B38" s="88">
        <v>2</v>
      </c>
      <c r="C38" s="88">
        <v>12</v>
      </c>
      <c r="D38" s="88">
        <v>22</v>
      </c>
      <c r="E38" s="96" t="s">
        <v>186</v>
      </c>
      <c r="F38" s="97" t="s">
        <v>39</v>
      </c>
      <c r="G38" s="98" t="s">
        <v>40</v>
      </c>
      <c r="H38" s="98" t="s">
        <v>67</v>
      </c>
      <c r="I38" s="92" t="s">
        <v>60</v>
      </c>
      <c r="J38" s="92" t="s">
        <v>1122</v>
      </c>
      <c r="K38" s="93" t="s">
        <v>1041</v>
      </c>
      <c r="L38" s="128">
        <v>0</v>
      </c>
      <c r="M38" s="128">
        <v>16</v>
      </c>
      <c r="N38" s="125" t="s">
        <v>28</v>
      </c>
      <c r="O38" s="128">
        <v>4</v>
      </c>
      <c r="P38" s="128">
        <v>5</v>
      </c>
      <c r="Q38" s="128">
        <v>5</v>
      </c>
      <c r="R38" s="128">
        <v>5</v>
      </c>
      <c r="S38" s="128">
        <v>11</v>
      </c>
      <c r="T38" s="128">
        <v>10</v>
      </c>
      <c r="U38" s="128">
        <v>12</v>
      </c>
      <c r="V38" s="128">
        <v>10</v>
      </c>
      <c r="W38" s="94" t="s">
        <v>992</v>
      </c>
      <c r="X38" s="99"/>
      <c r="Y38" s="18" t="s">
        <v>60</v>
      </c>
    </row>
    <row r="39" spans="1:25" ht="37.5" customHeight="1">
      <c r="A39" s="87" t="s">
        <v>532</v>
      </c>
      <c r="B39" s="88">
        <v>3</v>
      </c>
      <c r="C39" s="88">
        <v>13</v>
      </c>
      <c r="D39" s="88">
        <v>23</v>
      </c>
      <c r="E39" s="96"/>
      <c r="F39" s="97"/>
      <c r="G39" s="98"/>
      <c r="H39" s="98"/>
      <c r="I39" s="92"/>
      <c r="J39" s="92" t="s">
        <v>1100</v>
      </c>
      <c r="K39" s="93"/>
      <c r="L39" s="128"/>
      <c r="M39" s="128"/>
      <c r="N39" s="125"/>
      <c r="O39" s="128"/>
      <c r="P39" s="128"/>
      <c r="Q39" s="128"/>
      <c r="R39" s="128"/>
      <c r="S39" s="128"/>
      <c r="T39" s="128"/>
      <c r="U39" s="128"/>
      <c r="V39" s="128"/>
      <c r="W39" s="94"/>
      <c r="X39" s="99"/>
      <c r="Y39" s="99"/>
    </row>
    <row r="40" spans="1:25" ht="37.5" customHeight="1">
      <c r="A40" s="87" t="s">
        <v>532</v>
      </c>
      <c r="B40" s="88">
        <v>4</v>
      </c>
      <c r="C40" s="88">
        <v>14</v>
      </c>
      <c r="D40" s="88">
        <v>24</v>
      </c>
      <c r="E40" s="96"/>
      <c r="F40" s="97"/>
      <c r="G40" s="98"/>
      <c r="H40" s="98"/>
      <c r="I40" s="92"/>
      <c r="J40" s="92" t="s">
        <v>1101</v>
      </c>
      <c r="K40" s="93"/>
      <c r="L40" s="128"/>
      <c r="M40" s="128"/>
      <c r="N40" s="125"/>
      <c r="O40" s="128"/>
      <c r="P40" s="128"/>
      <c r="Q40" s="128"/>
      <c r="R40" s="128"/>
      <c r="S40" s="128"/>
      <c r="T40" s="128"/>
      <c r="U40" s="128"/>
      <c r="V40" s="128"/>
      <c r="W40" s="94"/>
      <c r="X40" s="99"/>
      <c r="Y40" s="99"/>
    </row>
    <row r="41" spans="1:25" ht="37.5" customHeight="1">
      <c r="A41" s="87" t="s">
        <v>532</v>
      </c>
      <c r="B41" s="88">
        <v>5</v>
      </c>
      <c r="C41" s="88">
        <v>15</v>
      </c>
      <c r="D41" s="88">
        <v>25</v>
      </c>
      <c r="E41" s="96"/>
      <c r="F41" s="97"/>
      <c r="G41" s="98"/>
      <c r="H41" s="98"/>
      <c r="I41" s="92"/>
      <c r="J41" s="92" t="s">
        <v>1102</v>
      </c>
      <c r="K41" s="93"/>
      <c r="L41" s="128"/>
      <c r="M41" s="128"/>
      <c r="N41" s="125"/>
      <c r="O41" s="128"/>
      <c r="P41" s="128"/>
      <c r="Q41" s="128"/>
      <c r="R41" s="128"/>
      <c r="S41" s="128"/>
      <c r="T41" s="128"/>
      <c r="U41" s="128"/>
      <c r="V41" s="128"/>
      <c r="W41" s="94"/>
      <c r="X41" s="99"/>
      <c r="Y41" s="99"/>
    </row>
    <row r="42" spans="1:25" ht="37.5" customHeight="1">
      <c r="A42" s="87" t="s">
        <v>532</v>
      </c>
      <c r="B42" s="88">
        <v>6</v>
      </c>
      <c r="C42" s="88">
        <v>16</v>
      </c>
      <c r="D42" s="88">
        <v>26</v>
      </c>
      <c r="E42" s="96"/>
      <c r="F42" s="97"/>
      <c r="G42" s="98"/>
      <c r="H42" s="98"/>
      <c r="I42" s="92"/>
      <c r="J42" s="92" t="s">
        <v>1103</v>
      </c>
      <c r="K42" s="93"/>
      <c r="L42" s="128"/>
      <c r="M42" s="128"/>
      <c r="N42" s="125"/>
      <c r="O42" s="128"/>
      <c r="P42" s="128"/>
      <c r="Q42" s="128"/>
      <c r="R42" s="128"/>
      <c r="S42" s="128"/>
      <c r="T42" s="128"/>
      <c r="U42" s="128"/>
      <c r="V42" s="128"/>
      <c r="W42" s="94"/>
      <c r="X42" s="99"/>
      <c r="Y42" s="99"/>
    </row>
    <row r="43" spans="1:25" ht="37.5" customHeight="1">
      <c r="A43" s="87" t="s">
        <v>532</v>
      </c>
      <c r="B43" s="88">
        <v>7</v>
      </c>
      <c r="C43" s="88">
        <v>17</v>
      </c>
      <c r="D43" s="88">
        <v>27</v>
      </c>
      <c r="E43" s="96"/>
      <c r="F43" s="97"/>
      <c r="G43" s="98"/>
      <c r="H43" s="98"/>
      <c r="I43" s="92"/>
      <c r="J43" s="92" t="s">
        <v>1104</v>
      </c>
      <c r="K43" s="93"/>
      <c r="L43" s="128"/>
      <c r="M43" s="128"/>
      <c r="N43" s="125"/>
      <c r="O43" s="128"/>
      <c r="P43" s="128"/>
      <c r="Q43" s="128"/>
      <c r="R43" s="128"/>
      <c r="S43" s="128"/>
      <c r="T43" s="128"/>
      <c r="U43" s="128"/>
      <c r="V43" s="128"/>
      <c r="W43" s="94"/>
      <c r="X43" s="99"/>
      <c r="Y43" s="99"/>
    </row>
    <row r="44" spans="1:25" ht="37.5" customHeight="1">
      <c r="A44" s="87" t="s">
        <v>532</v>
      </c>
      <c r="B44" s="88">
        <v>8</v>
      </c>
      <c r="C44" s="88">
        <v>18</v>
      </c>
      <c r="D44" s="88">
        <v>28</v>
      </c>
      <c r="E44" s="96"/>
      <c r="F44" s="97"/>
      <c r="G44" s="98"/>
      <c r="H44" s="98"/>
      <c r="I44" s="92"/>
      <c r="J44" s="92" t="s">
        <v>1105</v>
      </c>
      <c r="K44" s="93"/>
      <c r="L44" s="128"/>
      <c r="M44" s="128"/>
      <c r="N44" s="125"/>
      <c r="O44" s="128"/>
      <c r="P44" s="128"/>
      <c r="Q44" s="128"/>
      <c r="R44" s="128"/>
      <c r="S44" s="128"/>
      <c r="T44" s="128"/>
      <c r="U44" s="128"/>
      <c r="V44" s="128"/>
      <c r="W44" s="94"/>
      <c r="X44" s="99"/>
      <c r="Y44" s="99"/>
    </row>
    <row r="45" spans="1:25" ht="37.5" customHeight="1">
      <c r="A45" s="74" t="s">
        <v>1008</v>
      </c>
      <c r="B45" s="74">
        <v>1</v>
      </c>
      <c r="C45" s="74">
        <v>12</v>
      </c>
      <c r="D45" s="74">
        <v>13</v>
      </c>
      <c r="E45" s="118" t="s">
        <v>1006</v>
      </c>
      <c r="F45" s="118" t="s">
        <v>15</v>
      </c>
      <c r="G45" s="78" t="s">
        <v>40</v>
      </c>
      <c r="H45" s="78"/>
      <c r="I45" s="78" t="s">
        <v>60</v>
      </c>
      <c r="J45" s="78" t="s">
        <v>1123</v>
      </c>
      <c r="K45" s="119" t="s">
        <v>1009</v>
      </c>
      <c r="L45" s="78" t="s">
        <v>1026</v>
      </c>
      <c r="M45" s="78" t="s">
        <v>1026</v>
      </c>
      <c r="N45" s="78" t="s">
        <v>1026</v>
      </c>
      <c r="O45" s="78"/>
      <c r="P45" s="78"/>
      <c r="Q45" s="78"/>
      <c r="R45" s="78"/>
      <c r="S45" s="78"/>
      <c r="T45" s="78"/>
      <c r="U45" s="78"/>
      <c r="V45" s="78"/>
      <c r="W45" s="75" t="s">
        <v>1005</v>
      </c>
      <c r="X45" s="76"/>
      <c r="Y45" s="221" t="s">
        <v>60</v>
      </c>
    </row>
    <row r="46" spans="1:25" ht="37.5" customHeight="1">
      <c r="A46" s="74" t="s">
        <v>1008</v>
      </c>
      <c r="B46" s="74">
        <v>2</v>
      </c>
      <c r="C46" s="74">
        <v>22</v>
      </c>
      <c r="D46" s="74">
        <v>23</v>
      </c>
      <c r="E46" s="118" t="s">
        <v>1007</v>
      </c>
      <c r="F46" s="118" t="s">
        <v>45</v>
      </c>
      <c r="G46" s="78" t="s">
        <v>40</v>
      </c>
      <c r="H46" s="78" t="s">
        <v>69</v>
      </c>
      <c r="I46" s="78" t="s">
        <v>60</v>
      </c>
      <c r="J46" s="78" t="s">
        <v>1124</v>
      </c>
      <c r="K46" s="119" t="s">
        <v>1010</v>
      </c>
      <c r="L46" s="78" t="s">
        <v>1026</v>
      </c>
      <c r="M46" s="78" t="s">
        <v>1026</v>
      </c>
      <c r="N46" s="78" t="s">
        <v>1026</v>
      </c>
      <c r="O46" s="78"/>
      <c r="P46" s="78"/>
      <c r="Q46" s="78"/>
      <c r="R46" s="78"/>
      <c r="S46" s="78"/>
      <c r="T46" s="78"/>
      <c r="U46" s="78"/>
      <c r="V46" s="78"/>
      <c r="W46" s="119" t="s">
        <v>1005</v>
      </c>
      <c r="X46" s="76"/>
      <c r="Y46" s="222" t="s">
        <v>60</v>
      </c>
    </row>
    <row r="47" spans="1:25" ht="37.5" customHeight="1">
      <c r="A47" s="74" t="s">
        <v>1008</v>
      </c>
      <c r="B47" s="74">
        <v>3</v>
      </c>
      <c r="C47" s="74">
        <v>15</v>
      </c>
      <c r="D47" s="74">
        <v>16</v>
      </c>
      <c r="E47" s="118"/>
      <c r="F47" s="118"/>
      <c r="G47" s="78"/>
      <c r="H47" s="78"/>
      <c r="I47" s="78"/>
      <c r="J47" s="78" t="s">
        <v>1106</v>
      </c>
      <c r="K47" s="119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5"/>
      <c r="X47" s="76"/>
      <c r="Y47" s="222"/>
    </row>
    <row r="48" spans="1:25" ht="37.5" customHeight="1">
      <c r="A48" s="74" t="s">
        <v>1008</v>
      </c>
      <c r="B48" s="74">
        <v>4</v>
      </c>
      <c r="C48" s="74">
        <v>25</v>
      </c>
      <c r="D48" s="74">
        <v>26</v>
      </c>
      <c r="E48" s="118"/>
      <c r="F48" s="118"/>
      <c r="G48" s="78"/>
      <c r="H48" s="78"/>
      <c r="I48" s="78"/>
      <c r="J48" s="78" t="s">
        <v>1107</v>
      </c>
      <c r="K48" s="119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5"/>
      <c r="X48" s="76"/>
      <c r="Y48" s="222"/>
    </row>
    <row r="49" spans="2:12">
      <c r="B49" s="4"/>
      <c r="C49" s="4"/>
      <c r="D49" s="4"/>
    </row>
    <row r="50" spans="2:12">
      <c r="H50" s="79"/>
    </row>
    <row r="51" spans="2:12">
      <c r="H51" s="79"/>
    </row>
    <row r="52" spans="2:12">
      <c r="H52" s="79"/>
    </row>
    <row r="53" spans="2:12">
      <c r="H53" s="79"/>
    </row>
    <row r="54" spans="2:12" ht="15.6">
      <c r="K54" s="3" t="s">
        <v>284</v>
      </c>
      <c r="L54" s="151" t="s">
        <v>462</v>
      </c>
    </row>
    <row r="55" spans="2:12" ht="15.6">
      <c r="K55" s="3" t="s">
        <v>285</v>
      </c>
      <c r="L55" s="151" t="s">
        <v>462</v>
      </c>
    </row>
    <row r="56" spans="2:12">
      <c r="G56" s="207"/>
      <c r="H56" s="79"/>
      <c r="I56" s="79"/>
    </row>
    <row r="57" spans="2:12">
      <c r="G57" s="207"/>
      <c r="H57" s="79"/>
      <c r="I57" s="79"/>
    </row>
    <row r="58" spans="2:12">
      <c r="G58" s="207"/>
      <c r="H58" s="172"/>
      <c r="I58" s="172"/>
    </row>
    <row r="59" spans="2:12">
      <c r="G59" s="207"/>
      <c r="H59" s="79"/>
      <c r="I59" s="79"/>
    </row>
  </sheetData>
  <autoFilter ref="A4:Y4" xr:uid="{00000000-0009-0000-0000-000003000000}">
    <filterColumn colId="5" showButton="0"/>
    <filterColumn colId="6" showButton="0"/>
  </autoFilter>
  <mergeCells count="12">
    <mergeCell ref="I3:I4"/>
    <mergeCell ref="F3:H4"/>
    <mergeCell ref="A3:A4"/>
    <mergeCell ref="B3:B4"/>
    <mergeCell ref="C3:C4"/>
    <mergeCell ref="D3:D4"/>
    <mergeCell ref="E3:E4"/>
    <mergeCell ref="K3:K4"/>
    <mergeCell ref="L3:N3"/>
    <mergeCell ref="O3:V3"/>
    <mergeCell ref="W3:W4"/>
    <mergeCell ref="X3:X4"/>
  </mergeCells>
  <phoneticPr fontId="1" type="noConversion"/>
  <printOptions horizontalCentered="1"/>
  <pageMargins left="0.25" right="0.25" top="0.75" bottom="0.75" header="0.3" footer="0.3"/>
  <pageSetup paperSize="9" scale="2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X90"/>
  <sheetViews>
    <sheetView zoomScale="70" zoomScaleNormal="70" zoomScaleSheetLayoutView="55" workbookViewId="0">
      <pane xSplit="5" ySplit="4" topLeftCell="F41" activePane="bottomRight" state="frozen"/>
      <selection sqref="A1:A2"/>
      <selection pane="topRight" sqref="A1:A2"/>
      <selection pane="bottomLeft" sqref="A1:A2"/>
      <selection pane="bottomRight" activeCell="K51" sqref="K51"/>
    </sheetView>
  </sheetViews>
  <sheetFormatPr defaultColWidth="9" defaultRowHeight="15"/>
  <cols>
    <col min="1" max="4" width="11.59765625" style="2" customWidth="1"/>
    <col min="5" max="5" width="23.59765625" style="5" bestFit="1" customWidth="1"/>
    <col min="6" max="6" width="10.09765625" style="2" customWidth="1"/>
    <col min="7" max="8" width="10.09765625" style="4" customWidth="1"/>
    <col min="9" max="9" width="20.3984375" style="4" bestFit="1" customWidth="1"/>
    <col min="10" max="10" width="39.796875" style="2" bestFit="1" customWidth="1"/>
    <col min="11" max="11" width="72.3984375" style="3" customWidth="1"/>
    <col min="12" max="13" width="6.59765625" style="22" customWidth="1"/>
    <col min="14" max="14" width="9.59765625" style="22" customWidth="1"/>
    <col min="15" max="22" width="11.59765625" style="22" customWidth="1"/>
    <col min="23" max="23" width="121.59765625" style="6" customWidth="1"/>
    <col min="24" max="24" width="30.69921875" style="2" customWidth="1"/>
    <col min="25" max="16384" width="9" style="2"/>
  </cols>
  <sheetData>
    <row r="1" spans="1:24" ht="17.399999999999999">
      <c r="A1" s="242" t="s">
        <v>930</v>
      </c>
      <c r="B1" s="242" t="s">
        <v>932</v>
      </c>
      <c r="C1" s="242" t="s">
        <v>933</v>
      </c>
      <c r="D1" s="242" t="s">
        <v>934</v>
      </c>
      <c r="E1" s="242" t="s">
        <v>935</v>
      </c>
      <c r="F1" s="242" t="s">
        <v>936</v>
      </c>
      <c r="G1" s="242" t="s">
        <v>937</v>
      </c>
      <c r="H1" s="242" t="s">
        <v>938</v>
      </c>
      <c r="I1" s="242" t="s">
        <v>939</v>
      </c>
      <c r="J1" s="2" t="s">
        <v>929</v>
      </c>
      <c r="K1" s="242" t="s">
        <v>940</v>
      </c>
      <c r="L1" s="242" t="s">
        <v>941</v>
      </c>
      <c r="M1" s="242" t="s">
        <v>942</v>
      </c>
      <c r="N1" s="242" t="s">
        <v>943</v>
      </c>
      <c r="O1" s="242" t="s">
        <v>1072</v>
      </c>
      <c r="P1" s="242" t="s">
        <v>1073</v>
      </c>
      <c r="Q1" s="242" t="s">
        <v>1074</v>
      </c>
      <c r="R1" s="242" t="s">
        <v>1075</v>
      </c>
      <c r="S1" s="242" t="s">
        <v>1076</v>
      </c>
      <c r="T1" s="242" t="s">
        <v>1077</v>
      </c>
      <c r="U1" s="242" t="s">
        <v>1078</v>
      </c>
      <c r="V1" s="242" t="s">
        <v>1079</v>
      </c>
      <c r="W1" s="242" t="s">
        <v>944</v>
      </c>
      <c r="X1" s="242" t="s">
        <v>945</v>
      </c>
    </row>
    <row r="2" spans="1:24" ht="18" thickBot="1">
      <c r="A2" s="242" t="s">
        <v>946</v>
      </c>
      <c r="B2" s="242" t="s">
        <v>947</v>
      </c>
      <c r="C2" s="242" t="s">
        <v>947</v>
      </c>
      <c r="D2" s="242" t="s">
        <v>947</v>
      </c>
      <c r="E2" s="242" t="s">
        <v>946</v>
      </c>
      <c r="F2" s="242" t="s">
        <v>948</v>
      </c>
      <c r="G2" s="242" t="s">
        <v>948</v>
      </c>
      <c r="H2" s="242" t="s">
        <v>948</v>
      </c>
      <c r="I2" s="242" t="s">
        <v>948</v>
      </c>
      <c r="J2" s="2" t="s">
        <v>950</v>
      </c>
      <c r="K2" s="242" t="s">
        <v>946</v>
      </c>
      <c r="L2" s="242" t="s">
        <v>947</v>
      </c>
      <c r="M2" s="242" t="s">
        <v>947</v>
      </c>
      <c r="N2" s="242" t="s">
        <v>946</v>
      </c>
      <c r="O2" s="242" t="s">
        <v>951</v>
      </c>
      <c r="P2" s="242" t="s">
        <v>951</v>
      </c>
      <c r="Q2" s="242" t="s">
        <v>951</v>
      </c>
      <c r="R2" s="242" t="s">
        <v>951</v>
      </c>
      <c r="S2" s="242" t="s">
        <v>951</v>
      </c>
      <c r="T2" s="242" t="s">
        <v>951</v>
      </c>
      <c r="U2" s="242" t="s">
        <v>951</v>
      </c>
      <c r="V2" s="242" t="s">
        <v>951</v>
      </c>
      <c r="W2" s="242" t="s">
        <v>946</v>
      </c>
      <c r="X2" s="242" t="s">
        <v>946</v>
      </c>
    </row>
    <row r="3" spans="1:24" ht="31.5" customHeight="1">
      <c r="A3" s="323" t="s">
        <v>931</v>
      </c>
      <c r="B3" s="325" t="s">
        <v>5</v>
      </c>
      <c r="C3" s="325" t="s">
        <v>6</v>
      </c>
      <c r="D3" s="325" t="s">
        <v>7</v>
      </c>
      <c r="E3" s="325" t="s">
        <v>8</v>
      </c>
      <c r="F3" s="317" t="s">
        <v>9</v>
      </c>
      <c r="G3" s="318"/>
      <c r="H3" s="319"/>
      <c r="I3" s="234" t="s">
        <v>20</v>
      </c>
      <c r="J3" s="235" t="s">
        <v>1125</v>
      </c>
      <c r="K3" s="310" t="s">
        <v>34</v>
      </c>
      <c r="L3" s="312" t="s">
        <v>17</v>
      </c>
      <c r="M3" s="313"/>
      <c r="N3" s="314"/>
      <c r="O3" s="312" t="s">
        <v>21</v>
      </c>
      <c r="P3" s="313"/>
      <c r="Q3" s="313"/>
      <c r="R3" s="313"/>
      <c r="S3" s="313"/>
      <c r="T3" s="313"/>
      <c r="U3" s="313"/>
      <c r="V3" s="314"/>
      <c r="W3" s="310" t="s">
        <v>10</v>
      </c>
      <c r="X3" s="310" t="s">
        <v>11</v>
      </c>
    </row>
    <row r="4" spans="1:24" ht="31.5" customHeight="1">
      <c r="A4" s="330"/>
      <c r="B4" s="331"/>
      <c r="C4" s="332"/>
      <c r="D4" s="331"/>
      <c r="E4" s="331"/>
      <c r="F4" s="327"/>
      <c r="G4" s="328"/>
      <c r="H4" s="329"/>
      <c r="I4" s="223"/>
      <c r="J4" s="224"/>
      <c r="K4" s="326"/>
      <c r="L4" s="84" t="s">
        <v>18</v>
      </c>
      <c r="M4" s="84" t="s">
        <v>19</v>
      </c>
      <c r="N4" s="84" t="s">
        <v>20</v>
      </c>
      <c r="O4" s="84" t="s">
        <v>22</v>
      </c>
      <c r="P4" s="84" t="s">
        <v>26</v>
      </c>
      <c r="Q4" s="84" t="s">
        <v>23</v>
      </c>
      <c r="R4" s="84" t="s">
        <v>26</v>
      </c>
      <c r="S4" s="84" t="s">
        <v>24</v>
      </c>
      <c r="T4" s="84" t="s">
        <v>26</v>
      </c>
      <c r="U4" s="84" t="s">
        <v>25</v>
      </c>
      <c r="V4" s="84" t="s">
        <v>26</v>
      </c>
      <c r="W4" s="326"/>
      <c r="X4" s="326"/>
    </row>
    <row r="5" spans="1:24" ht="37.5" customHeight="1">
      <c r="A5" s="243" t="s">
        <v>698</v>
      </c>
      <c r="B5" s="243">
        <v>1</v>
      </c>
      <c r="C5" s="243">
        <v>11</v>
      </c>
      <c r="D5" s="243"/>
      <c r="E5" s="243" t="s">
        <v>609</v>
      </c>
      <c r="F5" s="244" t="s">
        <v>12</v>
      </c>
      <c r="G5" s="245" t="s">
        <v>65</v>
      </c>
      <c r="H5" s="245" t="s">
        <v>67</v>
      </c>
      <c r="I5" s="246" t="s">
        <v>927</v>
      </c>
      <c r="J5" s="246" t="s">
        <v>1139</v>
      </c>
      <c r="K5" s="247" t="s">
        <v>1226</v>
      </c>
      <c r="L5" s="248"/>
      <c r="M5" s="248"/>
      <c r="N5" s="248"/>
      <c r="O5" s="248"/>
      <c r="P5" s="248"/>
      <c r="Q5" s="248">
        <v>0</v>
      </c>
      <c r="R5" s="248">
        <v>1</v>
      </c>
      <c r="S5" s="248"/>
      <c r="T5" s="248"/>
      <c r="U5" s="248"/>
      <c r="V5" s="248"/>
      <c r="W5" s="249" t="s">
        <v>303</v>
      </c>
      <c r="X5" s="250" t="s">
        <v>64</v>
      </c>
    </row>
    <row r="6" spans="1:24" ht="37.5" customHeight="1">
      <c r="A6" s="8" t="s">
        <v>698</v>
      </c>
      <c r="B6" s="8">
        <v>2</v>
      </c>
      <c r="C6" s="8">
        <v>21</v>
      </c>
      <c r="D6" s="8"/>
      <c r="E6" s="8" t="s">
        <v>580</v>
      </c>
      <c r="F6" s="100" t="s">
        <v>12</v>
      </c>
      <c r="G6" s="101" t="s">
        <v>36</v>
      </c>
      <c r="H6" s="101" t="s">
        <v>67</v>
      </c>
      <c r="I6" s="227" t="s">
        <v>927</v>
      </c>
      <c r="J6" s="227" t="s">
        <v>1142</v>
      </c>
      <c r="K6" s="102" t="s">
        <v>577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10" t="s">
        <v>304</v>
      </c>
      <c r="X6" s="28" t="s">
        <v>55</v>
      </c>
    </row>
    <row r="7" spans="1:24" ht="37.5" customHeight="1">
      <c r="A7" s="8" t="s">
        <v>697</v>
      </c>
      <c r="B7" s="8">
        <v>3</v>
      </c>
      <c r="C7" s="8">
        <v>12</v>
      </c>
      <c r="D7" s="8"/>
      <c r="E7" s="8" t="s">
        <v>581</v>
      </c>
      <c r="F7" s="100" t="s">
        <v>12</v>
      </c>
      <c r="G7" s="24" t="s">
        <v>65</v>
      </c>
      <c r="H7" s="101" t="s">
        <v>67</v>
      </c>
      <c r="I7" s="227" t="s">
        <v>927</v>
      </c>
      <c r="J7" s="227" t="s">
        <v>1143</v>
      </c>
      <c r="K7" s="9" t="s">
        <v>926</v>
      </c>
      <c r="L7" s="24"/>
      <c r="M7" s="24"/>
      <c r="N7" s="24"/>
      <c r="O7" s="24"/>
      <c r="P7" s="24"/>
      <c r="Q7" s="24">
        <v>0</v>
      </c>
      <c r="R7" s="24">
        <v>0.1</v>
      </c>
      <c r="S7" s="24"/>
      <c r="T7" s="24"/>
      <c r="U7" s="24"/>
      <c r="V7" s="24"/>
      <c r="W7" s="102" t="s">
        <v>305</v>
      </c>
      <c r="X7" s="28" t="s">
        <v>280</v>
      </c>
    </row>
    <row r="8" spans="1:24" ht="37.5" customHeight="1">
      <c r="A8" s="8" t="s">
        <v>697</v>
      </c>
      <c r="B8" s="8">
        <v>4</v>
      </c>
      <c r="C8" s="8">
        <v>22</v>
      </c>
      <c r="D8" s="8"/>
      <c r="E8" s="8" t="s">
        <v>582</v>
      </c>
      <c r="F8" s="100" t="s">
        <v>12</v>
      </c>
      <c r="G8" s="24" t="s">
        <v>65</v>
      </c>
      <c r="H8" s="101" t="s">
        <v>67</v>
      </c>
      <c r="I8" s="227" t="s">
        <v>927</v>
      </c>
      <c r="J8" s="227" t="s">
        <v>1144</v>
      </c>
      <c r="K8" s="9" t="s">
        <v>921</v>
      </c>
      <c r="L8" s="24"/>
      <c r="M8" s="24"/>
      <c r="N8" s="24"/>
      <c r="O8" s="24"/>
      <c r="P8" s="24"/>
      <c r="Q8" s="24">
        <v>0</v>
      </c>
      <c r="R8" s="24">
        <v>0.1</v>
      </c>
      <c r="S8" s="24"/>
      <c r="T8" s="24"/>
      <c r="U8" s="24"/>
      <c r="V8" s="24"/>
      <c r="W8" s="102" t="s">
        <v>305</v>
      </c>
      <c r="X8" s="28" t="s">
        <v>280</v>
      </c>
    </row>
    <row r="9" spans="1:24" ht="37.5" customHeight="1">
      <c r="A9" s="8" t="s">
        <v>697</v>
      </c>
      <c r="B9" s="8">
        <v>5</v>
      </c>
      <c r="C9" s="8">
        <v>13</v>
      </c>
      <c r="D9" s="8"/>
      <c r="E9" s="8" t="s">
        <v>583</v>
      </c>
      <c r="F9" s="100" t="s">
        <v>12</v>
      </c>
      <c r="G9" s="24" t="s">
        <v>65</v>
      </c>
      <c r="H9" s="101" t="s">
        <v>67</v>
      </c>
      <c r="I9" s="227" t="s">
        <v>927</v>
      </c>
      <c r="J9" s="227" t="s">
        <v>1145</v>
      </c>
      <c r="K9" s="9" t="s">
        <v>922</v>
      </c>
      <c r="L9" s="24"/>
      <c r="M9" s="24"/>
      <c r="N9" s="24"/>
      <c r="O9" s="24"/>
      <c r="P9" s="24"/>
      <c r="Q9" s="24">
        <v>0</v>
      </c>
      <c r="R9" s="24">
        <v>0.1</v>
      </c>
      <c r="S9" s="24"/>
      <c r="T9" s="24"/>
      <c r="U9" s="24"/>
      <c r="V9" s="24"/>
      <c r="W9" s="102" t="s">
        <v>305</v>
      </c>
      <c r="X9" s="28" t="s">
        <v>280</v>
      </c>
    </row>
    <row r="10" spans="1:24" ht="37.5" customHeight="1">
      <c r="A10" s="8" t="s">
        <v>697</v>
      </c>
      <c r="B10" s="8">
        <v>6</v>
      </c>
      <c r="C10" s="8">
        <v>23</v>
      </c>
      <c r="D10" s="8"/>
      <c r="E10" s="8" t="s">
        <v>600</v>
      </c>
      <c r="F10" s="100" t="s">
        <v>12</v>
      </c>
      <c r="G10" s="101" t="s">
        <v>36</v>
      </c>
      <c r="H10" s="101" t="s">
        <v>67</v>
      </c>
      <c r="I10" s="227" t="s">
        <v>927</v>
      </c>
      <c r="J10" s="227" t="s">
        <v>1131</v>
      </c>
      <c r="K10" s="9" t="s">
        <v>603</v>
      </c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24"/>
      <c r="W10" s="102" t="s">
        <v>303</v>
      </c>
      <c r="X10" s="103" t="s">
        <v>52</v>
      </c>
    </row>
    <row r="11" spans="1:24" ht="37.5" customHeight="1">
      <c r="A11" s="8" t="s">
        <v>697</v>
      </c>
      <c r="B11" s="8">
        <v>7</v>
      </c>
      <c r="C11" s="8">
        <v>14</v>
      </c>
      <c r="D11" s="8"/>
      <c r="E11" s="8" t="s">
        <v>996</v>
      </c>
      <c r="F11" s="100" t="s">
        <v>12</v>
      </c>
      <c r="G11" s="101" t="s">
        <v>36</v>
      </c>
      <c r="H11" s="101" t="s">
        <v>67</v>
      </c>
      <c r="I11" s="227" t="s">
        <v>927</v>
      </c>
      <c r="J11" s="227" t="s">
        <v>1132</v>
      </c>
      <c r="K11" s="9" t="s">
        <v>605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24"/>
      <c r="W11" s="102" t="s">
        <v>303</v>
      </c>
      <c r="X11" s="103" t="s">
        <v>289</v>
      </c>
    </row>
    <row r="12" spans="1:24" ht="37.5" customHeight="1">
      <c r="A12" s="8" t="s">
        <v>697</v>
      </c>
      <c r="B12" s="8">
        <v>8</v>
      </c>
      <c r="C12" s="8">
        <v>24</v>
      </c>
      <c r="D12" s="8"/>
      <c r="E12" s="8" t="s">
        <v>602</v>
      </c>
      <c r="F12" s="100" t="s">
        <v>46</v>
      </c>
      <c r="G12" s="24" t="s">
        <v>36</v>
      </c>
      <c r="H12" s="101" t="s">
        <v>67</v>
      </c>
      <c r="I12" s="227" t="s">
        <v>927</v>
      </c>
      <c r="J12" s="227" t="s">
        <v>1133</v>
      </c>
      <c r="K12" s="9" t="s">
        <v>607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102" t="s">
        <v>303</v>
      </c>
      <c r="X12" s="28" t="s">
        <v>53</v>
      </c>
    </row>
    <row r="13" spans="1:24" ht="37.5" customHeight="1">
      <c r="A13" s="8" t="s">
        <v>697</v>
      </c>
      <c r="B13" s="8">
        <v>9</v>
      </c>
      <c r="C13" s="8">
        <v>15</v>
      </c>
      <c r="D13" s="8"/>
      <c r="E13" s="100" t="s">
        <v>674</v>
      </c>
      <c r="F13" s="100" t="s">
        <v>0</v>
      </c>
      <c r="G13" s="24" t="s">
        <v>27</v>
      </c>
      <c r="H13" s="101" t="s">
        <v>67</v>
      </c>
      <c r="I13" s="227" t="s">
        <v>927</v>
      </c>
      <c r="J13" s="227" t="s">
        <v>1149</v>
      </c>
      <c r="K13" s="9" t="s">
        <v>958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9" t="s">
        <v>311</v>
      </c>
      <c r="X13" s="28" t="s">
        <v>58</v>
      </c>
    </row>
    <row r="14" spans="1:24" ht="37.5" customHeight="1">
      <c r="A14" s="8" t="s">
        <v>697</v>
      </c>
      <c r="B14" s="8">
        <v>10</v>
      </c>
      <c r="C14" s="8">
        <v>25</v>
      </c>
      <c r="D14" s="8"/>
      <c r="E14" s="100" t="s">
        <v>675</v>
      </c>
      <c r="F14" s="100" t="s">
        <v>0</v>
      </c>
      <c r="G14" s="24" t="s">
        <v>27</v>
      </c>
      <c r="H14" s="101" t="s">
        <v>67</v>
      </c>
      <c r="I14" s="227" t="s">
        <v>927</v>
      </c>
      <c r="J14" s="227" t="s">
        <v>1150</v>
      </c>
      <c r="K14" s="9" t="s">
        <v>959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9" t="s">
        <v>311</v>
      </c>
      <c r="X14" s="28" t="s">
        <v>62</v>
      </c>
    </row>
    <row r="15" spans="1:24" ht="37.5" customHeight="1">
      <c r="A15" s="8" t="s">
        <v>697</v>
      </c>
      <c r="B15" s="8">
        <v>11</v>
      </c>
      <c r="C15" s="8">
        <v>16</v>
      </c>
      <c r="D15" s="77"/>
      <c r="E15" s="100" t="s">
        <v>677</v>
      </c>
      <c r="F15" s="100" t="s">
        <v>46</v>
      </c>
      <c r="G15" s="24" t="s">
        <v>36</v>
      </c>
      <c r="H15" s="101" t="s">
        <v>67</v>
      </c>
      <c r="I15" s="227" t="s">
        <v>927</v>
      </c>
      <c r="J15" s="227" t="s">
        <v>1151</v>
      </c>
      <c r="K15" s="9" t="s">
        <v>960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9" t="s">
        <v>302</v>
      </c>
      <c r="X15" s="28" t="s">
        <v>56</v>
      </c>
    </row>
    <row r="16" spans="1:24" ht="37.5" customHeight="1">
      <c r="A16" s="8" t="s">
        <v>697</v>
      </c>
      <c r="B16" s="8">
        <v>12</v>
      </c>
      <c r="C16" s="8">
        <v>26</v>
      </c>
      <c r="D16" s="77"/>
      <c r="E16" s="100" t="s">
        <v>678</v>
      </c>
      <c r="F16" s="100" t="s">
        <v>46</v>
      </c>
      <c r="G16" s="24" t="s">
        <v>36</v>
      </c>
      <c r="H16" s="24" t="s">
        <v>67</v>
      </c>
      <c r="I16" s="227" t="s">
        <v>927</v>
      </c>
      <c r="J16" s="227" t="s">
        <v>1152</v>
      </c>
      <c r="K16" s="9" t="s">
        <v>961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9" t="s">
        <v>301</v>
      </c>
      <c r="X16" s="28" t="s">
        <v>37</v>
      </c>
    </row>
    <row r="17" spans="1:24" ht="37.5" customHeight="1">
      <c r="A17" s="8" t="s">
        <v>697</v>
      </c>
      <c r="B17" s="8">
        <v>13</v>
      </c>
      <c r="C17" s="8">
        <v>17</v>
      </c>
      <c r="D17" s="8"/>
      <c r="E17" s="8" t="s">
        <v>661</v>
      </c>
      <c r="F17" s="100" t="s">
        <v>46</v>
      </c>
      <c r="G17" s="101" t="s">
        <v>65</v>
      </c>
      <c r="H17" s="24" t="s">
        <v>67</v>
      </c>
      <c r="I17" s="228" t="s">
        <v>60</v>
      </c>
      <c r="J17" s="228" t="s">
        <v>1146</v>
      </c>
      <c r="K17" s="9" t="s">
        <v>1048</v>
      </c>
      <c r="L17" s="101"/>
      <c r="M17" s="101"/>
      <c r="N17" s="101"/>
      <c r="O17" s="101"/>
      <c r="P17" s="101"/>
      <c r="Q17" s="101" t="s">
        <v>42</v>
      </c>
      <c r="R17" s="101" t="s">
        <v>306</v>
      </c>
      <c r="S17" s="101"/>
      <c r="T17" s="101"/>
      <c r="U17" s="101"/>
      <c r="V17" s="24"/>
      <c r="W17" s="9" t="s">
        <v>963</v>
      </c>
      <c r="X17" s="28" t="s">
        <v>219</v>
      </c>
    </row>
    <row r="18" spans="1:24" ht="37.5" customHeight="1">
      <c r="A18" s="243" t="s">
        <v>697</v>
      </c>
      <c r="B18" s="243">
        <v>14</v>
      </c>
      <c r="C18" s="243">
        <v>27</v>
      </c>
      <c r="D18" s="243"/>
      <c r="E18" s="244" t="s">
        <v>902</v>
      </c>
      <c r="F18" s="244" t="s">
        <v>46</v>
      </c>
      <c r="G18" s="248" t="s">
        <v>36</v>
      </c>
      <c r="H18" s="245" t="s">
        <v>67</v>
      </c>
      <c r="I18" s="246" t="s">
        <v>928</v>
      </c>
      <c r="J18" s="246" t="s">
        <v>1140</v>
      </c>
      <c r="K18" s="247" t="s">
        <v>1224</v>
      </c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8"/>
      <c r="W18" s="247" t="s">
        <v>962</v>
      </c>
      <c r="X18" s="250" t="s">
        <v>56</v>
      </c>
    </row>
    <row r="19" spans="1:24" ht="37.5" customHeight="1">
      <c r="A19" s="243" t="s">
        <v>697</v>
      </c>
      <c r="B19" s="243">
        <v>15</v>
      </c>
      <c r="C19" s="243">
        <v>18</v>
      </c>
      <c r="D19" s="243"/>
      <c r="E19" s="244" t="s">
        <v>903</v>
      </c>
      <c r="F19" s="244" t="s">
        <v>46</v>
      </c>
      <c r="G19" s="248" t="s">
        <v>36</v>
      </c>
      <c r="H19" s="248" t="s">
        <v>67</v>
      </c>
      <c r="I19" s="251" t="s">
        <v>928</v>
      </c>
      <c r="J19" s="251" t="s">
        <v>1141</v>
      </c>
      <c r="K19" s="247" t="s">
        <v>1225</v>
      </c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8"/>
      <c r="W19" s="247" t="s">
        <v>962</v>
      </c>
      <c r="X19" s="250" t="s">
        <v>37</v>
      </c>
    </row>
    <row r="20" spans="1:24" s="341" customFormat="1" ht="37.5" customHeight="1">
      <c r="A20" s="8" t="s">
        <v>697</v>
      </c>
      <c r="B20" s="8">
        <v>16</v>
      </c>
      <c r="C20" s="8">
        <v>28</v>
      </c>
      <c r="D20" s="8"/>
      <c r="E20" s="8"/>
      <c r="F20" s="100"/>
      <c r="G20" s="101"/>
      <c r="H20" s="24"/>
      <c r="I20" s="228" t="s">
        <v>928</v>
      </c>
      <c r="J20" s="228" t="s">
        <v>1178</v>
      </c>
      <c r="K20" s="9" t="s">
        <v>1227</v>
      </c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24"/>
      <c r="W20" s="9" t="s">
        <v>1182</v>
      </c>
      <c r="X20" s="28"/>
    </row>
    <row r="21" spans="1:24" ht="37.5" customHeight="1">
      <c r="A21" s="57" t="s">
        <v>700</v>
      </c>
      <c r="B21" s="58">
        <v>1</v>
      </c>
      <c r="C21" s="58">
        <v>11</v>
      </c>
      <c r="D21" s="58"/>
      <c r="E21" s="60" t="s">
        <v>590</v>
      </c>
      <c r="F21" s="60" t="s">
        <v>1</v>
      </c>
      <c r="G21" s="339" t="s">
        <v>36</v>
      </c>
      <c r="H21" s="339" t="s">
        <v>68</v>
      </c>
      <c r="I21" s="339" t="s">
        <v>927</v>
      </c>
      <c r="J21" s="339" t="s">
        <v>1134</v>
      </c>
      <c r="K21" s="340" t="s">
        <v>593</v>
      </c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40" t="s">
        <v>220</v>
      </c>
      <c r="X21" s="340" t="s">
        <v>232</v>
      </c>
    </row>
    <row r="22" spans="1:24" ht="37.5" customHeight="1">
      <c r="A22" s="57" t="s">
        <v>700</v>
      </c>
      <c r="B22" s="66">
        <v>2</v>
      </c>
      <c r="C22" s="66">
        <v>21</v>
      </c>
      <c r="D22" s="66"/>
      <c r="E22" s="66" t="s">
        <v>997</v>
      </c>
      <c r="F22" s="67" t="s">
        <v>1</v>
      </c>
      <c r="G22" s="73" t="s">
        <v>27</v>
      </c>
      <c r="H22" s="73" t="s">
        <v>68</v>
      </c>
      <c r="I22" s="73" t="s">
        <v>927</v>
      </c>
      <c r="J22" s="73" t="s">
        <v>1135</v>
      </c>
      <c r="K22" s="65" t="s">
        <v>595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72" t="s">
        <v>237</v>
      </c>
      <c r="X22" s="104" t="s">
        <v>233</v>
      </c>
    </row>
    <row r="23" spans="1:24" ht="37.5" customHeight="1">
      <c r="A23" s="57" t="s">
        <v>699</v>
      </c>
      <c r="B23" s="66">
        <v>3</v>
      </c>
      <c r="C23" s="66">
        <v>12</v>
      </c>
      <c r="D23" s="66"/>
      <c r="E23" s="66" t="s">
        <v>592</v>
      </c>
      <c r="F23" s="67" t="s">
        <v>1</v>
      </c>
      <c r="G23" s="68" t="s">
        <v>36</v>
      </c>
      <c r="H23" s="73" t="s">
        <v>68</v>
      </c>
      <c r="I23" s="73" t="s">
        <v>927</v>
      </c>
      <c r="J23" s="73" t="s">
        <v>1136</v>
      </c>
      <c r="K23" s="65" t="s">
        <v>596</v>
      </c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72" t="s">
        <v>237</v>
      </c>
      <c r="X23" s="70" t="s">
        <v>234</v>
      </c>
    </row>
    <row r="24" spans="1:24" ht="37.5" customHeight="1">
      <c r="A24" s="57" t="s">
        <v>699</v>
      </c>
      <c r="B24" s="66">
        <v>4</v>
      </c>
      <c r="C24" s="66">
        <v>22</v>
      </c>
      <c r="D24" s="66"/>
      <c r="E24" s="59" t="s">
        <v>598</v>
      </c>
      <c r="F24" s="60" t="s">
        <v>38</v>
      </c>
      <c r="G24" s="61" t="s">
        <v>36</v>
      </c>
      <c r="H24" s="61" t="s">
        <v>68</v>
      </c>
      <c r="I24" s="61" t="s">
        <v>60</v>
      </c>
      <c r="J24" s="61" t="s">
        <v>1147</v>
      </c>
      <c r="K24" s="62" t="s">
        <v>1042</v>
      </c>
      <c r="L24" s="61"/>
      <c r="M24" s="63"/>
      <c r="N24" s="61"/>
      <c r="O24" s="61"/>
      <c r="P24" s="61"/>
      <c r="Q24" s="61"/>
      <c r="R24" s="61"/>
      <c r="S24" s="61"/>
      <c r="T24" s="61"/>
      <c r="U24" s="61"/>
      <c r="V24" s="61"/>
      <c r="W24" s="62" t="s">
        <v>220</v>
      </c>
      <c r="X24" s="64" t="s">
        <v>314</v>
      </c>
    </row>
    <row r="25" spans="1:24" ht="37.5" customHeight="1">
      <c r="A25" s="57" t="s">
        <v>699</v>
      </c>
      <c r="B25" s="66">
        <v>5</v>
      </c>
      <c r="C25" s="66">
        <v>13</v>
      </c>
      <c r="D25" s="66"/>
      <c r="E25" s="59" t="s">
        <v>652</v>
      </c>
      <c r="F25" s="67" t="s">
        <v>38</v>
      </c>
      <c r="G25" s="68" t="s">
        <v>36</v>
      </c>
      <c r="H25" s="61" t="s">
        <v>67</v>
      </c>
      <c r="I25" s="61" t="s">
        <v>60</v>
      </c>
      <c r="J25" s="61" t="s">
        <v>1157</v>
      </c>
      <c r="K25" s="65" t="s">
        <v>1043</v>
      </c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2" t="s">
        <v>971</v>
      </c>
      <c r="X25" s="70" t="s">
        <v>58</v>
      </c>
    </row>
    <row r="26" spans="1:24" ht="37.5" customHeight="1">
      <c r="A26" s="57" t="s">
        <v>699</v>
      </c>
      <c r="B26" s="66">
        <v>6</v>
      </c>
      <c r="C26" s="66">
        <v>23</v>
      </c>
      <c r="D26" s="66"/>
      <c r="E26" s="59" t="s">
        <v>653</v>
      </c>
      <c r="F26" s="67" t="s">
        <v>38</v>
      </c>
      <c r="G26" s="68" t="s">
        <v>36</v>
      </c>
      <c r="H26" s="61" t="s">
        <v>67</v>
      </c>
      <c r="I26" s="61" t="s">
        <v>60</v>
      </c>
      <c r="J26" s="61" t="s">
        <v>1175</v>
      </c>
      <c r="K26" s="65" t="s">
        <v>1044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2" t="s">
        <v>971</v>
      </c>
      <c r="X26" s="70" t="s">
        <v>58</v>
      </c>
    </row>
    <row r="27" spans="1:24" ht="37.5" customHeight="1">
      <c r="A27" s="57" t="s">
        <v>699</v>
      </c>
      <c r="B27" s="66">
        <v>7</v>
      </c>
      <c r="C27" s="66">
        <v>14</v>
      </c>
      <c r="D27" s="58"/>
      <c r="E27" s="59" t="s">
        <v>654</v>
      </c>
      <c r="F27" s="60" t="s">
        <v>38</v>
      </c>
      <c r="G27" s="61" t="s">
        <v>36</v>
      </c>
      <c r="H27" s="61" t="s">
        <v>67</v>
      </c>
      <c r="I27" s="61" t="s">
        <v>60</v>
      </c>
      <c r="J27" s="61" t="s">
        <v>1174</v>
      </c>
      <c r="K27" s="62" t="s">
        <v>1045</v>
      </c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2" t="s">
        <v>971</v>
      </c>
      <c r="X27" s="64" t="s">
        <v>58</v>
      </c>
    </row>
    <row r="28" spans="1:24" ht="37.5" customHeight="1">
      <c r="A28" s="57" t="s">
        <v>699</v>
      </c>
      <c r="B28" s="66">
        <v>8</v>
      </c>
      <c r="C28" s="66">
        <v>24</v>
      </c>
      <c r="D28" s="66"/>
      <c r="E28" s="59" t="s">
        <v>655</v>
      </c>
      <c r="F28" s="67" t="s">
        <v>38</v>
      </c>
      <c r="G28" s="68" t="s">
        <v>36</v>
      </c>
      <c r="H28" s="61" t="s">
        <v>67</v>
      </c>
      <c r="I28" s="61" t="s">
        <v>60</v>
      </c>
      <c r="J28" s="61" t="s">
        <v>1173</v>
      </c>
      <c r="K28" s="62" t="s">
        <v>1046</v>
      </c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2" t="s">
        <v>971</v>
      </c>
      <c r="X28" s="70" t="s">
        <v>58</v>
      </c>
    </row>
    <row r="29" spans="1:24" ht="37.5" customHeight="1">
      <c r="A29" s="57" t="s">
        <v>699</v>
      </c>
      <c r="B29" s="66">
        <v>9</v>
      </c>
      <c r="C29" s="66">
        <v>15</v>
      </c>
      <c r="D29" s="71"/>
      <c r="E29" s="59" t="s">
        <v>656</v>
      </c>
      <c r="F29" s="67" t="s">
        <v>38</v>
      </c>
      <c r="G29" s="68" t="s">
        <v>36</v>
      </c>
      <c r="H29" s="61" t="s">
        <v>67</v>
      </c>
      <c r="I29" s="61" t="s">
        <v>60</v>
      </c>
      <c r="J29" s="61" t="s">
        <v>1172</v>
      </c>
      <c r="K29" s="62" t="s">
        <v>1047</v>
      </c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2" t="s">
        <v>971</v>
      </c>
      <c r="X29" s="70" t="s">
        <v>58</v>
      </c>
    </row>
    <row r="30" spans="1:24" ht="37.5" customHeight="1">
      <c r="A30" s="57" t="s">
        <v>699</v>
      </c>
      <c r="B30" s="66">
        <v>10</v>
      </c>
      <c r="C30" s="66">
        <v>25</v>
      </c>
      <c r="D30" s="66"/>
      <c r="E30" s="66" t="s">
        <v>673</v>
      </c>
      <c r="F30" s="67" t="s">
        <v>38</v>
      </c>
      <c r="G30" s="73" t="s">
        <v>47</v>
      </c>
      <c r="H30" s="68" t="s">
        <v>67</v>
      </c>
      <c r="I30" s="68" t="s">
        <v>927</v>
      </c>
      <c r="J30" s="68" t="s">
        <v>1137</v>
      </c>
      <c r="K30" s="65" t="s">
        <v>964</v>
      </c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65" t="s">
        <v>970</v>
      </c>
      <c r="X30" s="70" t="s">
        <v>57</v>
      </c>
    </row>
    <row r="31" spans="1:24" ht="37.5" customHeight="1">
      <c r="A31" s="57" t="s">
        <v>699</v>
      </c>
      <c r="B31" s="66">
        <v>11</v>
      </c>
      <c r="C31" s="66">
        <v>16</v>
      </c>
      <c r="D31" s="66"/>
      <c r="E31" s="66" t="s">
        <v>676</v>
      </c>
      <c r="F31" s="67" t="s">
        <v>38</v>
      </c>
      <c r="G31" s="68" t="s">
        <v>47</v>
      </c>
      <c r="H31" s="68" t="s">
        <v>67</v>
      </c>
      <c r="I31" s="68" t="s">
        <v>927</v>
      </c>
      <c r="J31" s="68" t="s">
        <v>1138</v>
      </c>
      <c r="K31" s="65" t="s">
        <v>965</v>
      </c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9" t="s">
        <v>969</v>
      </c>
      <c r="X31" s="70" t="s">
        <v>57</v>
      </c>
    </row>
    <row r="32" spans="1:24" ht="37.5" customHeight="1">
      <c r="A32" s="57" t="s">
        <v>699</v>
      </c>
      <c r="B32" s="66">
        <v>12</v>
      </c>
      <c r="C32" s="66">
        <v>26</v>
      </c>
      <c r="D32" s="66"/>
      <c r="E32" s="66" t="s">
        <v>683</v>
      </c>
      <c r="F32" s="67" t="s">
        <v>38</v>
      </c>
      <c r="G32" s="68" t="s">
        <v>36</v>
      </c>
      <c r="H32" s="68" t="s">
        <v>67</v>
      </c>
      <c r="I32" s="68" t="s">
        <v>927</v>
      </c>
      <c r="J32" s="68" t="s">
        <v>1171</v>
      </c>
      <c r="K32" s="65" t="s">
        <v>966</v>
      </c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72" t="s">
        <v>968</v>
      </c>
      <c r="X32" s="104" t="s">
        <v>56</v>
      </c>
    </row>
    <row r="33" spans="1:24" ht="37.5" customHeight="1">
      <c r="A33" s="252" t="s">
        <v>699</v>
      </c>
      <c r="B33" s="253">
        <v>13</v>
      </c>
      <c r="C33" s="253">
        <v>17</v>
      </c>
      <c r="D33" s="254"/>
      <c r="E33" s="253" t="s">
        <v>901</v>
      </c>
      <c r="F33" s="255" t="s">
        <v>38</v>
      </c>
      <c r="G33" s="256" t="s">
        <v>47</v>
      </c>
      <c r="H33" s="256" t="s">
        <v>67</v>
      </c>
      <c r="I33" s="256" t="s">
        <v>928</v>
      </c>
      <c r="J33" s="256" t="s">
        <v>1165</v>
      </c>
      <c r="K33" s="257" t="s">
        <v>1220</v>
      </c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8" t="s">
        <v>967</v>
      </c>
      <c r="X33" s="259" t="s">
        <v>57</v>
      </c>
    </row>
    <row r="34" spans="1:24" ht="37.5" customHeight="1">
      <c r="A34" s="57" t="s">
        <v>699</v>
      </c>
      <c r="B34" s="66">
        <v>14</v>
      </c>
      <c r="C34" s="66">
        <v>27</v>
      </c>
      <c r="D34" s="58"/>
      <c r="E34" s="59"/>
      <c r="F34" s="60"/>
      <c r="G34" s="61"/>
      <c r="H34" s="61"/>
      <c r="I34" s="61" t="s">
        <v>928</v>
      </c>
      <c r="J34" s="61" t="s">
        <v>1176</v>
      </c>
      <c r="K34" s="62" t="s">
        <v>1228</v>
      </c>
      <c r="L34" s="61"/>
      <c r="M34" s="63"/>
      <c r="N34" s="61"/>
      <c r="O34" s="61"/>
      <c r="P34" s="61"/>
      <c r="Q34" s="61"/>
      <c r="R34" s="61"/>
      <c r="S34" s="61"/>
      <c r="T34" s="61"/>
      <c r="U34" s="61"/>
      <c r="V34" s="61"/>
      <c r="W34" s="62" t="s">
        <v>1177</v>
      </c>
      <c r="X34" s="64"/>
    </row>
    <row r="35" spans="1:24" ht="37.5" customHeight="1">
      <c r="A35" s="57" t="s">
        <v>699</v>
      </c>
      <c r="B35" s="66">
        <v>15</v>
      </c>
      <c r="C35" s="66">
        <v>18</v>
      </c>
      <c r="D35" s="58"/>
      <c r="E35" s="59"/>
      <c r="F35" s="60"/>
      <c r="G35" s="61"/>
      <c r="H35" s="61"/>
      <c r="I35" s="61"/>
      <c r="J35" s="61" t="s">
        <v>1127</v>
      </c>
      <c r="K35" s="62"/>
      <c r="L35" s="61"/>
      <c r="M35" s="63"/>
      <c r="N35" s="61"/>
      <c r="O35" s="61"/>
      <c r="P35" s="61"/>
      <c r="Q35" s="61"/>
      <c r="R35" s="61"/>
      <c r="S35" s="61"/>
      <c r="T35" s="61"/>
      <c r="U35" s="61"/>
      <c r="V35" s="61"/>
      <c r="W35" s="62"/>
      <c r="X35" s="64"/>
    </row>
    <row r="36" spans="1:24" ht="37.5" customHeight="1">
      <c r="A36" s="57" t="s">
        <v>699</v>
      </c>
      <c r="B36" s="66">
        <v>16</v>
      </c>
      <c r="C36" s="66">
        <v>28</v>
      </c>
      <c r="D36" s="58"/>
      <c r="E36" s="59"/>
      <c r="F36" s="60"/>
      <c r="G36" s="61"/>
      <c r="H36" s="61"/>
      <c r="I36" s="61"/>
      <c r="J36" s="61" t="s">
        <v>1128</v>
      </c>
      <c r="K36" s="62"/>
      <c r="L36" s="61"/>
      <c r="M36" s="63"/>
      <c r="N36" s="61"/>
      <c r="O36" s="61"/>
      <c r="P36" s="61"/>
      <c r="Q36" s="61"/>
      <c r="R36" s="61"/>
      <c r="S36" s="61"/>
      <c r="T36" s="61"/>
      <c r="U36" s="61"/>
      <c r="V36" s="61"/>
      <c r="W36" s="62"/>
      <c r="X36" s="64"/>
    </row>
    <row r="37" spans="1:24" ht="37.5" customHeight="1">
      <c r="A37" s="105" t="s">
        <v>702</v>
      </c>
      <c r="B37" s="105">
        <v>1</v>
      </c>
      <c r="C37" s="88">
        <v>11</v>
      </c>
      <c r="D37" s="88">
        <v>21</v>
      </c>
      <c r="E37" s="106" t="s">
        <v>686</v>
      </c>
      <c r="F37" s="106" t="s">
        <v>39</v>
      </c>
      <c r="G37" s="107" t="s">
        <v>40</v>
      </c>
      <c r="H37" s="107" t="s">
        <v>67</v>
      </c>
      <c r="I37" s="107" t="s">
        <v>927</v>
      </c>
      <c r="J37" s="107" t="s">
        <v>1159</v>
      </c>
      <c r="K37" s="108" t="s">
        <v>981</v>
      </c>
      <c r="L37" s="107" t="s">
        <v>42</v>
      </c>
      <c r="M37" s="107" t="s">
        <v>218</v>
      </c>
      <c r="N37" s="107" t="s">
        <v>30</v>
      </c>
      <c r="O37" s="107"/>
      <c r="P37" s="107"/>
      <c r="Q37" s="107"/>
      <c r="R37" s="107"/>
      <c r="S37" s="107"/>
      <c r="T37" s="107"/>
      <c r="U37" s="107"/>
      <c r="V37" s="107"/>
      <c r="W37" s="108" t="s">
        <v>972</v>
      </c>
      <c r="X37" s="109"/>
    </row>
    <row r="38" spans="1:24" ht="37.5" customHeight="1">
      <c r="A38" s="105" t="s">
        <v>702</v>
      </c>
      <c r="B38" s="105">
        <v>2</v>
      </c>
      <c r="C38" s="88">
        <v>12</v>
      </c>
      <c r="D38" s="88">
        <v>22</v>
      </c>
      <c r="E38" s="106" t="s">
        <v>689</v>
      </c>
      <c r="F38" s="106" t="s">
        <v>13</v>
      </c>
      <c r="G38" s="107" t="s">
        <v>14</v>
      </c>
      <c r="H38" s="107" t="s">
        <v>67</v>
      </c>
      <c r="I38" s="107" t="s">
        <v>927</v>
      </c>
      <c r="J38" s="107" t="s">
        <v>1160</v>
      </c>
      <c r="K38" s="108" t="s">
        <v>982</v>
      </c>
      <c r="L38" s="107" t="s">
        <v>42</v>
      </c>
      <c r="M38" s="107" t="s">
        <v>44</v>
      </c>
      <c r="N38" s="107" t="s">
        <v>30</v>
      </c>
      <c r="O38" s="107" t="s">
        <v>246</v>
      </c>
      <c r="P38" s="107" t="s">
        <v>49</v>
      </c>
      <c r="Q38" s="107" t="s">
        <v>247</v>
      </c>
      <c r="R38" s="107" t="s">
        <v>49</v>
      </c>
      <c r="S38" s="107" t="s">
        <v>248</v>
      </c>
      <c r="T38" s="107" t="s">
        <v>49</v>
      </c>
      <c r="U38" s="107" t="s">
        <v>249</v>
      </c>
      <c r="V38" s="107" t="s">
        <v>35</v>
      </c>
      <c r="W38" s="108" t="s">
        <v>973</v>
      </c>
      <c r="X38" s="109"/>
    </row>
    <row r="39" spans="1:24" ht="37.5" customHeight="1">
      <c r="A39" s="105" t="s">
        <v>701</v>
      </c>
      <c r="B39" s="105">
        <v>3</v>
      </c>
      <c r="C39" s="88">
        <v>13</v>
      </c>
      <c r="D39" s="88">
        <v>23</v>
      </c>
      <c r="E39" s="106" t="s">
        <v>690</v>
      </c>
      <c r="F39" s="106" t="s">
        <v>13</v>
      </c>
      <c r="G39" s="107" t="s">
        <v>14</v>
      </c>
      <c r="H39" s="107" t="s">
        <v>67</v>
      </c>
      <c r="I39" s="107" t="s">
        <v>927</v>
      </c>
      <c r="J39" s="107" t="s">
        <v>1161</v>
      </c>
      <c r="K39" s="108" t="s">
        <v>983</v>
      </c>
      <c r="L39" s="107" t="s">
        <v>42</v>
      </c>
      <c r="M39" s="107" t="s">
        <v>44</v>
      </c>
      <c r="N39" s="107" t="s">
        <v>30</v>
      </c>
      <c r="O39" s="107" t="s">
        <v>246</v>
      </c>
      <c r="P39" s="107" t="s">
        <v>49</v>
      </c>
      <c r="Q39" s="107" t="s">
        <v>247</v>
      </c>
      <c r="R39" s="107" t="s">
        <v>49</v>
      </c>
      <c r="S39" s="107" t="s">
        <v>249</v>
      </c>
      <c r="T39" s="107" t="s">
        <v>49</v>
      </c>
      <c r="U39" s="107" t="s">
        <v>250</v>
      </c>
      <c r="V39" s="107" t="s">
        <v>306</v>
      </c>
      <c r="W39" s="108" t="s">
        <v>1211</v>
      </c>
      <c r="X39" s="109"/>
    </row>
    <row r="40" spans="1:24" ht="37.5" customHeight="1">
      <c r="A40" s="105" t="s">
        <v>701</v>
      </c>
      <c r="B40" s="105">
        <v>4</v>
      </c>
      <c r="C40" s="88">
        <v>14</v>
      </c>
      <c r="D40" s="88">
        <v>24</v>
      </c>
      <c r="E40" s="106" t="s">
        <v>691</v>
      </c>
      <c r="F40" s="106" t="s">
        <v>13</v>
      </c>
      <c r="G40" s="107" t="s">
        <v>14</v>
      </c>
      <c r="H40" s="107" t="s">
        <v>67</v>
      </c>
      <c r="I40" s="107" t="s">
        <v>927</v>
      </c>
      <c r="J40" s="107" t="s">
        <v>1162</v>
      </c>
      <c r="K40" s="108" t="s">
        <v>984</v>
      </c>
      <c r="L40" s="107" t="s">
        <v>42</v>
      </c>
      <c r="M40" s="107" t="s">
        <v>44</v>
      </c>
      <c r="N40" s="107" t="s">
        <v>63</v>
      </c>
      <c r="O40" s="107" t="s">
        <v>246</v>
      </c>
      <c r="P40" s="107" t="s">
        <v>49</v>
      </c>
      <c r="Q40" s="107" t="s">
        <v>247</v>
      </c>
      <c r="R40" s="107" t="s">
        <v>49</v>
      </c>
      <c r="S40" s="107" t="s">
        <v>251</v>
      </c>
      <c r="T40" s="107" t="s">
        <v>49</v>
      </c>
      <c r="U40" s="107" t="s">
        <v>218</v>
      </c>
      <c r="V40" s="107" t="s">
        <v>306</v>
      </c>
      <c r="W40" s="108" t="s">
        <v>1212</v>
      </c>
      <c r="X40" s="110"/>
    </row>
    <row r="41" spans="1:24" ht="37.5" customHeight="1">
      <c r="A41" s="105" t="s">
        <v>701</v>
      </c>
      <c r="B41" s="105">
        <v>5</v>
      </c>
      <c r="C41" s="88">
        <v>15</v>
      </c>
      <c r="D41" s="88">
        <v>25</v>
      </c>
      <c r="E41" s="106" t="s">
        <v>688</v>
      </c>
      <c r="F41" s="106" t="s">
        <v>13</v>
      </c>
      <c r="G41" s="107" t="s">
        <v>14</v>
      </c>
      <c r="H41" s="107" t="s">
        <v>67</v>
      </c>
      <c r="I41" s="107" t="s">
        <v>927</v>
      </c>
      <c r="J41" s="107" t="s">
        <v>1163</v>
      </c>
      <c r="K41" s="108" t="s">
        <v>985</v>
      </c>
      <c r="L41" s="107" t="s">
        <v>31</v>
      </c>
      <c r="M41" s="107" t="s">
        <v>32</v>
      </c>
      <c r="N41" s="107" t="s">
        <v>29</v>
      </c>
      <c r="O41" s="107"/>
      <c r="P41" s="107"/>
      <c r="Q41" s="107" t="s">
        <v>1027</v>
      </c>
      <c r="R41" s="107" t="s">
        <v>1028</v>
      </c>
      <c r="S41" s="107" t="s">
        <v>240</v>
      </c>
      <c r="T41" s="107" t="s">
        <v>35</v>
      </c>
      <c r="U41" s="107" t="s">
        <v>241</v>
      </c>
      <c r="V41" s="107" t="s">
        <v>35</v>
      </c>
      <c r="W41" s="108" t="s">
        <v>974</v>
      </c>
      <c r="X41" s="109"/>
    </row>
    <row r="42" spans="1:24" ht="37.5" customHeight="1">
      <c r="A42" s="105" t="s">
        <v>701</v>
      </c>
      <c r="B42" s="105">
        <v>6</v>
      </c>
      <c r="C42" s="88">
        <v>16</v>
      </c>
      <c r="D42" s="88">
        <v>26</v>
      </c>
      <c r="E42" s="112" t="s">
        <v>998</v>
      </c>
      <c r="F42" s="106" t="s">
        <v>13</v>
      </c>
      <c r="G42" s="107" t="s">
        <v>14</v>
      </c>
      <c r="H42" s="107" t="s">
        <v>67</v>
      </c>
      <c r="I42" s="107" t="s">
        <v>927</v>
      </c>
      <c r="J42" s="107" t="s">
        <v>1164</v>
      </c>
      <c r="K42" s="113" t="s">
        <v>986</v>
      </c>
      <c r="L42" s="107">
        <v>0</v>
      </c>
      <c r="M42" s="107">
        <v>16</v>
      </c>
      <c r="N42" s="107" t="s">
        <v>239</v>
      </c>
      <c r="O42" s="114">
        <v>3.5</v>
      </c>
      <c r="P42" s="114">
        <v>5</v>
      </c>
      <c r="Q42" s="114">
        <v>4</v>
      </c>
      <c r="R42" s="114">
        <v>5</v>
      </c>
      <c r="S42" s="114">
        <v>7.5</v>
      </c>
      <c r="T42" s="114">
        <v>5</v>
      </c>
      <c r="U42" s="114">
        <v>8</v>
      </c>
      <c r="V42" s="114">
        <v>5</v>
      </c>
      <c r="W42" s="108" t="s">
        <v>975</v>
      </c>
      <c r="X42" s="115"/>
    </row>
    <row r="43" spans="1:24" s="338" customFormat="1" ht="37.5" customHeight="1">
      <c r="A43" s="105" t="s">
        <v>701</v>
      </c>
      <c r="B43" s="105">
        <v>7</v>
      </c>
      <c r="C43" s="105">
        <v>17</v>
      </c>
      <c r="D43" s="105">
        <v>27</v>
      </c>
      <c r="E43" s="106"/>
      <c r="F43" s="106"/>
      <c r="G43" s="107"/>
      <c r="H43" s="107"/>
      <c r="I43" s="107"/>
      <c r="J43" s="107" t="s">
        <v>1229</v>
      </c>
      <c r="K43" s="108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8"/>
      <c r="X43" s="109"/>
    </row>
    <row r="44" spans="1:24" s="282" customFormat="1" ht="37.5" customHeight="1">
      <c r="A44" s="276" t="s">
        <v>701</v>
      </c>
      <c r="B44" s="276">
        <v>8</v>
      </c>
      <c r="C44" s="277">
        <v>18</v>
      </c>
      <c r="D44" s="277">
        <v>28</v>
      </c>
      <c r="E44" s="278" t="s">
        <v>1202</v>
      </c>
      <c r="F44" s="278" t="s">
        <v>39</v>
      </c>
      <c r="G44" s="279" t="s">
        <v>40</v>
      </c>
      <c r="H44" s="279" t="s">
        <v>67</v>
      </c>
      <c r="I44" s="279" t="s">
        <v>1188</v>
      </c>
      <c r="J44" s="279" t="s">
        <v>1190</v>
      </c>
      <c r="K44" s="280" t="s">
        <v>1213</v>
      </c>
      <c r="L44" s="279" t="s">
        <v>42</v>
      </c>
      <c r="M44" s="279" t="s">
        <v>44</v>
      </c>
      <c r="N44" s="279" t="s">
        <v>30</v>
      </c>
      <c r="O44" s="279"/>
      <c r="P44" s="279"/>
      <c r="Q44" s="279"/>
      <c r="R44" s="279"/>
      <c r="S44" s="279"/>
      <c r="T44" s="279"/>
      <c r="U44" s="279"/>
      <c r="V44" s="279"/>
      <c r="W44" s="280" t="s">
        <v>1221</v>
      </c>
      <c r="X44" s="281" t="s">
        <v>1210</v>
      </c>
    </row>
    <row r="45" spans="1:24" ht="37.5" customHeight="1">
      <c r="A45" s="253" t="s">
        <v>704</v>
      </c>
      <c r="B45" s="253">
        <v>1</v>
      </c>
      <c r="C45" s="243">
        <v>11</v>
      </c>
      <c r="D45" s="243">
        <v>21</v>
      </c>
      <c r="E45" s="260" t="s">
        <v>679</v>
      </c>
      <c r="F45" s="260" t="s">
        <v>13</v>
      </c>
      <c r="G45" s="261" t="s">
        <v>14</v>
      </c>
      <c r="H45" s="261" t="s">
        <v>67</v>
      </c>
      <c r="I45" s="261" t="s">
        <v>927</v>
      </c>
      <c r="J45" s="261" t="s">
        <v>1148</v>
      </c>
      <c r="K45" s="262" t="s">
        <v>1223</v>
      </c>
      <c r="L45" s="261" t="s">
        <v>31</v>
      </c>
      <c r="M45" s="261" t="s">
        <v>32</v>
      </c>
      <c r="N45" s="261" t="s">
        <v>29</v>
      </c>
      <c r="O45" s="261"/>
      <c r="P45" s="261"/>
      <c r="Q45" s="261"/>
      <c r="R45" s="261"/>
      <c r="S45" s="261" t="s">
        <v>242</v>
      </c>
      <c r="T45" s="261" t="s">
        <v>306</v>
      </c>
      <c r="U45" s="261" t="s">
        <v>243</v>
      </c>
      <c r="V45" s="261" t="s">
        <v>255</v>
      </c>
      <c r="W45" s="262" t="s">
        <v>976</v>
      </c>
      <c r="X45" s="263"/>
    </row>
    <row r="46" spans="1:24" ht="37.5" customHeight="1">
      <c r="A46" s="105" t="s">
        <v>704</v>
      </c>
      <c r="B46" s="105">
        <v>2</v>
      </c>
      <c r="C46" s="88">
        <v>12</v>
      </c>
      <c r="D46" s="88">
        <v>22</v>
      </c>
      <c r="E46" s="106" t="s">
        <v>682</v>
      </c>
      <c r="F46" s="106" t="s">
        <v>13</v>
      </c>
      <c r="G46" s="107" t="s">
        <v>14</v>
      </c>
      <c r="H46" s="107" t="s">
        <v>67</v>
      </c>
      <c r="I46" s="107" t="s">
        <v>927</v>
      </c>
      <c r="J46" s="107" t="s">
        <v>1156</v>
      </c>
      <c r="K46" s="108" t="s">
        <v>999</v>
      </c>
      <c r="L46" s="107" t="s">
        <v>31</v>
      </c>
      <c r="M46" s="107" t="s">
        <v>32</v>
      </c>
      <c r="N46" s="107" t="s">
        <v>29</v>
      </c>
      <c r="O46" s="107"/>
      <c r="P46" s="107"/>
      <c r="Q46" s="107" t="s">
        <v>50</v>
      </c>
      <c r="R46" s="107" t="s">
        <v>35</v>
      </c>
      <c r="S46" s="107" t="s">
        <v>244</v>
      </c>
      <c r="T46" s="107" t="s">
        <v>306</v>
      </c>
      <c r="U46" s="107" t="s">
        <v>245</v>
      </c>
      <c r="V46" s="107" t="s">
        <v>255</v>
      </c>
      <c r="W46" s="108" t="s">
        <v>977</v>
      </c>
      <c r="X46" s="109"/>
    </row>
    <row r="47" spans="1:24" ht="37.5" customHeight="1">
      <c r="A47" s="105" t="s">
        <v>703</v>
      </c>
      <c r="B47" s="105">
        <v>3</v>
      </c>
      <c r="C47" s="88">
        <v>13</v>
      </c>
      <c r="D47" s="88">
        <v>23</v>
      </c>
      <c r="E47" s="106" t="s">
        <v>681</v>
      </c>
      <c r="F47" s="106" t="s">
        <v>39</v>
      </c>
      <c r="G47" s="107" t="s">
        <v>40</v>
      </c>
      <c r="H47" s="107" t="s">
        <v>67</v>
      </c>
      <c r="I47" s="107" t="s">
        <v>927</v>
      </c>
      <c r="J47" s="107" t="s">
        <v>1155</v>
      </c>
      <c r="K47" s="108" t="s">
        <v>987</v>
      </c>
      <c r="L47" s="107">
        <v>0</v>
      </c>
      <c r="M47" s="107">
        <v>100</v>
      </c>
      <c r="N47" s="107" t="s">
        <v>41</v>
      </c>
      <c r="O47" s="107"/>
      <c r="P47" s="107"/>
      <c r="Q47" s="107"/>
      <c r="R47" s="107"/>
      <c r="S47" s="107"/>
      <c r="T47" s="107"/>
      <c r="U47" s="107"/>
      <c r="V47" s="107"/>
      <c r="W47" s="108" t="s">
        <v>978</v>
      </c>
      <c r="X47" s="111"/>
    </row>
    <row r="48" spans="1:24" s="282" customFormat="1" ht="37.5" customHeight="1">
      <c r="A48" s="276" t="s">
        <v>703</v>
      </c>
      <c r="B48" s="276">
        <v>4</v>
      </c>
      <c r="C48" s="277">
        <v>14</v>
      </c>
      <c r="D48" s="277">
        <v>24</v>
      </c>
      <c r="E48" s="278" t="s">
        <v>1196</v>
      </c>
      <c r="F48" s="278" t="s">
        <v>39</v>
      </c>
      <c r="G48" s="279" t="s">
        <v>40</v>
      </c>
      <c r="H48" s="279" t="s">
        <v>67</v>
      </c>
      <c r="I48" s="279" t="s">
        <v>1188</v>
      </c>
      <c r="J48" s="279" t="s">
        <v>1189</v>
      </c>
      <c r="K48" s="280" t="s">
        <v>1214</v>
      </c>
      <c r="L48" s="279" t="s">
        <v>31</v>
      </c>
      <c r="M48" s="279" t="s">
        <v>1195</v>
      </c>
      <c r="N48" s="279" t="s">
        <v>30</v>
      </c>
      <c r="O48" s="279"/>
      <c r="P48" s="279"/>
      <c r="Q48" s="279"/>
      <c r="R48" s="279"/>
      <c r="S48" s="279"/>
      <c r="T48" s="279"/>
      <c r="U48" s="279"/>
      <c r="V48" s="279"/>
      <c r="W48" s="280" t="s">
        <v>1222</v>
      </c>
      <c r="X48" s="281" t="s">
        <v>1210</v>
      </c>
    </row>
    <row r="49" spans="1:24" s="282" customFormat="1" ht="37.5" customHeight="1">
      <c r="A49" s="276" t="s">
        <v>703</v>
      </c>
      <c r="B49" s="276">
        <v>5</v>
      </c>
      <c r="C49" s="277">
        <v>15</v>
      </c>
      <c r="D49" s="277">
        <v>25</v>
      </c>
      <c r="E49" s="278" t="s">
        <v>1193</v>
      </c>
      <c r="F49" s="278" t="s">
        <v>39</v>
      </c>
      <c r="G49" s="279" t="s">
        <v>40</v>
      </c>
      <c r="H49" s="279" t="s">
        <v>67</v>
      </c>
      <c r="I49" s="279" t="s">
        <v>1188</v>
      </c>
      <c r="J49" s="279" t="s">
        <v>1191</v>
      </c>
      <c r="K49" s="280" t="s">
        <v>1215</v>
      </c>
      <c r="L49" s="279" t="s">
        <v>31</v>
      </c>
      <c r="M49" s="279" t="s">
        <v>1195</v>
      </c>
      <c r="N49" s="279" t="s">
        <v>30</v>
      </c>
      <c r="O49" s="279"/>
      <c r="P49" s="279"/>
      <c r="Q49" s="279"/>
      <c r="R49" s="279"/>
      <c r="S49" s="279"/>
      <c r="T49" s="279"/>
      <c r="U49" s="279"/>
      <c r="V49" s="279"/>
      <c r="W49" s="280" t="s">
        <v>1221</v>
      </c>
      <c r="X49" s="283" t="s">
        <v>1209</v>
      </c>
    </row>
    <row r="50" spans="1:24" s="282" customFormat="1" ht="37.5" customHeight="1">
      <c r="A50" s="276" t="s">
        <v>703</v>
      </c>
      <c r="B50" s="276">
        <v>6</v>
      </c>
      <c r="C50" s="277">
        <v>16</v>
      </c>
      <c r="D50" s="277">
        <v>26</v>
      </c>
      <c r="E50" s="278" t="s">
        <v>1194</v>
      </c>
      <c r="F50" s="278" t="s">
        <v>39</v>
      </c>
      <c r="G50" s="279" t="s">
        <v>40</v>
      </c>
      <c r="H50" s="279" t="s">
        <v>67</v>
      </c>
      <c r="I50" s="279" t="s">
        <v>1188</v>
      </c>
      <c r="J50" s="279" t="s">
        <v>1192</v>
      </c>
      <c r="K50" s="286" t="s">
        <v>1216</v>
      </c>
      <c r="L50" s="284">
        <v>0</v>
      </c>
      <c r="M50" s="284">
        <v>800</v>
      </c>
      <c r="N50" s="279" t="s">
        <v>30</v>
      </c>
      <c r="O50" s="284"/>
      <c r="P50" s="284"/>
      <c r="Q50" s="284"/>
      <c r="R50" s="284"/>
      <c r="S50" s="284"/>
      <c r="T50" s="284"/>
      <c r="U50" s="284"/>
      <c r="V50" s="284"/>
      <c r="W50" s="283" t="s">
        <v>1221</v>
      </c>
      <c r="X50" s="281" t="s">
        <v>1210</v>
      </c>
    </row>
    <row r="51" spans="1:24" s="282" customFormat="1" ht="37.5" customHeight="1">
      <c r="A51" s="276" t="s">
        <v>703</v>
      </c>
      <c r="B51" s="276">
        <v>7</v>
      </c>
      <c r="C51" s="277">
        <v>17</v>
      </c>
      <c r="D51" s="277">
        <v>27</v>
      </c>
      <c r="E51" s="278" t="s">
        <v>1205</v>
      </c>
      <c r="F51" s="278" t="s">
        <v>39</v>
      </c>
      <c r="G51" s="279" t="s">
        <v>40</v>
      </c>
      <c r="H51" s="279" t="s">
        <v>67</v>
      </c>
      <c r="I51" s="279" t="s">
        <v>1188</v>
      </c>
      <c r="J51" s="279" t="s">
        <v>1204</v>
      </c>
      <c r="K51" s="280" t="s">
        <v>1217</v>
      </c>
      <c r="L51" s="279" t="s">
        <v>42</v>
      </c>
      <c r="M51" s="279" t="s">
        <v>43</v>
      </c>
      <c r="N51" s="279" t="s">
        <v>1197</v>
      </c>
      <c r="O51" s="279"/>
      <c r="P51" s="279"/>
      <c r="Q51" s="279"/>
      <c r="R51" s="279"/>
      <c r="S51" s="279"/>
      <c r="T51" s="279"/>
      <c r="U51" s="279"/>
      <c r="V51" s="279"/>
      <c r="W51" s="280" t="s">
        <v>1221</v>
      </c>
      <c r="X51" s="281" t="s">
        <v>1210</v>
      </c>
    </row>
    <row r="52" spans="1:24" ht="37.5" customHeight="1">
      <c r="A52" s="105" t="s">
        <v>703</v>
      </c>
      <c r="B52" s="105">
        <v>8</v>
      </c>
      <c r="C52" s="88">
        <v>18</v>
      </c>
      <c r="D52" s="88">
        <v>28</v>
      </c>
      <c r="E52" s="112"/>
      <c r="F52" s="106"/>
      <c r="G52" s="107"/>
      <c r="H52" s="107"/>
      <c r="I52" s="107"/>
      <c r="J52" s="107" t="s">
        <v>1230</v>
      </c>
      <c r="K52" s="113"/>
      <c r="L52" s="107"/>
      <c r="M52" s="107"/>
      <c r="N52" s="107"/>
      <c r="O52" s="114"/>
      <c r="P52" s="114"/>
      <c r="Q52" s="114"/>
      <c r="R52" s="114"/>
      <c r="S52" s="114"/>
      <c r="T52" s="114"/>
      <c r="U52" s="114"/>
      <c r="V52" s="114"/>
      <c r="W52" s="108"/>
      <c r="X52" s="115"/>
    </row>
    <row r="53" spans="1:24" ht="37.5" customHeight="1">
      <c r="A53" s="105" t="s">
        <v>742</v>
      </c>
      <c r="B53" s="105">
        <v>1</v>
      </c>
      <c r="C53" s="88">
        <v>11</v>
      </c>
      <c r="D53" s="88">
        <v>21</v>
      </c>
      <c r="E53" s="112" t="s">
        <v>657</v>
      </c>
      <c r="F53" s="106" t="s">
        <v>39</v>
      </c>
      <c r="G53" s="107" t="s">
        <v>40</v>
      </c>
      <c r="H53" s="107" t="s">
        <v>67</v>
      </c>
      <c r="I53" s="107" t="s">
        <v>60</v>
      </c>
      <c r="J53" s="107" t="s">
        <v>1231</v>
      </c>
      <c r="K53" s="264" t="s">
        <v>1049</v>
      </c>
      <c r="L53" s="107" t="s">
        <v>31</v>
      </c>
      <c r="M53" s="107" t="s">
        <v>49</v>
      </c>
      <c r="N53" s="107" t="s">
        <v>28</v>
      </c>
      <c r="O53" s="114">
        <v>3.5</v>
      </c>
      <c r="P53" s="114">
        <v>5</v>
      </c>
      <c r="Q53" s="114">
        <v>4</v>
      </c>
      <c r="R53" s="114">
        <v>5</v>
      </c>
      <c r="S53" s="114"/>
      <c r="T53" s="114"/>
      <c r="U53" s="114"/>
      <c r="V53" s="114"/>
      <c r="W53" s="111" t="s">
        <v>963</v>
      </c>
      <c r="X53" s="108"/>
    </row>
    <row r="54" spans="1:24" ht="37.5" customHeight="1">
      <c r="A54" s="105" t="s">
        <v>742</v>
      </c>
      <c r="B54" s="105">
        <v>2</v>
      </c>
      <c r="C54" s="88">
        <v>12</v>
      </c>
      <c r="D54" s="88">
        <v>22</v>
      </c>
      <c r="E54" s="112" t="s">
        <v>659</v>
      </c>
      <c r="F54" s="106" t="s">
        <v>39</v>
      </c>
      <c r="G54" s="107" t="s">
        <v>40</v>
      </c>
      <c r="H54" s="107" t="s">
        <v>67</v>
      </c>
      <c r="I54" s="107" t="s">
        <v>60</v>
      </c>
      <c r="J54" s="107" t="s">
        <v>1170</v>
      </c>
      <c r="K54" s="264" t="s">
        <v>1050</v>
      </c>
      <c r="L54" s="107" t="s">
        <v>31</v>
      </c>
      <c r="M54" s="107" t="s">
        <v>49</v>
      </c>
      <c r="N54" s="107" t="s">
        <v>28</v>
      </c>
      <c r="O54" s="114">
        <v>1</v>
      </c>
      <c r="P54" s="114">
        <v>5</v>
      </c>
      <c r="Q54" s="114">
        <v>3</v>
      </c>
      <c r="R54" s="114">
        <v>5</v>
      </c>
      <c r="S54" s="114"/>
      <c r="T54" s="114"/>
      <c r="U54" s="114"/>
      <c r="V54" s="114"/>
      <c r="W54" s="111" t="s">
        <v>963</v>
      </c>
      <c r="X54" s="108"/>
    </row>
    <row r="55" spans="1:24" ht="37.5" customHeight="1">
      <c r="A55" s="105" t="s">
        <v>741</v>
      </c>
      <c r="B55" s="105">
        <v>3</v>
      </c>
      <c r="C55" s="88">
        <v>13</v>
      </c>
      <c r="D55" s="88">
        <v>23</v>
      </c>
      <c r="E55" s="106" t="s">
        <v>662</v>
      </c>
      <c r="F55" s="106" t="s">
        <v>39</v>
      </c>
      <c r="G55" s="107" t="s">
        <v>40</v>
      </c>
      <c r="H55" s="107" t="s">
        <v>67</v>
      </c>
      <c r="I55" s="107" t="s">
        <v>60</v>
      </c>
      <c r="J55" s="107" t="s">
        <v>1153</v>
      </c>
      <c r="K55" s="108" t="s">
        <v>1051</v>
      </c>
      <c r="L55" s="114">
        <v>0</v>
      </c>
      <c r="M55" s="114">
        <v>16</v>
      </c>
      <c r="N55" s="114" t="s">
        <v>28</v>
      </c>
      <c r="O55" s="114">
        <v>4</v>
      </c>
      <c r="P55" s="114">
        <v>5</v>
      </c>
      <c r="Q55" s="114">
        <v>5</v>
      </c>
      <c r="R55" s="114">
        <v>2</v>
      </c>
      <c r="S55" s="114">
        <v>10</v>
      </c>
      <c r="T55" s="114">
        <v>10</v>
      </c>
      <c r="U55" s="114">
        <v>11</v>
      </c>
      <c r="V55" s="114">
        <v>1</v>
      </c>
      <c r="W55" s="111" t="s">
        <v>963</v>
      </c>
      <c r="X55" s="108"/>
    </row>
    <row r="56" spans="1:24" ht="37.5" customHeight="1">
      <c r="A56" s="105" t="s">
        <v>741</v>
      </c>
      <c r="B56" s="105">
        <v>4</v>
      </c>
      <c r="C56" s="88">
        <v>14</v>
      </c>
      <c r="D56" s="88">
        <v>24</v>
      </c>
      <c r="E56" s="117" t="s">
        <v>664</v>
      </c>
      <c r="F56" s="106" t="s">
        <v>39</v>
      </c>
      <c r="G56" s="107" t="s">
        <v>40</v>
      </c>
      <c r="H56" s="107" t="s">
        <v>67</v>
      </c>
      <c r="I56" s="107" t="s">
        <v>60</v>
      </c>
      <c r="J56" s="107" t="s">
        <v>1154</v>
      </c>
      <c r="K56" s="264" t="s">
        <v>1052</v>
      </c>
      <c r="L56" s="114">
        <v>0</v>
      </c>
      <c r="M56" s="114">
        <v>16</v>
      </c>
      <c r="N56" s="114" t="s">
        <v>28</v>
      </c>
      <c r="O56" s="114">
        <v>4</v>
      </c>
      <c r="P56" s="114">
        <v>5</v>
      </c>
      <c r="Q56" s="114">
        <v>5</v>
      </c>
      <c r="R56" s="114">
        <v>5</v>
      </c>
      <c r="S56" s="114"/>
      <c r="T56" s="114"/>
      <c r="U56" s="114"/>
      <c r="V56" s="114"/>
      <c r="W56" s="111" t="s">
        <v>963</v>
      </c>
      <c r="X56" s="108"/>
    </row>
    <row r="57" spans="1:24" ht="37.5" customHeight="1">
      <c r="A57" s="105" t="s">
        <v>741</v>
      </c>
      <c r="B57" s="105">
        <v>5</v>
      </c>
      <c r="C57" s="88">
        <v>15</v>
      </c>
      <c r="D57" s="88">
        <v>25</v>
      </c>
      <c r="E57" s="106" t="s">
        <v>667</v>
      </c>
      <c r="F57" s="106" t="s">
        <v>39</v>
      </c>
      <c r="G57" s="107" t="s">
        <v>40</v>
      </c>
      <c r="H57" s="107"/>
      <c r="I57" s="107" t="s">
        <v>60</v>
      </c>
      <c r="J57" s="107" t="s">
        <v>1168</v>
      </c>
      <c r="K57" s="108" t="s">
        <v>1053</v>
      </c>
      <c r="L57" s="114">
        <v>0</v>
      </c>
      <c r="M57" s="114">
        <v>100</v>
      </c>
      <c r="N57" s="114" t="s">
        <v>51</v>
      </c>
      <c r="O57" s="107"/>
      <c r="P57" s="107"/>
      <c r="Q57" s="107"/>
      <c r="R57" s="107"/>
      <c r="S57" s="116" t="s">
        <v>253</v>
      </c>
      <c r="T57" s="116" t="s">
        <v>32</v>
      </c>
      <c r="U57" s="116" t="s">
        <v>252</v>
      </c>
      <c r="V57" s="116" t="s">
        <v>49</v>
      </c>
      <c r="W57" s="111" t="s">
        <v>963</v>
      </c>
      <c r="X57" s="108"/>
    </row>
    <row r="58" spans="1:24" ht="37.5" customHeight="1">
      <c r="A58" s="105" t="s">
        <v>741</v>
      </c>
      <c r="B58" s="105">
        <v>6</v>
      </c>
      <c r="C58" s="88">
        <v>16</v>
      </c>
      <c r="D58" s="88">
        <v>26</v>
      </c>
      <c r="E58" s="106" t="s">
        <v>671</v>
      </c>
      <c r="F58" s="106" t="s">
        <v>39</v>
      </c>
      <c r="G58" s="107" t="s">
        <v>40</v>
      </c>
      <c r="H58" s="107" t="s">
        <v>67</v>
      </c>
      <c r="I58" s="107" t="s">
        <v>60</v>
      </c>
      <c r="J58" s="107" t="s">
        <v>1169</v>
      </c>
      <c r="K58" s="108" t="s">
        <v>1054</v>
      </c>
      <c r="L58" s="114">
        <v>0</v>
      </c>
      <c r="M58" s="114">
        <v>16</v>
      </c>
      <c r="N58" s="114" t="s">
        <v>28</v>
      </c>
      <c r="O58" s="114">
        <v>0.5</v>
      </c>
      <c r="P58" s="114">
        <v>5</v>
      </c>
      <c r="Q58" s="114">
        <v>1</v>
      </c>
      <c r="R58" s="114">
        <v>2</v>
      </c>
      <c r="S58" s="114"/>
      <c r="T58" s="114"/>
      <c r="U58" s="114"/>
      <c r="V58" s="114"/>
      <c r="W58" s="111" t="s">
        <v>963</v>
      </c>
      <c r="X58" s="108"/>
    </row>
    <row r="59" spans="1:24" s="282" customFormat="1" ht="37.5" customHeight="1">
      <c r="A59" s="276" t="s">
        <v>741</v>
      </c>
      <c r="B59" s="276">
        <v>7</v>
      </c>
      <c r="C59" s="277">
        <v>17</v>
      </c>
      <c r="D59" s="277">
        <v>27</v>
      </c>
      <c r="E59" s="285" t="s">
        <v>1203</v>
      </c>
      <c r="F59" s="278" t="s">
        <v>39</v>
      </c>
      <c r="G59" s="279" t="s">
        <v>40</v>
      </c>
      <c r="H59" s="279" t="s">
        <v>1198</v>
      </c>
      <c r="I59" s="279" t="s">
        <v>1199</v>
      </c>
      <c r="J59" s="279" t="s">
        <v>1207</v>
      </c>
      <c r="K59" s="286" t="s">
        <v>1218</v>
      </c>
      <c r="L59" s="279" t="s">
        <v>42</v>
      </c>
      <c r="M59" s="279" t="s">
        <v>43</v>
      </c>
      <c r="N59" s="279" t="s">
        <v>1197</v>
      </c>
      <c r="O59" s="284"/>
      <c r="P59" s="284"/>
      <c r="Q59" s="284"/>
      <c r="R59" s="284"/>
      <c r="S59" s="284"/>
      <c r="T59" s="284"/>
      <c r="U59" s="284"/>
      <c r="V59" s="284"/>
      <c r="W59" s="280" t="s">
        <v>1221</v>
      </c>
      <c r="X59" s="281" t="s">
        <v>1210</v>
      </c>
    </row>
    <row r="60" spans="1:24" s="282" customFormat="1" ht="37.5" customHeight="1">
      <c r="A60" s="276" t="s">
        <v>741</v>
      </c>
      <c r="B60" s="276">
        <v>8</v>
      </c>
      <c r="C60" s="277">
        <v>18</v>
      </c>
      <c r="D60" s="277">
        <v>28</v>
      </c>
      <c r="E60" s="285" t="s">
        <v>1206</v>
      </c>
      <c r="F60" s="278" t="s">
        <v>39</v>
      </c>
      <c r="G60" s="279" t="s">
        <v>40</v>
      </c>
      <c r="H60" s="279" t="s">
        <v>1198</v>
      </c>
      <c r="I60" s="279" t="s">
        <v>1199</v>
      </c>
      <c r="J60" s="279" t="s">
        <v>1208</v>
      </c>
      <c r="K60" s="286" t="s">
        <v>1219</v>
      </c>
      <c r="L60" s="279" t="s">
        <v>42</v>
      </c>
      <c r="M60" s="279" t="s">
        <v>43</v>
      </c>
      <c r="N60" s="279" t="s">
        <v>1197</v>
      </c>
      <c r="O60" s="284"/>
      <c r="P60" s="284"/>
      <c r="Q60" s="284"/>
      <c r="R60" s="284"/>
      <c r="S60" s="284"/>
      <c r="T60" s="284"/>
      <c r="U60" s="284"/>
      <c r="V60" s="284"/>
      <c r="W60" s="280" t="s">
        <v>1222</v>
      </c>
      <c r="X60" s="283" t="s">
        <v>1210</v>
      </c>
    </row>
    <row r="61" spans="1:24" ht="37.5" customHeight="1">
      <c r="A61" s="74" t="s">
        <v>705</v>
      </c>
      <c r="B61" s="74">
        <v>1</v>
      </c>
      <c r="C61" s="74">
        <v>12</v>
      </c>
      <c r="D61" s="74">
        <v>13</v>
      </c>
      <c r="E61" s="118" t="s">
        <v>669</v>
      </c>
      <c r="F61" s="118" t="s">
        <v>15</v>
      </c>
      <c r="G61" s="78" t="s">
        <v>40</v>
      </c>
      <c r="H61" s="78"/>
      <c r="I61" s="78" t="s">
        <v>60</v>
      </c>
      <c r="J61" s="78" t="s">
        <v>1166</v>
      </c>
      <c r="K61" s="119" t="s">
        <v>1055</v>
      </c>
      <c r="L61" s="78" t="s">
        <v>31</v>
      </c>
      <c r="M61" s="78" t="s">
        <v>32</v>
      </c>
      <c r="N61" s="78" t="s">
        <v>33</v>
      </c>
      <c r="O61" s="78"/>
      <c r="P61" s="78"/>
      <c r="Q61" s="78"/>
      <c r="R61" s="78"/>
      <c r="S61" s="78"/>
      <c r="T61" s="78"/>
      <c r="U61" s="78"/>
      <c r="V61" s="78"/>
      <c r="W61" s="75" t="s">
        <v>971</v>
      </c>
      <c r="X61" s="76"/>
    </row>
    <row r="62" spans="1:24" ht="37.5" customHeight="1">
      <c r="A62" s="74" t="s">
        <v>705</v>
      </c>
      <c r="B62" s="74">
        <v>2</v>
      </c>
      <c r="C62" s="74">
        <v>22</v>
      </c>
      <c r="D62" s="74">
        <v>23</v>
      </c>
      <c r="E62" s="118" t="s">
        <v>680</v>
      </c>
      <c r="F62" s="118" t="s">
        <v>45</v>
      </c>
      <c r="G62" s="78" t="s">
        <v>40</v>
      </c>
      <c r="H62" s="78" t="s">
        <v>69</v>
      </c>
      <c r="I62" s="78" t="s">
        <v>927</v>
      </c>
      <c r="J62" s="78" t="s">
        <v>1158</v>
      </c>
      <c r="K62" s="119" t="s">
        <v>980</v>
      </c>
      <c r="L62" s="78" t="s">
        <v>42</v>
      </c>
      <c r="M62" s="78" t="s">
        <v>43</v>
      </c>
      <c r="N62" s="78" t="s">
        <v>41</v>
      </c>
      <c r="O62" s="78"/>
      <c r="P62" s="78"/>
      <c r="Q62" s="78"/>
      <c r="R62" s="78"/>
      <c r="S62" s="78"/>
      <c r="T62" s="78"/>
      <c r="U62" s="78"/>
      <c r="V62" s="78"/>
      <c r="W62" s="119" t="s">
        <v>979</v>
      </c>
      <c r="X62" s="76"/>
    </row>
    <row r="63" spans="1:24" ht="37.5" customHeight="1">
      <c r="A63" s="74" t="s">
        <v>705</v>
      </c>
      <c r="B63" s="74">
        <v>3</v>
      </c>
      <c r="C63" s="74">
        <v>15</v>
      </c>
      <c r="D63" s="74">
        <v>16</v>
      </c>
      <c r="E63" s="118"/>
      <c r="F63" s="118"/>
      <c r="G63" s="78"/>
      <c r="H63" s="78"/>
      <c r="I63" s="78"/>
      <c r="J63" s="78" t="s">
        <v>1129</v>
      </c>
      <c r="K63" s="119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5"/>
      <c r="X63" s="76"/>
    </row>
    <row r="64" spans="1:24" ht="37.5" customHeight="1">
      <c r="A64" s="74" t="s">
        <v>705</v>
      </c>
      <c r="B64" s="74">
        <v>4</v>
      </c>
      <c r="C64" s="74">
        <v>25</v>
      </c>
      <c r="D64" s="74">
        <v>26</v>
      </c>
      <c r="E64" s="118"/>
      <c r="F64" s="118"/>
      <c r="G64" s="78"/>
      <c r="H64" s="78"/>
      <c r="I64" s="78"/>
      <c r="J64" s="78" t="s">
        <v>1130</v>
      </c>
      <c r="K64" s="119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5"/>
      <c r="X64" s="76"/>
    </row>
    <row r="65" spans="2:11" ht="20.399999999999999">
      <c r="B65" s="4"/>
      <c r="C65" s="4"/>
      <c r="D65" s="4"/>
      <c r="J65" s="220"/>
    </row>
    <row r="66" spans="2:11" ht="20.399999999999999">
      <c r="F66" s="83" t="s">
        <v>279</v>
      </c>
      <c r="G66" s="80"/>
      <c r="H66" s="80"/>
      <c r="I66" s="4" t="s">
        <v>463</v>
      </c>
      <c r="J66" s="220"/>
      <c r="K66" s="29" t="s">
        <v>464</v>
      </c>
    </row>
    <row r="67" spans="2:11" ht="20.399999999999999">
      <c r="F67" s="81" t="s">
        <v>258</v>
      </c>
      <c r="G67" s="80"/>
      <c r="H67" s="80"/>
      <c r="J67" s="220"/>
      <c r="K67" s="29" t="s">
        <v>465</v>
      </c>
    </row>
    <row r="68" spans="2:11" ht="20.399999999999999">
      <c r="F68" s="81" t="s">
        <v>259</v>
      </c>
      <c r="G68" s="80"/>
      <c r="H68" s="80"/>
      <c r="J68" s="220"/>
    </row>
    <row r="69" spans="2:11" ht="20.399999999999999">
      <c r="F69" s="81" t="s">
        <v>260</v>
      </c>
      <c r="G69" s="80"/>
      <c r="H69" s="80"/>
      <c r="J69" s="220"/>
    </row>
    <row r="70" spans="2:11" ht="20.399999999999999">
      <c r="F70" s="81" t="s">
        <v>923</v>
      </c>
      <c r="G70" s="80"/>
      <c r="H70" s="80"/>
      <c r="J70" s="220"/>
    </row>
    <row r="71" spans="2:11" ht="20.399999999999999">
      <c r="F71" s="81" t="s">
        <v>261</v>
      </c>
      <c r="G71" s="80"/>
      <c r="H71" s="80"/>
      <c r="J71" s="220"/>
    </row>
    <row r="72" spans="2:11" ht="20.399999999999999">
      <c r="F72" s="81" t="s">
        <v>262</v>
      </c>
      <c r="G72" s="80"/>
      <c r="H72" s="80"/>
      <c r="J72" s="220"/>
    </row>
    <row r="73" spans="2:11" ht="20.399999999999999">
      <c r="F73" s="81" t="s">
        <v>263</v>
      </c>
      <c r="G73" s="80"/>
      <c r="H73" s="80"/>
      <c r="J73" s="220"/>
    </row>
    <row r="74" spans="2:11" ht="20.399999999999999">
      <c r="F74" s="81" t="s">
        <v>924</v>
      </c>
      <c r="G74" s="80"/>
      <c r="H74" s="80"/>
      <c r="J74" s="220"/>
    </row>
    <row r="75" spans="2:11" ht="20.399999999999999">
      <c r="F75" s="82" t="s">
        <v>264</v>
      </c>
      <c r="G75" s="80"/>
      <c r="H75" s="80"/>
      <c r="J75" s="220"/>
    </row>
    <row r="76" spans="2:11" ht="20.399999999999999">
      <c r="F76" s="81" t="s">
        <v>925</v>
      </c>
      <c r="G76" s="80"/>
      <c r="H76" s="80"/>
      <c r="J76" s="220"/>
    </row>
    <row r="77" spans="2:11" ht="20.399999999999999">
      <c r="F77" s="81" t="s">
        <v>265</v>
      </c>
      <c r="G77" s="80"/>
      <c r="H77" s="80"/>
      <c r="J77" s="220"/>
    </row>
    <row r="78" spans="2:11" ht="20.399999999999999">
      <c r="F78" s="81" t="s">
        <v>266</v>
      </c>
      <c r="G78" s="80"/>
      <c r="H78" s="80"/>
      <c r="J78" s="220"/>
    </row>
    <row r="79" spans="2:11" ht="17.399999999999999">
      <c r="F79" s="81" t="s">
        <v>267</v>
      </c>
      <c r="G79" s="80"/>
      <c r="H79" s="80"/>
    </row>
    <row r="80" spans="2:11" ht="17.399999999999999">
      <c r="F80" s="81" t="s">
        <v>268</v>
      </c>
      <c r="G80" s="80"/>
      <c r="H80" s="80"/>
    </row>
    <row r="81" spans="6:8" ht="17.399999999999999">
      <c r="F81" s="81" t="s">
        <v>269</v>
      </c>
      <c r="G81" s="80"/>
      <c r="H81" s="80"/>
    </row>
    <row r="82" spans="6:8" ht="17.399999999999999">
      <c r="F82" s="81" t="s">
        <v>270</v>
      </c>
      <c r="G82" s="80"/>
      <c r="H82" s="80"/>
    </row>
    <row r="83" spans="6:8" ht="17.399999999999999">
      <c r="F83" s="81" t="s">
        <v>271</v>
      </c>
      <c r="G83" s="80"/>
      <c r="H83" s="80"/>
    </row>
    <row r="84" spans="6:8" ht="17.399999999999999">
      <c r="F84" s="81" t="s">
        <v>272</v>
      </c>
      <c r="G84" s="80"/>
      <c r="H84" s="80"/>
    </row>
    <row r="85" spans="6:8" ht="17.399999999999999">
      <c r="F85" s="81" t="s">
        <v>273</v>
      </c>
      <c r="G85" s="80"/>
      <c r="H85" s="80"/>
    </row>
    <row r="86" spans="6:8" ht="17.399999999999999">
      <c r="F86" s="81" t="s">
        <v>274</v>
      </c>
      <c r="G86" s="80"/>
      <c r="H86" s="80"/>
    </row>
    <row r="87" spans="6:8" ht="17.399999999999999">
      <c r="F87" s="81" t="s">
        <v>275</v>
      </c>
      <c r="G87" s="80"/>
      <c r="H87" s="80"/>
    </row>
    <row r="88" spans="6:8" ht="17.399999999999999">
      <c r="F88" s="81" t="s">
        <v>276</v>
      </c>
      <c r="G88" s="80"/>
      <c r="H88" s="80"/>
    </row>
    <row r="89" spans="6:8" ht="17.399999999999999">
      <c r="F89" s="81" t="s">
        <v>277</v>
      </c>
      <c r="G89" s="80"/>
      <c r="H89" s="80"/>
    </row>
    <row r="90" spans="6:8" ht="17.399999999999999">
      <c r="F90" s="81" t="s">
        <v>278</v>
      </c>
      <c r="G90" s="80"/>
      <c r="H90" s="80"/>
    </row>
  </sheetData>
  <autoFilter ref="A4:X90" xr:uid="{00000000-0009-0000-0000-000004000000}">
    <filterColumn colId="5" showButton="0"/>
    <filterColumn colId="6" showButton="0"/>
  </autoFilter>
  <mergeCells count="11">
    <mergeCell ref="F3:H4"/>
    <mergeCell ref="A3:A4"/>
    <mergeCell ref="B3:B4"/>
    <mergeCell ref="C3:C4"/>
    <mergeCell ref="D3:D4"/>
    <mergeCell ref="E3:E4"/>
    <mergeCell ref="K3:K4"/>
    <mergeCell ref="L3:N3"/>
    <mergeCell ref="O3:V3"/>
    <mergeCell ref="W3:W4"/>
    <mergeCell ref="X3:X4"/>
  </mergeCells>
  <phoneticPr fontId="1" type="noConversion"/>
  <conditionalFormatting sqref="F23">
    <cfRule type="duplicateValues" dxfId="8" priority="30"/>
  </conditionalFormatting>
  <conditionalFormatting sqref="F32">
    <cfRule type="duplicateValues" dxfId="7" priority="40"/>
  </conditionalFormatting>
  <conditionalFormatting sqref="F25">
    <cfRule type="duplicateValues" dxfId="6" priority="6"/>
    <cfRule type="duplicateValues" dxfId="5" priority="7"/>
  </conditionalFormatting>
  <conditionalFormatting sqref="F26">
    <cfRule type="duplicateValues" dxfId="4" priority="5"/>
  </conditionalFormatting>
  <conditionalFormatting sqref="F27">
    <cfRule type="duplicateValues" dxfId="3" priority="4"/>
  </conditionalFormatting>
  <conditionalFormatting sqref="F28">
    <cfRule type="duplicateValues" dxfId="2" priority="2"/>
    <cfRule type="duplicateValues" dxfId="1" priority="3"/>
  </conditionalFormatting>
  <conditionalFormatting sqref="F29">
    <cfRule type="duplicateValues" dxfId="0" priority="1"/>
  </conditionalFormatting>
  <printOptions horizontalCentered="1"/>
  <pageMargins left="0.25" right="0.25" top="0.75" bottom="0.75" header="0.3" footer="0.3"/>
  <pageSetup paperSize="9" scale="18" fitToHeight="0" orientation="portrait" r:id="rId1"/>
  <rowBreaks count="2" manualBreakCount="2">
    <brk id="20" max="18" man="1"/>
    <brk id="60" max="1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2:F23"/>
  <sheetViews>
    <sheetView workbookViewId="0"/>
  </sheetViews>
  <sheetFormatPr defaultRowHeight="17.399999999999999"/>
  <cols>
    <col min="4" max="4" width="45.59765625" customWidth="1"/>
    <col min="5" max="5" width="33" bestFit="1" customWidth="1"/>
    <col min="6" max="6" width="30.19921875" bestFit="1" customWidth="1"/>
  </cols>
  <sheetData>
    <row r="2" spans="2:6">
      <c r="B2" s="52" t="s">
        <v>360</v>
      </c>
      <c r="C2" s="52"/>
      <c r="D2" s="52" t="s">
        <v>34</v>
      </c>
      <c r="E2" s="52" t="s">
        <v>361</v>
      </c>
      <c r="F2" s="52" t="s">
        <v>362</v>
      </c>
    </row>
    <row r="3" spans="2:6">
      <c r="B3" s="52" t="s">
        <v>363</v>
      </c>
      <c r="C3" s="52"/>
      <c r="D3" s="52" t="s">
        <v>364</v>
      </c>
      <c r="E3" s="52" t="s">
        <v>365</v>
      </c>
      <c r="F3" s="52" t="s">
        <v>366</v>
      </c>
    </row>
    <row r="4" spans="2:6">
      <c r="B4" s="52" t="s">
        <v>367</v>
      </c>
      <c r="C4" s="52"/>
      <c r="D4" s="52" t="s">
        <v>718</v>
      </c>
      <c r="E4" s="52" t="s">
        <v>719</v>
      </c>
      <c r="F4" s="52"/>
    </row>
    <row r="5" spans="2:6">
      <c r="B5" s="52" t="s">
        <v>368</v>
      </c>
      <c r="C5" s="52"/>
      <c r="D5" s="52" t="s">
        <v>369</v>
      </c>
      <c r="E5" s="52"/>
      <c r="F5" s="52"/>
    </row>
    <row r="6" spans="2:6">
      <c r="B6" s="52" t="s">
        <v>370</v>
      </c>
      <c r="C6" s="52"/>
      <c r="D6" s="52" t="s">
        <v>371</v>
      </c>
      <c r="E6" s="52"/>
      <c r="F6" s="52"/>
    </row>
    <row r="7" spans="2:6">
      <c r="B7" s="52" t="s">
        <v>372</v>
      </c>
      <c r="C7" s="52"/>
      <c r="D7" s="52" t="s">
        <v>373</v>
      </c>
      <c r="E7" s="52"/>
      <c r="F7" s="52"/>
    </row>
    <row r="8" spans="2:6">
      <c r="B8" s="52" t="s">
        <v>382</v>
      </c>
      <c r="C8" s="52"/>
      <c r="D8" s="52" t="s">
        <v>383</v>
      </c>
      <c r="E8" s="52"/>
      <c r="F8" s="52"/>
    </row>
    <row r="9" spans="2:6">
      <c r="B9" s="52" t="s">
        <v>378</v>
      </c>
      <c r="C9" s="52"/>
      <c r="D9" s="52" t="s">
        <v>716</v>
      </c>
      <c r="E9" s="52"/>
      <c r="F9" s="52" t="s">
        <v>375</v>
      </c>
    </row>
    <row r="10" spans="2:6">
      <c r="B10" s="52" t="s">
        <v>379</v>
      </c>
      <c r="C10" s="52"/>
      <c r="D10" s="52" t="s">
        <v>715</v>
      </c>
      <c r="E10" s="52"/>
      <c r="F10" s="52" t="s">
        <v>380</v>
      </c>
    </row>
    <row r="11" spans="2:6">
      <c r="B11" s="52" t="s">
        <v>453</v>
      </c>
      <c r="C11" s="52"/>
      <c r="D11" s="52" t="s">
        <v>374</v>
      </c>
      <c r="E11" s="52"/>
      <c r="F11" s="52"/>
    </row>
    <row r="12" spans="2:6">
      <c r="B12" s="52" t="s">
        <v>376</v>
      </c>
      <c r="C12" s="52"/>
      <c r="D12" s="52" t="s">
        <v>513</v>
      </c>
      <c r="E12" s="52" t="s">
        <v>377</v>
      </c>
      <c r="F12" s="52"/>
    </row>
    <row r="13" spans="2:6">
      <c r="B13" s="52" t="s">
        <v>514</v>
      </c>
      <c r="C13" s="52"/>
      <c r="D13" s="52" t="s">
        <v>515</v>
      </c>
      <c r="E13" s="52"/>
      <c r="F13" s="52"/>
    </row>
    <row r="14" spans="2:6">
      <c r="B14" s="52" t="s">
        <v>516</v>
      </c>
      <c r="C14" s="52"/>
      <c r="D14" s="52" t="s">
        <v>517</v>
      </c>
      <c r="E14" s="52"/>
      <c r="F14" s="52"/>
    </row>
    <row r="15" spans="2:6" ht="17.25" customHeight="1">
      <c r="B15" s="52" t="s">
        <v>518</v>
      </c>
      <c r="C15" s="52"/>
      <c r="D15" s="52" t="s">
        <v>519</v>
      </c>
      <c r="E15" s="52"/>
      <c r="F15" s="52"/>
    </row>
    <row r="16" spans="2:6">
      <c r="B16" s="52" t="s">
        <v>520</v>
      </c>
      <c r="C16" s="52"/>
      <c r="D16" s="52" t="s">
        <v>521</v>
      </c>
      <c r="E16" s="52"/>
      <c r="F16" s="52"/>
    </row>
    <row r="17" spans="2:6">
      <c r="B17" s="52" t="s">
        <v>733</v>
      </c>
      <c r="C17" s="52"/>
      <c r="D17" s="52" t="s">
        <v>522</v>
      </c>
      <c r="E17" s="52"/>
      <c r="F17" s="52" t="s">
        <v>375</v>
      </c>
    </row>
    <row r="18" spans="2:6">
      <c r="B18" s="52" t="s">
        <v>734</v>
      </c>
      <c r="C18" s="52"/>
      <c r="D18" s="52" t="s">
        <v>523</v>
      </c>
      <c r="E18" s="52"/>
      <c r="F18" s="52" t="s">
        <v>375</v>
      </c>
    </row>
    <row r="19" spans="2:6">
      <c r="B19" s="52" t="s">
        <v>735</v>
      </c>
      <c r="C19" s="52"/>
      <c r="D19" s="52" t="s">
        <v>524</v>
      </c>
      <c r="E19" s="52"/>
      <c r="F19" s="52" t="s">
        <v>375</v>
      </c>
    </row>
    <row r="20" spans="2:6">
      <c r="B20" s="52" t="s">
        <v>736</v>
      </c>
      <c r="C20" s="52"/>
      <c r="D20" s="52" t="s">
        <v>525</v>
      </c>
      <c r="E20" s="52"/>
      <c r="F20" s="52" t="s">
        <v>375</v>
      </c>
    </row>
    <row r="21" spans="2:6">
      <c r="B21" s="52" t="s">
        <v>737</v>
      </c>
      <c r="C21" s="52"/>
      <c r="D21" s="52" t="s">
        <v>526</v>
      </c>
      <c r="E21" s="52"/>
      <c r="F21" s="52" t="s">
        <v>375</v>
      </c>
    </row>
    <row r="22" spans="2:6">
      <c r="B22" s="52" t="s">
        <v>738</v>
      </c>
      <c r="C22" s="52"/>
      <c r="D22" s="52" t="s">
        <v>527</v>
      </c>
      <c r="E22" s="52"/>
      <c r="F22" s="52" t="s">
        <v>375</v>
      </c>
    </row>
    <row r="23" spans="2:6">
      <c r="B23" s="52" t="s">
        <v>739</v>
      </c>
      <c r="C23" s="52"/>
      <c r="D23" s="52" t="s">
        <v>957</v>
      </c>
      <c r="E23" s="52"/>
      <c r="F23" s="52" t="s">
        <v>375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62"/>
  <sheetViews>
    <sheetView zoomScale="70" zoomScaleNormal="70" workbookViewId="0">
      <pane ySplit="2" topLeftCell="A3" activePane="bottomLeft" state="frozen"/>
      <selection pane="bottomLeft" activeCell="D27" sqref="D27"/>
    </sheetView>
  </sheetViews>
  <sheetFormatPr defaultColWidth="10" defaultRowHeight="17.399999999999999"/>
  <cols>
    <col min="1" max="1" width="10" style="155"/>
    <col min="2" max="2" width="24.59765625" bestFit="1" customWidth="1"/>
    <col min="3" max="3" width="14.09765625" bestFit="1" customWidth="1"/>
    <col min="4" max="4" width="17.19921875" bestFit="1" customWidth="1"/>
    <col min="5" max="5" width="10.09765625" customWidth="1"/>
    <col min="6" max="27" width="11.59765625" customWidth="1"/>
    <col min="28" max="28" width="41.3984375" bestFit="1" customWidth="1"/>
    <col min="29" max="31" width="6.59765625" customWidth="1"/>
    <col min="32" max="36" width="11.59765625" customWidth="1"/>
    <col min="37" max="37" width="57.3984375" bestFit="1" customWidth="1"/>
    <col min="38" max="38" width="30.69921875" bestFit="1" customWidth="1"/>
    <col min="274" max="274" width="24.59765625" bestFit="1" customWidth="1"/>
    <col min="275" max="275" width="14.09765625" bestFit="1" customWidth="1"/>
    <col min="276" max="276" width="7.8984375" bestFit="1" customWidth="1"/>
    <col min="277" max="277" width="5.59765625" bestFit="1" customWidth="1"/>
    <col min="278" max="279" width="5.5" bestFit="1" customWidth="1"/>
    <col min="280" max="282" width="5.5" customWidth="1"/>
    <col min="283" max="283" width="5.5" bestFit="1" customWidth="1"/>
    <col min="284" max="284" width="41.3984375" bestFit="1" customWidth="1"/>
    <col min="285" max="285" width="5.5" bestFit="1" customWidth="1"/>
    <col min="286" max="286" width="6.19921875" bestFit="1" customWidth="1"/>
    <col min="287" max="287" width="6.59765625" bestFit="1" customWidth="1"/>
    <col min="288" max="289" width="5.69921875" bestFit="1" customWidth="1"/>
    <col min="290" max="291" width="6.8984375" bestFit="1" customWidth="1"/>
    <col min="292" max="292" width="5.5" bestFit="1" customWidth="1"/>
    <col min="293" max="293" width="57.3984375" bestFit="1" customWidth="1"/>
    <col min="294" max="294" width="30.69921875" bestFit="1" customWidth="1"/>
    <col min="530" max="530" width="24.59765625" bestFit="1" customWidth="1"/>
    <col min="531" max="531" width="14.09765625" bestFit="1" customWidth="1"/>
    <col min="532" max="532" width="7.8984375" bestFit="1" customWidth="1"/>
    <col min="533" max="533" width="5.59765625" bestFit="1" customWidth="1"/>
    <col min="534" max="535" width="5.5" bestFit="1" customWidth="1"/>
    <col min="536" max="538" width="5.5" customWidth="1"/>
    <col min="539" max="539" width="5.5" bestFit="1" customWidth="1"/>
    <col min="540" max="540" width="41.3984375" bestFit="1" customWidth="1"/>
    <col min="541" max="541" width="5.5" bestFit="1" customWidth="1"/>
    <col min="542" max="542" width="6.19921875" bestFit="1" customWidth="1"/>
    <col min="543" max="543" width="6.59765625" bestFit="1" customWidth="1"/>
    <col min="544" max="545" width="5.69921875" bestFit="1" customWidth="1"/>
    <col min="546" max="547" width="6.8984375" bestFit="1" customWidth="1"/>
    <col min="548" max="548" width="5.5" bestFit="1" customWidth="1"/>
    <col min="549" max="549" width="57.3984375" bestFit="1" customWidth="1"/>
    <col min="550" max="550" width="30.69921875" bestFit="1" customWidth="1"/>
    <col min="786" max="786" width="24.59765625" bestFit="1" customWidth="1"/>
    <col min="787" max="787" width="14.09765625" bestFit="1" customWidth="1"/>
    <col min="788" max="788" width="7.8984375" bestFit="1" customWidth="1"/>
    <col min="789" max="789" width="5.59765625" bestFit="1" customWidth="1"/>
    <col min="790" max="791" width="5.5" bestFit="1" customWidth="1"/>
    <col min="792" max="794" width="5.5" customWidth="1"/>
    <col min="795" max="795" width="5.5" bestFit="1" customWidth="1"/>
    <col min="796" max="796" width="41.3984375" bestFit="1" customWidth="1"/>
    <col min="797" max="797" width="5.5" bestFit="1" customWidth="1"/>
    <col min="798" max="798" width="6.19921875" bestFit="1" customWidth="1"/>
    <col min="799" max="799" width="6.59765625" bestFit="1" customWidth="1"/>
    <col min="800" max="801" width="5.69921875" bestFit="1" customWidth="1"/>
    <col min="802" max="803" width="6.8984375" bestFit="1" customWidth="1"/>
    <col min="804" max="804" width="5.5" bestFit="1" customWidth="1"/>
    <col min="805" max="805" width="57.3984375" bestFit="1" customWidth="1"/>
    <col min="806" max="806" width="30.69921875" bestFit="1" customWidth="1"/>
    <col min="1042" max="1042" width="24.59765625" bestFit="1" customWidth="1"/>
    <col min="1043" max="1043" width="14.09765625" bestFit="1" customWidth="1"/>
    <col min="1044" max="1044" width="7.8984375" bestFit="1" customWidth="1"/>
    <col min="1045" max="1045" width="5.59765625" bestFit="1" customWidth="1"/>
    <col min="1046" max="1047" width="5.5" bestFit="1" customWidth="1"/>
    <col min="1048" max="1050" width="5.5" customWidth="1"/>
    <col min="1051" max="1051" width="5.5" bestFit="1" customWidth="1"/>
    <col min="1052" max="1052" width="41.3984375" bestFit="1" customWidth="1"/>
    <col min="1053" max="1053" width="5.5" bestFit="1" customWidth="1"/>
    <col min="1054" max="1054" width="6.19921875" bestFit="1" customWidth="1"/>
    <col min="1055" max="1055" width="6.59765625" bestFit="1" customWidth="1"/>
    <col min="1056" max="1057" width="5.69921875" bestFit="1" customWidth="1"/>
    <col min="1058" max="1059" width="6.8984375" bestFit="1" customWidth="1"/>
    <col min="1060" max="1060" width="5.5" bestFit="1" customWidth="1"/>
    <col min="1061" max="1061" width="57.3984375" bestFit="1" customWidth="1"/>
    <col min="1062" max="1062" width="30.69921875" bestFit="1" customWidth="1"/>
    <col min="1298" max="1298" width="24.59765625" bestFit="1" customWidth="1"/>
    <col min="1299" max="1299" width="14.09765625" bestFit="1" customWidth="1"/>
    <col min="1300" max="1300" width="7.8984375" bestFit="1" customWidth="1"/>
    <col min="1301" max="1301" width="5.59765625" bestFit="1" customWidth="1"/>
    <col min="1302" max="1303" width="5.5" bestFit="1" customWidth="1"/>
    <col min="1304" max="1306" width="5.5" customWidth="1"/>
    <col min="1307" max="1307" width="5.5" bestFit="1" customWidth="1"/>
    <col min="1308" max="1308" width="41.3984375" bestFit="1" customWidth="1"/>
    <col min="1309" max="1309" width="5.5" bestFit="1" customWidth="1"/>
    <col min="1310" max="1310" width="6.19921875" bestFit="1" customWidth="1"/>
    <col min="1311" max="1311" width="6.59765625" bestFit="1" customWidth="1"/>
    <col min="1312" max="1313" width="5.69921875" bestFit="1" customWidth="1"/>
    <col min="1314" max="1315" width="6.8984375" bestFit="1" customWidth="1"/>
    <col min="1316" max="1316" width="5.5" bestFit="1" customWidth="1"/>
    <col min="1317" max="1317" width="57.3984375" bestFit="1" customWidth="1"/>
    <col min="1318" max="1318" width="30.69921875" bestFit="1" customWidth="1"/>
    <col min="1554" max="1554" width="24.59765625" bestFit="1" customWidth="1"/>
    <col min="1555" max="1555" width="14.09765625" bestFit="1" customWidth="1"/>
    <col min="1556" max="1556" width="7.8984375" bestFit="1" customWidth="1"/>
    <col min="1557" max="1557" width="5.59765625" bestFit="1" customWidth="1"/>
    <col min="1558" max="1559" width="5.5" bestFit="1" customWidth="1"/>
    <col min="1560" max="1562" width="5.5" customWidth="1"/>
    <col min="1563" max="1563" width="5.5" bestFit="1" customWidth="1"/>
    <col min="1564" max="1564" width="41.3984375" bestFit="1" customWidth="1"/>
    <col min="1565" max="1565" width="5.5" bestFit="1" customWidth="1"/>
    <col min="1566" max="1566" width="6.19921875" bestFit="1" customWidth="1"/>
    <col min="1567" max="1567" width="6.59765625" bestFit="1" customWidth="1"/>
    <col min="1568" max="1569" width="5.69921875" bestFit="1" customWidth="1"/>
    <col min="1570" max="1571" width="6.8984375" bestFit="1" customWidth="1"/>
    <col min="1572" max="1572" width="5.5" bestFit="1" customWidth="1"/>
    <col min="1573" max="1573" width="57.3984375" bestFit="1" customWidth="1"/>
    <col min="1574" max="1574" width="30.69921875" bestFit="1" customWidth="1"/>
    <col min="1810" max="1810" width="24.59765625" bestFit="1" customWidth="1"/>
    <col min="1811" max="1811" width="14.09765625" bestFit="1" customWidth="1"/>
    <col min="1812" max="1812" width="7.8984375" bestFit="1" customWidth="1"/>
    <col min="1813" max="1813" width="5.59765625" bestFit="1" customWidth="1"/>
    <col min="1814" max="1815" width="5.5" bestFit="1" customWidth="1"/>
    <col min="1816" max="1818" width="5.5" customWidth="1"/>
    <col min="1819" max="1819" width="5.5" bestFit="1" customWidth="1"/>
    <col min="1820" max="1820" width="41.3984375" bestFit="1" customWidth="1"/>
    <col min="1821" max="1821" width="5.5" bestFit="1" customWidth="1"/>
    <col min="1822" max="1822" width="6.19921875" bestFit="1" customWidth="1"/>
    <col min="1823" max="1823" width="6.59765625" bestFit="1" customWidth="1"/>
    <col min="1824" max="1825" width="5.69921875" bestFit="1" customWidth="1"/>
    <col min="1826" max="1827" width="6.8984375" bestFit="1" customWidth="1"/>
    <col min="1828" max="1828" width="5.5" bestFit="1" customWidth="1"/>
    <col min="1829" max="1829" width="57.3984375" bestFit="1" customWidth="1"/>
    <col min="1830" max="1830" width="30.69921875" bestFit="1" customWidth="1"/>
    <col min="2066" max="2066" width="24.59765625" bestFit="1" customWidth="1"/>
    <col min="2067" max="2067" width="14.09765625" bestFit="1" customWidth="1"/>
    <col min="2068" max="2068" width="7.8984375" bestFit="1" customWidth="1"/>
    <col min="2069" max="2069" width="5.59765625" bestFit="1" customWidth="1"/>
    <col min="2070" max="2071" width="5.5" bestFit="1" customWidth="1"/>
    <col min="2072" max="2074" width="5.5" customWidth="1"/>
    <col min="2075" max="2075" width="5.5" bestFit="1" customWidth="1"/>
    <col min="2076" max="2076" width="41.3984375" bestFit="1" customWidth="1"/>
    <col min="2077" max="2077" width="5.5" bestFit="1" customWidth="1"/>
    <col min="2078" max="2078" width="6.19921875" bestFit="1" customWidth="1"/>
    <col min="2079" max="2079" width="6.59765625" bestFit="1" customWidth="1"/>
    <col min="2080" max="2081" width="5.69921875" bestFit="1" customWidth="1"/>
    <col min="2082" max="2083" width="6.8984375" bestFit="1" customWidth="1"/>
    <col min="2084" max="2084" width="5.5" bestFit="1" customWidth="1"/>
    <col min="2085" max="2085" width="57.3984375" bestFit="1" customWidth="1"/>
    <col min="2086" max="2086" width="30.69921875" bestFit="1" customWidth="1"/>
    <col min="2322" max="2322" width="24.59765625" bestFit="1" customWidth="1"/>
    <col min="2323" max="2323" width="14.09765625" bestFit="1" customWidth="1"/>
    <col min="2324" max="2324" width="7.8984375" bestFit="1" customWidth="1"/>
    <col min="2325" max="2325" width="5.59765625" bestFit="1" customWidth="1"/>
    <col min="2326" max="2327" width="5.5" bestFit="1" customWidth="1"/>
    <col min="2328" max="2330" width="5.5" customWidth="1"/>
    <col min="2331" max="2331" width="5.5" bestFit="1" customWidth="1"/>
    <col min="2332" max="2332" width="41.3984375" bestFit="1" customWidth="1"/>
    <col min="2333" max="2333" width="5.5" bestFit="1" customWidth="1"/>
    <col min="2334" max="2334" width="6.19921875" bestFit="1" customWidth="1"/>
    <col min="2335" max="2335" width="6.59765625" bestFit="1" customWidth="1"/>
    <col min="2336" max="2337" width="5.69921875" bestFit="1" customWidth="1"/>
    <col min="2338" max="2339" width="6.8984375" bestFit="1" customWidth="1"/>
    <col min="2340" max="2340" width="5.5" bestFit="1" customWidth="1"/>
    <col min="2341" max="2341" width="57.3984375" bestFit="1" customWidth="1"/>
    <col min="2342" max="2342" width="30.69921875" bestFit="1" customWidth="1"/>
    <col min="2578" max="2578" width="24.59765625" bestFit="1" customWidth="1"/>
    <col min="2579" max="2579" width="14.09765625" bestFit="1" customWidth="1"/>
    <col min="2580" max="2580" width="7.8984375" bestFit="1" customWidth="1"/>
    <col min="2581" max="2581" width="5.59765625" bestFit="1" customWidth="1"/>
    <col min="2582" max="2583" width="5.5" bestFit="1" customWidth="1"/>
    <col min="2584" max="2586" width="5.5" customWidth="1"/>
    <col min="2587" max="2587" width="5.5" bestFit="1" customWidth="1"/>
    <col min="2588" max="2588" width="41.3984375" bestFit="1" customWidth="1"/>
    <col min="2589" max="2589" width="5.5" bestFit="1" customWidth="1"/>
    <col min="2590" max="2590" width="6.19921875" bestFit="1" customWidth="1"/>
    <col min="2591" max="2591" width="6.59765625" bestFit="1" customWidth="1"/>
    <col min="2592" max="2593" width="5.69921875" bestFit="1" customWidth="1"/>
    <col min="2594" max="2595" width="6.8984375" bestFit="1" customWidth="1"/>
    <col min="2596" max="2596" width="5.5" bestFit="1" customWidth="1"/>
    <col min="2597" max="2597" width="57.3984375" bestFit="1" customWidth="1"/>
    <col min="2598" max="2598" width="30.69921875" bestFit="1" customWidth="1"/>
    <col min="2834" max="2834" width="24.59765625" bestFit="1" customWidth="1"/>
    <col min="2835" max="2835" width="14.09765625" bestFit="1" customWidth="1"/>
    <col min="2836" max="2836" width="7.8984375" bestFit="1" customWidth="1"/>
    <col min="2837" max="2837" width="5.59765625" bestFit="1" customWidth="1"/>
    <col min="2838" max="2839" width="5.5" bestFit="1" customWidth="1"/>
    <col min="2840" max="2842" width="5.5" customWidth="1"/>
    <col min="2843" max="2843" width="5.5" bestFit="1" customWidth="1"/>
    <col min="2844" max="2844" width="41.3984375" bestFit="1" customWidth="1"/>
    <col min="2845" max="2845" width="5.5" bestFit="1" customWidth="1"/>
    <col min="2846" max="2846" width="6.19921875" bestFit="1" customWidth="1"/>
    <col min="2847" max="2847" width="6.59765625" bestFit="1" customWidth="1"/>
    <col min="2848" max="2849" width="5.69921875" bestFit="1" customWidth="1"/>
    <col min="2850" max="2851" width="6.8984375" bestFit="1" customWidth="1"/>
    <col min="2852" max="2852" width="5.5" bestFit="1" customWidth="1"/>
    <col min="2853" max="2853" width="57.3984375" bestFit="1" customWidth="1"/>
    <col min="2854" max="2854" width="30.69921875" bestFit="1" customWidth="1"/>
    <col min="3090" max="3090" width="24.59765625" bestFit="1" customWidth="1"/>
    <col min="3091" max="3091" width="14.09765625" bestFit="1" customWidth="1"/>
    <col min="3092" max="3092" width="7.8984375" bestFit="1" customWidth="1"/>
    <col min="3093" max="3093" width="5.59765625" bestFit="1" customWidth="1"/>
    <col min="3094" max="3095" width="5.5" bestFit="1" customWidth="1"/>
    <col min="3096" max="3098" width="5.5" customWidth="1"/>
    <col min="3099" max="3099" width="5.5" bestFit="1" customWidth="1"/>
    <col min="3100" max="3100" width="41.3984375" bestFit="1" customWidth="1"/>
    <col min="3101" max="3101" width="5.5" bestFit="1" customWidth="1"/>
    <col min="3102" max="3102" width="6.19921875" bestFit="1" customWidth="1"/>
    <col min="3103" max="3103" width="6.59765625" bestFit="1" customWidth="1"/>
    <col min="3104" max="3105" width="5.69921875" bestFit="1" customWidth="1"/>
    <col min="3106" max="3107" width="6.8984375" bestFit="1" customWidth="1"/>
    <col min="3108" max="3108" width="5.5" bestFit="1" customWidth="1"/>
    <col min="3109" max="3109" width="57.3984375" bestFit="1" customWidth="1"/>
    <col min="3110" max="3110" width="30.69921875" bestFit="1" customWidth="1"/>
    <col min="3346" max="3346" width="24.59765625" bestFit="1" customWidth="1"/>
    <col min="3347" max="3347" width="14.09765625" bestFit="1" customWidth="1"/>
    <col min="3348" max="3348" width="7.8984375" bestFit="1" customWidth="1"/>
    <col min="3349" max="3349" width="5.59765625" bestFit="1" customWidth="1"/>
    <col min="3350" max="3351" width="5.5" bestFit="1" customWidth="1"/>
    <col min="3352" max="3354" width="5.5" customWidth="1"/>
    <col min="3355" max="3355" width="5.5" bestFit="1" customWidth="1"/>
    <col min="3356" max="3356" width="41.3984375" bestFit="1" customWidth="1"/>
    <col min="3357" max="3357" width="5.5" bestFit="1" customWidth="1"/>
    <col min="3358" max="3358" width="6.19921875" bestFit="1" customWidth="1"/>
    <col min="3359" max="3359" width="6.59765625" bestFit="1" customWidth="1"/>
    <col min="3360" max="3361" width="5.69921875" bestFit="1" customWidth="1"/>
    <col min="3362" max="3363" width="6.8984375" bestFit="1" customWidth="1"/>
    <col min="3364" max="3364" width="5.5" bestFit="1" customWidth="1"/>
    <col min="3365" max="3365" width="57.3984375" bestFit="1" customWidth="1"/>
    <col min="3366" max="3366" width="30.69921875" bestFit="1" customWidth="1"/>
    <col min="3602" max="3602" width="24.59765625" bestFit="1" customWidth="1"/>
    <col min="3603" max="3603" width="14.09765625" bestFit="1" customWidth="1"/>
    <col min="3604" max="3604" width="7.8984375" bestFit="1" customWidth="1"/>
    <col min="3605" max="3605" width="5.59765625" bestFit="1" customWidth="1"/>
    <col min="3606" max="3607" width="5.5" bestFit="1" customWidth="1"/>
    <col min="3608" max="3610" width="5.5" customWidth="1"/>
    <col min="3611" max="3611" width="5.5" bestFit="1" customWidth="1"/>
    <col min="3612" max="3612" width="41.3984375" bestFit="1" customWidth="1"/>
    <col min="3613" max="3613" width="5.5" bestFit="1" customWidth="1"/>
    <col min="3614" max="3614" width="6.19921875" bestFit="1" customWidth="1"/>
    <col min="3615" max="3615" width="6.59765625" bestFit="1" customWidth="1"/>
    <col min="3616" max="3617" width="5.69921875" bestFit="1" customWidth="1"/>
    <col min="3618" max="3619" width="6.8984375" bestFit="1" customWidth="1"/>
    <col min="3620" max="3620" width="5.5" bestFit="1" customWidth="1"/>
    <col min="3621" max="3621" width="57.3984375" bestFit="1" customWidth="1"/>
    <col min="3622" max="3622" width="30.69921875" bestFit="1" customWidth="1"/>
    <col min="3858" max="3858" width="24.59765625" bestFit="1" customWidth="1"/>
    <col min="3859" max="3859" width="14.09765625" bestFit="1" customWidth="1"/>
    <col min="3860" max="3860" width="7.8984375" bestFit="1" customWidth="1"/>
    <col min="3861" max="3861" width="5.59765625" bestFit="1" customWidth="1"/>
    <col min="3862" max="3863" width="5.5" bestFit="1" customWidth="1"/>
    <col min="3864" max="3866" width="5.5" customWidth="1"/>
    <col min="3867" max="3867" width="5.5" bestFit="1" customWidth="1"/>
    <col min="3868" max="3868" width="41.3984375" bestFit="1" customWidth="1"/>
    <col min="3869" max="3869" width="5.5" bestFit="1" customWidth="1"/>
    <col min="3870" max="3870" width="6.19921875" bestFit="1" customWidth="1"/>
    <col min="3871" max="3871" width="6.59765625" bestFit="1" customWidth="1"/>
    <col min="3872" max="3873" width="5.69921875" bestFit="1" customWidth="1"/>
    <col min="3874" max="3875" width="6.8984375" bestFit="1" customWidth="1"/>
    <col min="3876" max="3876" width="5.5" bestFit="1" customWidth="1"/>
    <col min="3877" max="3877" width="57.3984375" bestFit="1" customWidth="1"/>
    <col min="3878" max="3878" width="30.69921875" bestFit="1" customWidth="1"/>
    <col min="4114" max="4114" width="24.59765625" bestFit="1" customWidth="1"/>
    <col min="4115" max="4115" width="14.09765625" bestFit="1" customWidth="1"/>
    <col min="4116" max="4116" width="7.8984375" bestFit="1" customWidth="1"/>
    <col min="4117" max="4117" width="5.59765625" bestFit="1" customWidth="1"/>
    <col min="4118" max="4119" width="5.5" bestFit="1" customWidth="1"/>
    <col min="4120" max="4122" width="5.5" customWidth="1"/>
    <col min="4123" max="4123" width="5.5" bestFit="1" customWidth="1"/>
    <col min="4124" max="4124" width="41.3984375" bestFit="1" customWidth="1"/>
    <col min="4125" max="4125" width="5.5" bestFit="1" customWidth="1"/>
    <col min="4126" max="4126" width="6.19921875" bestFit="1" customWidth="1"/>
    <col min="4127" max="4127" width="6.59765625" bestFit="1" customWidth="1"/>
    <col min="4128" max="4129" width="5.69921875" bestFit="1" customWidth="1"/>
    <col min="4130" max="4131" width="6.8984375" bestFit="1" customWidth="1"/>
    <col min="4132" max="4132" width="5.5" bestFit="1" customWidth="1"/>
    <col min="4133" max="4133" width="57.3984375" bestFit="1" customWidth="1"/>
    <col min="4134" max="4134" width="30.69921875" bestFit="1" customWidth="1"/>
    <col min="4370" max="4370" width="24.59765625" bestFit="1" customWidth="1"/>
    <col min="4371" max="4371" width="14.09765625" bestFit="1" customWidth="1"/>
    <col min="4372" max="4372" width="7.8984375" bestFit="1" customWidth="1"/>
    <col min="4373" max="4373" width="5.59765625" bestFit="1" customWidth="1"/>
    <col min="4374" max="4375" width="5.5" bestFit="1" customWidth="1"/>
    <col min="4376" max="4378" width="5.5" customWidth="1"/>
    <col min="4379" max="4379" width="5.5" bestFit="1" customWidth="1"/>
    <col min="4380" max="4380" width="41.3984375" bestFit="1" customWidth="1"/>
    <col min="4381" max="4381" width="5.5" bestFit="1" customWidth="1"/>
    <col min="4382" max="4382" width="6.19921875" bestFit="1" customWidth="1"/>
    <col min="4383" max="4383" width="6.59765625" bestFit="1" customWidth="1"/>
    <col min="4384" max="4385" width="5.69921875" bestFit="1" customWidth="1"/>
    <col min="4386" max="4387" width="6.8984375" bestFit="1" customWidth="1"/>
    <col min="4388" max="4388" width="5.5" bestFit="1" customWidth="1"/>
    <col min="4389" max="4389" width="57.3984375" bestFit="1" customWidth="1"/>
    <col min="4390" max="4390" width="30.69921875" bestFit="1" customWidth="1"/>
    <col min="4626" max="4626" width="24.59765625" bestFit="1" customWidth="1"/>
    <col min="4627" max="4627" width="14.09765625" bestFit="1" customWidth="1"/>
    <col min="4628" max="4628" width="7.8984375" bestFit="1" customWidth="1"/>
    <col min="4629" max="4629" width="5.59765625" bestFit="1" customWidth="1"/>
    <col min="4630" max="4631" width="5.5" bestFit="1" customWidth="1"/>
    <col min="4632" max="4634" width="5.5" customWidth="1"/>
    <col min="4635" max="4635" width="5.5" bestFit="1" customWidth="1"/>
    <col min="4636" max="4636" width="41.3984375" bestFit="1" customWidth="1"/>
    <col min="4637" max="4637" width="5.5" bestFit="1" customWidth="1"/>
    <col min="4638" max="4638" width="6.19921875" bestFit="1" customWidth="1"/>
    <col min="4639" max="4639" width="6.59765625" bestFit="1" customWidth="1"/>
    <col min="4640" max="4641" width="5.69921875" bestFit="1" customWidth="1"/>
    <col min="4642" max="4643" width="6.8984375" bestFit="1" customWidth="1"/>
    <col min="4644" max="4644" width="5.5" bestFit="1" customWidth="1"/>
    <col min="4645" max="4645" width="57.3984375" bestFit="1" customWidth="1"/>
    <col min="4646" max="4646" width="30.69921875" bestFit="1" customWidth="1"/>
    <col min="4882" max="4882" width="24.59765625" bestFit="1" customWidth="1"/>
    <col min="4883" max="4883" width="14.09765625" bestFit="1" customWidth="1"/>
    <col min="4884" max="4884" width="7.8984375" bestFit="1" customWidth="1"/>
    <col min="4885" max="4885" width="5.59765625" bestFit="1" customWidth="1"/>
    <col min="4886" max="4887" width="5.5" bestFit="1" customWidth="1"/>
    <col min="4888" max="4890" width="5.5" customWidth="1"/>
    <col min="4891" max="4891" width="5.5" bestFit="1" customWidth="1"/>
    <col min="4892" max="4892" width="41.3984375" bestFit="1" customWidth="1"/>
    <col min="4893" max="4893" width="5.5" bestFit="1" customWidth="1"/>
    <col min="4894" max="4894" width="6.19921875" bestFit="1" customWidth="1"/>
    <col min="4895" max="4895" width="6.59765625" bestFit="1" customWidth="1"/>
    <col min="4896" max="4897" width="5.69921875" bestFit="1" customWidth="1"/>
    <col min="4898" max="4899" width="6.8984375" bestFit="1" customWidth="1"/>
    <col min="4900" max="4900" width="5.5" bestFit="1" customWidth="1"/>
    <col min="4901" max="4901" width="57.3984375" bestFit="1" customWidth="1"/>
    <col min="4902" max="4902" width="30.69921875" bestFit="1" customWidth="1"/>
    <col min="5138" max="5138" width="24.59765625" bestFit="1" customWidth="1"/>
    <col min="5139" max="5139" width="14.09765625" bestFit="1" customWidth="1"/>
    <col min="5140" max="5140" width="7.8984375" bestFit="1" customWidth="1"/>
    <col min="5141" max="5141" width="5.59765625" bestFit="1" customWidth="1"/>
    <col min="5142" max="5143" width="5.5" bestFit="1" customWidth="1"/>
    <col min="5144" max="5146" width="5.5" customWidth="1"/>
    <col min="5147" max="5147" width="5.5" bestFit="1" customWidth="1"/>
    <col min="5148" max="5148" width="41.3984375" bestFit="1" customWidth="1"/>
    <col min="5149" max="5149" width="5.5" bestFit="1" customWidth="1"/>
    <col min="5150" max="5150" width="6.19921875" bestFit="1" customWidth="1"/>
    <col min="5151" max="5151" width="6.59765625" bestFit="1" customWidth="1"/>
    <col min="5152" max="5153" width="5.69921875" bestFit="1" customWidth="1"/>
    <col min="5154" max="5155" width="6.8984375" bestFit="1" customWidth="1"/>
    <col min="5156" max="5156" width="5.5" bestFit="1" customWidth="1"/>
    <col min="5157" max="5157" width="57.3984375" bestFit="1" customWidth="1"/>
    <col min="5158" max="5158" width="30.69921875" bestFit="1" customWidth="1"/>
    <col min="5394" max="5394" width="24.59765625" bestFit="1" customWidth="1"/>
    <col min="5395" max="5395" width="14.09765625" bestFit="1" customWidth="1"/>
    <col min="5396" max="5396" width="7.8984375" bestFit="1" customWidth="1"/>
    <col min="5397" max="5397" width="5.59765625" bestFit="1" customWidth="1"/>
    <col min="5398" max="5399" width="5.5" bestFit="1" customWidth="1"/>
    <col min="5400" max="5402" width="5.5" customWidth="1"/>
    <col min="5403" max="5403" width="5.5" bestFit="1" customWidth="1"/>
    <col min="5404" max="5404" width="41.3984375" bestFit="1" customWidth="1"/>
    <col min="5405" max="5405" width="5.5" bestFit="1" customWidth="1"/>
    <col min="5406" max="5406" width="6.19921875" bestFit="1" customWidth="1"/>
    <col min="5407" max="5407" width="6.59765625" bestFit="1" customWidth="1"/>
    <col min="5408" max="5409" width="5.69921875" bestFit="1" customWidth="1"/>
    <col min="5410" max="5411" width="6.8984375" bestFit="1" customWidth="1"/>
    <col min="5412" max="5412" width="5.5" bestFit="1" customWidth="1"/>
    <col min="5413" max="5413" width="57.3984375" bestFit="1" customWidth="1"/>
    <col min="5414" max="5414" width="30.69921875" bestFit="1" customWidth="1"/>
    <col min="5650" max="5650" width="24.59765625" bestFit="1" customWidth="1"/>
    <col min="5651" max="5651" width="14.09765625" bestFit="1" customWidth="1"/>
    <col min="5652" max="5652" width="7.8984375" bestFit="1" customWidth="1"/>
    <col min="5653" max="5653" width="5.59765625" bestFit="1" customWidth="1"/>
    <col min="5654" max="5655" width="5.5" bestFit="1" customWidth="1"/>
    <col min="5656" max="5658" width="5.5" customWidth="1"/>
    <col min="5659" max="5659" width="5.5" bestFit="1" customWidth="1"/>
    <col min="5660" max="5660" width="41.3984375" bestFit="1" customWidth="1"/>
    <col min="5661" max="5661" width="5.5" bestFit="1" customWidth="1"/>
    <col min="5662" max="5662" width="6.19921875" bestFit="1" customWidth="1"/>
    <col min="5663" max="5663" width="6.59765625" bestFit="1" customWidth="1"/>
    <col min="5664" max="5665" width="5.69921875" bestFit="1" customWidth="1"/>
    <col min="5666" max="5667" width="6.8984375" bestFit="1" customWidth="1"/>
    <col min="5668" max="5668" width="5.5" bestFit="1" customWidth="1"/>
    <col min="5669" max="5669" width="57.3984375" bestFit="1" customWidth="1"/>
    <col min="5670" max="5670" width="30.69921875" bestFit="1" customWidth="1"/>
    <col min="5906" max="5906" width="24.59765625" bestFit="1" customWidth="1"/>
    <col min="5907" max="5907" width="14.09765625" bestFit="1" customWidth="1"/>
    <col min="5908" max="5908" width="7.8984375" bestFit="1" customWidth="1"/>
    <col min="5909" max="5909" width="5.59765625" bestFit="1" customWidth="1"/>
    <col min="5910" max="5911" width="5.5" bestFit="1" customWidth="1"/>
    <col min="5912" max="5914" width="5.5" customWidth="1"/>
    <col min="5915" max="5915" width="5.5" bestFit="1" customWidth="1"/>
    <col min="5916" max="5916" width="41.3984375" bestFit="1" customWidth="1"/>
    <col min="5917" max="5917" width="5.5" bestFit="1" customWidth="1"/>
    <col min="5918" max="5918" width="6.19921875" bestFit="1" customWidth="1"/>
    <col min="5919" max="5919" width="6.59765625" bestFit="1" customWidth="1"/>
    <col min="5920" max="5921" width="5.69921875" bestFit="1" customWidth="1"/>
    <col min="5922" max="5923" width="6.8984375" bestFit="1" customWidth="1"/>
    <col min="5924" max="5924" width="5.5" bestFit="1" customWidth="1"/>
    <col min="5925" max="5925" width="57.3984375" bestFit="1" customWidth="1"/>
    <col min="5926" max="5926" width="30.69921875" bestFit="1" customWidth="1"/>
    <col min="6162" max="6162" width="24.59765625" bestFit="1" customWidth="1"/>
    <col min="6163" max="6163" width="14.09765625" bestFit="1" customWidth="1"/>
    <col min="6164" max="6164" width="7.8984375" bestFit="1" customWidth="1"/>
    <col min="6165" max="6165" width="5.59765625" bestFit="1" customWidth="1"/>
    <col min="6166" max="6167" width="5.5" bestFit="1" customWidth="1"/>
    <col min="6168" max="6170" width="5.5" customWidth="1"/>
    <col min="6171" max="6171" width="5.5" bestFit="1" customWidth="1"/>
    <col min="6172" max="6172" width="41.3984375" bestFit="1" customWidth="1"/>
    <col min="6173" max="6173" width="5.5" bestFit="1" customWidth="1"/>
    <col min="6174" max="6174" width="6.19921875" bestFit="1" customWidth="1"/>
    <col min="6175" max="6175" width="6.59765625" bestFit="1" customWidth="1"/>
    <col min="6176" max="6177" width="5.69921875" bestFit="1" customWidth="1"/>
    <col min="6178" max="6179" width="6.8984375" bestFit="1" customWidth="1"/>
    <col min="6180" max="6180" width="5.5" bestFit="1" customWidth="1"/>
    <col min="6181" max="6181" width="57.3984375" bestFit="1" customWidth="1"/>
    <col min="6182" max="6182" width="30.69921875" bestFit="1" customWidth="1"/>
    <col min="6418" max="6418" width="24.59765625" bestFit="1" customWidth="1"/>
    <col min="6419" max="6419" width="14.09765625" bestFit="1" customWidth="1"/>
    <col min="6420" max="6420" width="7.8984375" bestFit="1" customWidth="1"/>
    <col min="6421" max="6421" width="5.59765625" bestFit="1" customWidth="1"/>
    <col min="6422" max="6423" width="5.5" bestFit="1" customWidth="1"/>
    <col min="6424" max="6426" width="5.5" customWidth="1"/>
    <col min="6427" max="6427" width="5.5" bestFit="1" customWidth="1"/>
    <col min="6428" max="6428" width="41.3984375" bestFit="1" customWidth="1"/>
    <col min="6429" max="6429" width="5.5" bestFit="1" customWidth="1"/>
    <col min="6430" max="6430" width="6.19921875" bestFit="1" customWidth="1"/>
    <col min="6431" max="6431" width="6.59765625" bestFit="1" customWidth="1"/>
    <col min="6432" max="6433" width="5.69921875" bestFit="1" customWidth="1"/>
    <col min="6434" max="6435" width="6.8984375" bestFit="1" customWidth="1"/>
    <col min="6436" max="6436" width="5.5" bestFit="1" customWidth="1"/>
    <col min="6437" max="6437" width="57.3984375" bestFit="1" customWidth="1"/>
    <col min="6438" max="6438" width="30.69921875" bestFit="1" customWidth="1"/>
    <col min="6674" max="6674" width="24.59765625" bestFit="1" customWidth="1"/>
    <col min="6675" max="6675" width="14.09765625" bestFit="1" customWidth="1"/>
    <col min="6676" max="6676" width="7.8984375" bestFit="1" customWidth="1"/>
    <col min="6677" max="6677" width="5.59765625" bestFit="1" customWidth="1"/>
    <col min="6678" max="6679" width="5.5" bestFit="1" customWidth="1"/>
    <col min="6680" max="6682" width="5.5" customWidth="1"/>
    <col min="6683" max="6683" width="5.5" bestFit="1" customWidth="1"/>
    <col min="6684" max="6684" width="41.3984375" bestFit="1" customWidth="1"/>
    <col min="6685" max="6685" width="5.5" bestFit="1" customWidth="1"/>
    <col min="6686" max="6686" width="6.19921875" bestFit="1" customWidth="1"/>
    <col min="6687" max="6687" width="6.59765625" bestFit="1" customWidth="1"/>
    <col min="6688" max="6689" width="5.69921875" bestFit="1" customWidth="1"/>
    <col min="6690" max="6691" width="6.8984375" bestFit="1" customWidth="1"/>
    <col min="6692" max="6692" width="5.5" bestFit="1" customWidth="1"/>
    <col min="6693" max="6693" width="57.3984375" bestFit="1" customWidth="1"/>
    <col min="6694" max="6694" width="30.69921875" bestFit="1" customWidth="1"/>
    <col min="6930" max="6930" width="24.59765625" bestFit="1" customWidth="1"/>
    <col min="6931" max="6931" width="14.09765625" bestFit="1" customWidth="1"/>
    <col min="6932" max="6932" width="7.8984375" bestFit="1" customWidth="1"/>
    <col min="6933" max="6933" width="5.59765625" bestFit="1" customWidth="1"/>
    <col min="6934" max="6935" width="5.5" bestFit="1" customWidth="1"/>
    <col min="6936" max="6938" width="5.5" customWidth="1"/>
    <col min="6939" max="6939" width="5.5" bestFit="1" customWidth="1"/>
    <col min="6940" max="6940" width="41.3984375" bestFit="1" customWidth="1"/>
    <col min="6941" max="6941" width="5.5" bestFit="1" customWidth="1"/>
    <col min="6942" max="6942" width="6.19921875" bestFit="1" customWidth="1"/>
    <col min="6943" max="6943" width="6.59765625" bestFit="1" customWidth="1"/>
    <col min="6944" max="6945" width="5.69921875" bestFit="1" customWidth="1"/>
    <col min="6946" max="6947" width="6.8984375" bestFit="1" customWidth="1"/>
    <col min="6948" max="6948" width="5.5" bestFit="1" customWidth="1"/>
    <col min="6949" max="6949" width="57.3984375" bestFit="1" customWidth="1"/>
    <col min="6950" max="6950" width="30.69921875" bestFit="1" customWidth="1"/>
    <col min="7186" max="7186" width="24.59765625" bestFit="1" customWidth="1"/>
    <col min="7187" max="7187" width="14.09765625" bestFit="1" customWidth="1"/>
    <col min="7188" max="7188" width="7.8984375" bestFit="1" customWidth="1"/>
    <col min="7189" max="7189" width="5.59765625" bestFit="1" customWidth="1"/>
    <col min="7190" max="7191" width="5.5" bestFit="1" customWidth="1"/>
    <col min="7192" max="7194" width="5.5" customWidth="1"/>
    <col min="7195" max="7195" width="5.5" bestFit="1" customWidth="1"/>
    <col min="7196" max="7196" width="41.3984375" bestFit="1" customWidth="1"/>
    <col min="7197" max="7197" width="5.5" bestFit="1" customWidth="1"/>
    <col min="7198" max="7198" width="6.19921875" bestFit="1" customWidth="1"/>
    <col min="7199" max="7199" width="6.59765625" bestFit="1" customWidth="1"/>
    <col min="7200" max="7201" width="5.69921875" bestFit="1" customWidth="1"/>
    <col min="7202" max="7203" width="6.8984375" bestFit="1" customWidth="1"/>
    <col min="7204" max="7204" width="5.5" bestFit="1" customWidth="1"/>
    <col min="7205" max="7205" width="57.3984375" bestFit="1" customWidth="1"/>
    <col min="7206" max="7206" width="30.69921875" bestFit="1" customWidth="1"/>
    <col min="7442" max="7442" width="24.59765625" bestFit="1" customWidth="1"/>
    <col min="7443" max="7443" width="14.09765625" bestFit="1" customWidth="1"/>
    <col min="7444" max="7444" width="7.8984375" bestFit="1" customWidth="1"/>
    <col min="7445" max="7445" width="5.59765625" bestFit="1" customWidth="1"/>
    <col min="7446" max="7447" width="5.5" bestFit="1" customWidth="1"/>
    <col min="7448" max="7450" width="5.5" customWidth="1"/>
    <col min="7451" max="7451" width="5.5" bestFit="1" customWidth="1"/>
    <col min="7452" max="7452" width="41.3984375" bestFit="1" customWidth="1"/>
    <col min="7453" max="7453" width="5.5" bestFit="1" customWidth="1"/>
    <col min="7454" max="7454" width="6.19921875" bestFit="1" customWidth="1"/>
    <col min="7455" max="7455" width="6.59765625" bestFit="1" customWidth="1"/>
    <col min="7456" max="7457" width="5.69921875" bestFit="1" customWidth="1"/>
    <col min="7458" max="7459" width="6.8984375" bestFit="1" customWidth="1"/>
    <col min="7460" max="7460" width="5.5" bestFit="1" customWidth="1"/>
    <col min="7461" max="7461" width="57.3984375" bestFit="1" customWidth="1"/>
    <col min="7462" max="7462" width="30.69921875" bestFit="1" customWidth="1"/>
    <col min="7698" max="7698" width="24.59765625" bestFit="1" customWidth="1"/>
    <col min="7699" max="7699" width="14.09765625" bestFit="1" customWidth="1"/>
    <col min="7700" max="7700" width="7.8984375" bestFit="1" customWidth="1"/>
    <col min="7701" max="7701" width="5.59765625" bestFit="1" customWidth="1"/>
    <col min="7702" max="7703" width="5.5" bestFit="1" customWidth="1"/>
    <col min="7704" max="7706" width="5.5" customWidth="1"/>
    <col min="7707" max="7707" width="5.5" bestFit="1" customWidth="1"/>
    <col min="7708" max="7708" width="41.3984375" bestFit="1" customWidth="1"/>
    <col min="7709" max="7709" width="5.5" bestFit="1" customWidth="1"/>
    <col min="7710" max="7710" width="6.19921875" bestFit="1" customWidth="1"/>
    <col min="7711" max="7711" width="6.59765625" bestFit="1" customWidth="1"/>
    <col min="7712" max="7713" width="5.69921875" bestFit="1" customWidth="1"/>
    <col min="7714" max="7715" width="6.8984375" bestFit="1" customWidth="1"/>
    <col min="7716" max="7716" width="5.5" bestFit="1" customWidth="1"/>
    <col min="7717" max="7717" width="57.3984375" bestFit="1" customWidth="1"/>
    <col min="7718" max="7718" width="30.69921875" bestFit="1" customWidth="1"/>
    <col min="7954" max="7954" width="24.59765625" bestFit="1" customWidth="1"/>
    <col min="7955" max="7955" width="14.09765625" bestFit="1" customWidth="1"/>
    <col min="7956" max="7956" width="7.8984375" bestFit="1" customWidth="1"/>
    <col min="7957" max="7957" width="5.59765625" bestFit="1" customWidth="1"/>
    <col min="7958" max="7959" width="5.5" bestFit="1" customWidth="1"/>
    <col min="7960" max="7962" width="5.5" customWidth="1"/>
    <col min="7963" max="7963" width="5.5" bestFit="1" customWidth="1"/>
    <col min="7964" max="7964" width="41.3984375" bestFit="1" customWidth="1"/>
    <col min="7965" max="7965" width="5.5" bestFit="1" customWidth="1"/>
    <col min="7966" max="7966" width="6.19921875" bestFit="1" customWidth="1"/>
    <col min="7967" max="7967" width="6.59765625" bestFit="1" customWidth="1"/>
    <col min="7968" max="7969" width="5.69921875" bestFit="1" customWidth="1"/>
    <col min="7970" max="7971" width="6.8984375" bestFit="1" customWidth="1"/>
    <col min="7972" max="7972" width="5.5" bestFit="1" customWidth="1"/>
    <col min="7973" max="7973" width="57.3984375" bestFit="1" customWidth="1"/>
    <col min="7974" max="7974" width="30.69921875" bestFit="1" customWidth="1"/>
    <col min="8210" max="8210" width="24.59765625" bestFit="1" customWidth="1"/>
    <col min="8211" max="8211" width="14.09765625" bestFit="1" customWidth="1"/>
    <col min="8212" max="8212" width="7.8984375" bestFit="1" customWidth="1"/>
    <col min="8213" max="8213" width="5.59765625" bestFit="1" customWidth="1"/>
    <col min="8214" max="8215" width="5.5" bestFit="1" customWidth="1"/>
    <col min="8216" max="8218" width="5.5" customWidth="1"/>
    <col min="8219" max="8219" width="5.5" bestFit="1" customWidth="1"/>
    <col min="8220" max="8220" width="41.3984375" bestFit="1" customWidth="1"/>
    <col min="8221" max="8221" width="5.5" bestFit="1" customWidth="1"/>
    <col min="8222" max="8222" width="6.19921875" bestFit="1" customWidth="1"/>
    <col min="8223" max="8223" width="6.59765625" bestFit="1" customWidth="1"/>
    <col min="8224" max="8225" width="5.69921875" bestFit="1" customWidth="1"/>
    <col min="8226" max="8227" width="6.8984375" bestFit="1" customWidth="1"/>
    <col min="8228" max="8228" width="5.5" bestFit="1" customWidth="1"/>
    <col min="8229" max="8229" width="57.3984375" bestFit="1" customWidth="1"/>
    <col min="8230" max="8230" width="30.69921875" bestFit="1" customWidth="1"/>
    <col min="8466" max="8466" width="24.59765625" bestFit="1" customWidth="1"/>
    <col min="8467" max="8467" width="14.09765625" bestFit="1" customWidth="1"/>
    <col min="8468" max="8468" width="7.8984375" bestFit="1" customWidth="1"/>
    <col min="8469" max="8469" width="5.59765625" bestFit="1" customWidth="1"/>
    <col min="8470" max="8471" width="5.5" bestFit="1" customWidth="1"/>
    <col min="8472" max="8474" width="5.5" customWidth="1"/>
    <col min="8475" max="8475" width="5.5" bestFit="1" customWidth="1"/>
    <col min="8476" max="8476" width="41.3984375" bestFit="1" customWidth="1"/>
    <col min="8477" max="8477" width="5.5" bestFit="1" customWidth="1"/>
    <col min="8478" max="8478" width="6.19921875" bestFit="1" customWidth="1"/>
    <col min="8479" max="8479" width="6.59765625" bestFit="1" customWidth="1"/>
    <col min="8480" max="8481" width="5.69921875" bestFit="1" customWidth="1"/>
    <col min="8482" max="8483" width="6.8984375" bestFit="1" customWidth="1"/>
    <col min="8484" max="8484" width="5.5" bestFit="1" customWidth="1"/>
    <col min="8485" max="8485" width="57.3984375" bestFit="1" customWidth="1"/>
    <col min="8486" max="8486" width="30.69921875" bestFit="1" customWidth="1"/>
    <col min="8722" max="8722" width="24.59765625" bestFit="1" customWidth="1"/>
    <col min="8723" max="8723" width="14.09765625" bestFit="1" customWidth="1"/>
    <col min="8724" max="8724" width="7.8984375" bestFit="1" customWidth="1"/>
    <col min="8725" max="8725" width="5.59765625" bestFit="1" customWidth="1"/>
    <col min="8726" max="8727" width="5.5" bestFit="1" customWidth="1"/>
    <col min="8728" max="8730" width="5.5" customWidth="1"/>
    <col min="8731" max="8731" width="5.5" bestFit="1" customWidth="1"/>
    <col min="8732" max="8732" width="41.3984375" bestFit="1" customWidth="1"/>
    <col min="8733" max="8733" width="5.5" bestFit="1" customWidth="1"/>
    <col min="8734" max="8734" width="6.19921875" bestFit="1" customWidth="1"/>
    <col min="8735" max="8735" width="6.59765625" bestFit="1" customWidth="1"/>
    <col min="8736" max="8737" width="5.69921875" bestFit="1" customWidth="1"/>
    <col min="8738" max="8739" width="6.8984375" bestFit="1" customWidth="1"/>
    <col min="8740" max="8740" width="5.5" bestFit="1" customWidth="1"/>
    <col min="8741" max="8741" width="57.3984375" bestFit="1" customWidth="1"/>
    <col min="8742" max="8742" width="30.69921875" bestFit="1" customWidth="1"/>
    <col min="8978" max="8978" width="24.59765625" bestFit="1" customWidth="1"/>
    <col min="8979" max="8979" width="14.09765625" bestFit="1" customWidth="1"/>
    <col min="8980" max="8980" width="7.8984375" bestFit="1" customWidth="1"/>
    <col min="8981" max="8981" width="5.59765625" bestFit="1" customWidth="1"/>
    <col min="8982" max="8983" width="5.5" bestFit="1" customWidth="1"/>
    <col min="8984" max="8986" width="5.5" customWidth="1"/>
    <col min="8987" max="8987" width="5.5" bestFit="1" customWidth="1"/>
    <col min="8988" max="8988" width="41.3984375" bestFit="1" customWidth="1"/>
    <col min="8989" max="8989" width="5.5" bestFit="1" customWidth="1"/>
    <col min="8990" max="8990" width="6.19921875" bestFit="1" customWidth="1"/>
    <col min="8991" max="8991" width="6.59765625" bestFit="1" customWidth="1"/>
    <col min="8992" max="8993" width="5.69921875" bestFit="1" customWidth="1"/>
    <col min="8994" max="8995" width="6.8984375" bestFit="1" customWidth="1"/>
    <col min="8996" max="8996" width="5.5" bestFit="1" customWidth="1"/>
    <col min="8997" max="8997" width="57.3984375" bestFit="1" customWidth="1"/>
    <col min="8998" max="8998" width="30.69921875" bestFit="1" customWidth="1"/>
    <col min="9234" max="9234" width="24.59765625" bestFit="1" customWidth="1"/>
    <col min="9235" max="9235" width="14.09765625" bestFit="1" customWidth="1"/>
    <col min="9236" max="9236" width="7.8984375" bestFit="1" customWidth="1"/>
    <col min="9237" max="9237" width="5.59765625" bestFit="1" customWidth="1"/>
    <col min="9238" max="9239" width="5.5" bestFit="1" customWidth="1"/>
    <col min="9240" max="9242" width="5.5" customWidth="1"/>
    <col min="9243" max="9243" width="5.5" bestFit="1" customWidth="1"/>
    <col min="9244" max="9244" width="41.3984375" bestFit="1" customWidth="1"/>
    <col min="9245" max="9245" width="5.5" bestFit="1" customWidth="1"/>
    <col min="9246" max="9246" width="6.19921875" bestFit="1" customWidth="1"/>
    <col min="9247" max="9247" width="6.59765625" bestFit="1" customWidth="1"/>
    <col min="9248" max="9249" width="5.69921875" bestFit="1" customWidth="1"/>
    <col min="9250" max="9251" width="6.8984375" bestFit="1" customWidth="1"/>
    <col min="9252" max="9252" width="5.5" bestFit="1" customWidth="1"/>
    <col min="9253" max="9253" width="57.3984375" bestFit="1" customWidth="1"/>
    <col min="9254" max="9254" width="30.69921875" bestFit="1" customWidth="1"/>
    <col min="9490" max="9490" width="24.59765625" bestFit="1" customWidth="1"/>
    <col min="9491" max="9491" width="14.09765625" bestFit="1" customWidth="1"/>
    <col min="9492" max="9492" width="7.8984375" bestFit="1" customWidth="1"/>
    <col min="9493" max="9493" width="5.59765625" bestFit="1" customWidth="1"/>
    <col min="9494" max="9495" width="5.5" bestFit="1" customWidth="1"/>
    <col min="9496" max="9498" width="5.5" customWidth="1"/>
    <col min="9499" max="9499" width="5.5" bestFit="1" customWidth="1"/>
    <col min="9500" max="9500" width="41.3984375" bestFit="1" customWidth="1"/>
    <col min="9501" max="9501" width="5.5" bestFit="1" customWidth="1"/>
    <col min="9502" max="9502" width="6.19921875" bestFit="1" customWidth="1"/>
    <col min="9503" max="9503" width="6.59765625" bestFit="1" customWidth="1"/>
    <col min="9504" max="9505" width="5.69921875" bestFit="1" customWidth="1"/>
    <col min="9506" max="9507" width="6.8984375" bestFit="1" customWidth="1"/>
    <col min="9508" max="9508" width="5.5" bestFit="1" customWidth="1"/>
    <col min="9509" max="9509" width="57.3984375" bestFit="1" customWidth="1"/>
    <col min="9510" max="9510" width="30.69921875" bestFit="1" customWidth="1"/>
    <col min="9746" max="9746" width="24.59765625" bestFit="1" customWidth="1"/>
    <col min="9747" max="9747" width="14.09765625" bestFit="1" customWidth="1"/>
    <col min="9748" max="9748" width="7.8984375" bestFit="1" customWidth="1"/>
    <col min="9749" max="9749" width="5.59765625" bestFit="1" customWidth="1"/>
    <col min="9750" max="9751" width="5.5" bestFit="1" customWidth="1"/>
    <col min="9752" max="9754" width="5.5" customWidth="1"/>
    <col min="9755" max="9755" width="5.5" bestFit="1" customWidth="1"/>
    <col min="9756" max="9756" width="41.3984375" bestFit="1" customWidth="1"/>
    <col min="9757" max="9757" width="5.5" bestFit="1" customWidth="1"/>
    <col min="9758" max="9758" width="6.19921875" bestFit="1" customWidth="1"/>
    <col min="9759" max="9759" width="6.59765625" bestFit="1" customWidth="1"/>
    <col min="9760" max="9761" width="5.69921875" bestFit="1" customWidth="1"/>
    <col min="9762" max="9763" width="6.8984375" bestFit="1" customWidth="1"/>
    <col min="9764" max="9764" width="5.5" bestFit="1" customWidth="1"/>
    <col min="9765" max="9765" width="57.3984375" bestFit="1" customWidth="1"/>
    <col min="9766" max="9766" width="30.69921875" bestFit="1" customWidth="1"/>
    <col min="10002" max="10002" width="24.59765625" bestFit="1" customWidth="1"/>
    <col min="10003" max="10003" width="14.09765625" bestFit="1" customWidth="1"/>
    <col min="10004" max="10004" width="7.8984375" bestFit="1" customWidth="1"/>
    <col min="10005" max="10005" width="5.59765625" bestFit="1" customWidth="1"/>
    <col min="10006" max="10007" width="5.5" bestFit="1" customWidth="1"/>
    <col min="10008" max="10010" width="5.5" customWidth="1"/>
    <col min="10011" max="10011" width="5.5" bestFit="1" customWidth="1"/>
    <col min="10012" max="10012" width="41.3984375" bestFit="1" customWidth="1"/>
    <col min="10013" max="10013" width="5.5" bestFit="1" customWidth="1"/>
    <col min="10014" max="10014" width="6.19921875" bestFit="1" customWidth="1"/>
    <col min="10015" max="10015" width="6.59765625" bestFit="1" customWidth="1"/>
    <col min="10016" max="10017" width="5.69921875" bestFit="1" customWidth="1"/>
    <col min="10018" max="10019" width="6.8984375" bestFit="1" customWidth="1"/>
    <col min="10020" max="10020" width="5.5" bestFit="1" customWidth="1"/>
    <col min="10021" max="10021" width="57.3984375" bestFit="1" customWidth="1"/>
    <col min="10022" max="10022" width="30.69921875" bestFit="1" customWidth="1"/>
    <col min="10258" max="10258" width="24.59765625" bestFit="1" customWidth="1"/>
    <col min="10259" max="10259" width="14.09765625" bestFit="1" customWidth="1"/>
    <col min="10260" max="10260" width="7.8984375" bestFit="1" customWidth="1"/>
    <col min="10261" max="10261" width="5.59765625" bestFit="1" customWidth="1"/>
    <col min="10262" max="10263" width="5.5" bestFit="1" customWidth="1"/>
    <col min="10264" max="10266" width="5.5" customWidth="1"/>
    <col min="10267" max="10267" width="5.5" bestFit="1" customWidth="1"/>
    <col min="10268" max="10268" width="41.3984375" bestFit="1" customWidth="1"/>
    <col min="10269" max="10269" width="5.5" bestFit="1" customWidth="1"/>
    <col min="10270" max="10270" width="6.19921875" bestFit="1" customWidth="1"/>
    <col min="10271" max="10271" width="6.59765625" bestFit="1" customWidth="1"/>
    <col min="10272" max="10273" width="5.69921875" bestFit="1" customWidth="1"/>
    <col min="10274" max="10275" width="6.8984375" bestFit="1" customWidth="1"/>
    <col min="10276" max="10276" width="5.5" bestFit="1" customWidth="1"/>
    <col min="10277" max="10277" width="57.3984375" bestFit="1" customWidth="1"/>
    <col min="10278" max="10278" width="30.69921875" bestFit="1" customWidth="1"/>
    <col min="10514" max="10514" width="24.59765625" bestFit="1" customWidth="1"/>
    <col min="10515" max="10515" width="14.09765625" bestFit="1" customWidth="1"/>
    <col min="10516" max="10516" width="7.8984375" bestFit="1" customWidth="1"/>
    <col min="10517" max="10517" width="5.59765625" bestFit="1" customWidth="1"/>
    <col min="10518" max="10519" width="5.5" bestFit="1" customWidth="1"/>
    <col min="10520" max="10522" width="5.5" customWidth="1"/>
    <col min="10523" max="10523" width="5.5" bestFit="1" customWidth="1"/>
    <col min="10524" max="10524" width="41.3984375" bestFit="1" customWidth="1"/>
    <col min="10525" max="10525" width="5.5" bestFit="1" customWidth="1"/>
    <col min="10526" max="10526" width="6.19921875" bestFit="1" customWidth="1"/>
    <col min="10527" max="10527" width="6.59765625" bestFit="1" customWidth="1"/>
    <col min="10528" max="10529" width="5.69921875" bestFit="1" customWidth="1"/>
    <col min="10530" max="10531" width="6.8984375" bestFit="1" customWidth="1"/>
    <col min="10532" max="10532" width="5.5" bestFit="1" customWidth="1"/>
    <col min="10533" max="10533" width="57.3984375" bestFit="1" customWidth="1"/>
    <col min="10534" max="10534" width="30.69921875" bestFit="1" customWidth="1"/>
    <col min="10770" max="10770" width="24.59765625" bestFit="1" customWidth="1"/>
    <col min="10771" max="10771" width="14.09765625" bestFit="1" customWidth="1"/>
    <col min="10772" max="10772" width="7.8984375" bestFit="1" customWidth="1"/>
    <col min="10773" max="10773" width="5.59765625" bestFit="1" customWidth="1"/>
    <col min="10774" max="10775" width="5.5" bestFit="1" customWidth="1"/>
    <col min="10776" max="10778" width="5.5" customWidth="1"/>
    <col min="10779" max="10779" width="5.5" bestFit="1" customWidth="1"/>
    <col min="10780" max="10780" width="41.3984375" bestFit="1" customWidth="1"/>
    <col min="10781" max="10781" width="5.5" bestFit="1" customWidth="1"/>
    <col min="10782" max="10782" width="6.19921875" bestFit="1" customWidth="1"/>
    <col min="10783" max="10783" width="6.59765625" bestFit="1" customWidth="1"/>
    <col min="10784" max="10785" width="5.69921875" bestFit="1" customWidth="1"/>
    <col min="10786" max="10787" width="6.8984375" bestFit="1" customWidth="1"/>
    <col min="10788" max="10788" width="5.5" bestFit="1" customWidth="1"/>
    <col min="10789" max="10789" width="57.3984375" bestFit="1" customWidth="1"/>
    <col min="10790" max="10790" width="30.69921875" bestFit="1" customWidth="1"/>
    <col min="11026" max="11026" width="24.59765625" bestFit="1" customWidth="1"/>
    <col min="11027" max="11027" width="14.09765625" bestFit="1" customWidth="1"/>
    <col min="11028" max="11028" width="7.8984375" bestFit="1" customWidth="1"/>
    <col min="11029" max="11029" width="5.59765625" bestFit="1" customWidth="1"/>
    <col min="11030" max="11031" width="5.5" bestFit="1" customWidth="1"/>
    <col min="11032" max="11034" width="5.5" customWidth="1"/>
    <col min="11035" max="11035" width="5.5" bestFit="1" customWidth="1"/>
    <col min="11036" max="11036" width="41.3984375" bestFit="1" customWidth="1"/>
    <col min="11037" max="11037" width="5.5" bestFit="1" customWidth="1"/>
    <col min="11038" max="11038" width="6.19921875" bestFit="1" customWidth="1"/>
    <col min="11039" max="11039" width="6.59765625" bestFit="1" customWidth="1"/>
    <col min="11040" max="11041" width="5.69921875" bestFit="1" customWidth="1"/>
    <col min="11042" max="11043" width="6.8984375" bestFit="1" customWidth="1"/>
    <col min="11044" max="11044" width="5.5" bestFit="1" customWidth="1"/>
    <col min="11045" max="11045" width="57.3984375" bestFit="1" customWidth="1"/>
    <col min="11046" max="11046" width="30.69921875" bestFit="1" customWidth="1"/>
    <col min="11282" max="11282" width="24.59765625" bestFit="1" customWidth="1"/>
    <col min="11283" max="11283" width="14.09765625" bestFit="1" customWidth="1"/>
    <col min="11284" max="11284" width="7.8984375" bestFit="1" customWidth="1"/>
    <col min="11285" max="11285" width="5.59765625" bestFit="1" customWidth="1"/>
    <col min="11286" max="11287" width="5.5" bestFit="1" customWidth="1"/>
    <col min="11288" max="11290" width="5.5" customWidth="1"/>
    <col min="11291" max="11291" width="5.5" bestFit="1" customWidth="1"/>
    <col min="11292" max="11292" width="41.3984375" bestFit="1" customWidth="1"/>
    <col min="11293" max="11293" width="5.5" bestFit="1" customWidth="1"/>
    <col min="11294" max="11294" width="6.19921875" bestFit="1" customWidth="1"/>
    <col min="11295" max="11295" width="6.59765625" bestFit="1" customWidth="1"/>
    <col min="11296" max="11297" width="5.69921875" bestFit="1" customWidth="1"/>
    <col min="11298" max="11299" width="6.8984375" bestFit="1" customWidth="1"/>
    <col min="11300" max="11300" width="5.5" bestFit="1" customWidth="1"/>
    <col min="11301" max="11301" width="57.3984375" bestFit="1" customWidth="1"/>
    <col min="11302" max="11302" width="30.69921875" bestFit="1" customWidth="1"/>
    <col min="11538" max="11538" width="24.59765625" bestFit="1" customWidth="1"/>
    <col min="11539" max="11539" width="14.09765625" bestFit="1" customWidth="1"/>
    <col min="11540" max="11540" width="7.8984375" bestFit="1" customWidth="1"/>
    <col min="11541" max="11541" width="5.59765625" bestFit="1" customWidth="1"/>
    <col min="11542" max="11543" width="5.5" bestFit="1" customWidth="1"/>
    <col min="11544" max="11546" width="5.5" customWidth="1"/>
    <col min="11547" max="11547" width="5.5" bestFit="1" customWidth="1"/>
    <col min="11548" max="11548" width="41.3984375" bestFit="1" customWidth="1"/>
    <col min="11549" max="11549" width="5.5" bestFit="1" customWidth="1"/>
    <col min="11550" max="11550" width="6.19921875" bestFit="1" customWidth="1"/>
    <col min="11551" max="11551" width="6.59765625" bestFit="1" customWidth="1"/>
    <col min="11552" max="11553" width="5.69921875" bestFit="1" customWidth="1"/>
    <col min="11554" max="11555" width="6.8984375" bestFit="1" customWidth="1"/>
    <col min="11556" max="11556" width="5.5" bestFit="1" customWidth="1"/>
    <col min="11557" max="11557" width="57.3984375" bestFit="1" customWidth="1"/>
    <col min="11558" max="11558" width="30.69921875" bestFit="1" customWidth="1"/>
    <col min="11794" max="11794" width="24.59765625" bestFit="1" customWidth="1"/>
    <col min="11795" max="11795" width="14.09765625" bestFit="1" customWidth="1"/>
    <col min="11796" max="11796" width="7.8984375" bestFit="1" customWidth="1"/>
    <col min="11797" max="11797" width="5.59765625" bestFit="1" customWidth="1"/>
    <col min="11798" max="11799" width="5.5" bestFit="1" customWidth="1"/>
    <col min="11800" max="11802" width="5.5" customWidth="1"/>
    <col min="11803" max="11803" width="5.5" bestFit="1" customWidth="1"/>
    <col min="11804" max="11804" width="41.3984375" bestFit="1" customWidth="1"/>
    <col min="11805" max="11805" width="5.5" bestFit="1" customWidth="1"/>
    <col min="11806" max="11806" width="6.19921875" bestFit="1" customWidth="1"/>
    <col min="11807" max="11807" width="6.59765625" bestFit="1" customWidth="1"/>
    <col min="11808" max="11809" width="5.69921875" bestFit="1" customWidth="1"/>
    <col min="11810" max="11811" width="6.8984375" bestFit="1" customWidth="1"/>
    <col min="11812" max="11812" width="5.5" bestFit="1" customWidth="1"/>
    <col min="11813" max="11813" width="57.3984375" bestFit="1" customWidth="1"/>
    <col min="11814" max="11814" width="30.69921875" bestFit="1" customWidth="1"/>
    <col min="12050" max="12050" width="24.59765625" bestFit="1" customWidth="1"/>
    <col min="12051" max="12051" width="14.09765625" bestFit="1" customWidth="1"/>
    <col min="12052" max="12052" width="7.8984375" bestFit="1" customWidth="1"/>
    <col min="12053" max="12053" width="5.59765625" bestFit="1" customWidth="1"/>
    <col min="12054" max="12055" width="5.5" bestFit="1" customWidth="1"/>
    <col min="12056" max="12058" width="5.5" customWidth="1"/>
    <col min="12059" max="12059" width="5.5" bestFit="1" customWidth="1"/>
    <col min="12060" max="12060" width="41.3984375" bestFit="1" customWidth="1"/>
    <col min="12061" max="12061" width="5.5" bestFit="1" customWidth="1"/>
    <col min="12062" max="12062" width="6.19921875" bestFit="1" customWidth="1"/>
    <col min="12063" max="12063" width="6.59765625" bestFit="1" customWidth="1"/>
    <col min="12064" max="12065" width="5.69921875" bestFit="1" customWidth="1"/>
    <col min="12066" max="12067" width="6.8984375" bestFit="1" customWidth="1"/>
    <col min="12068" max="12068" width="5.5" bestFit="1" customWidth="1"/>
    <col min="12069" max="12069" width="57.3984375" bestFit="1" customWidth="1"/>
    <col min="12070" max="12070" width="30.69921875" bestFit="1" customWidth="1"/>
    <col min="12306" max="12306" width="24.59765625" bestFit="1" customWidth="1"/>
    <col min="12307" max="12307" width="14.09765625" bestFit="1" customWidth="1"/>
    <col min="12308" max="12308" width="7.8984375" bestFit="1" customWidth="1"/>
    <col min="12309" max="12309" width="5.59765625" bestFit="1" customWidth="1"/>
    <col min="12310" max="12311" width="5.5" bestFit="1" customWidth="1"/>
    <col min="12312" max="12314" width="5.5" customWidth="1"/>
    <col min="12315" max="12315" width="5.5" bestFit="1" customWidth="1"/>
    <col min="12316" max="12316" width="41.3984375" bestFit="1" customWidth="1"/>
    <col min="12317" max="12317" width="5.5" bestFit="1" customWidth="1"/>
    <col min="12318" max="12318" width="6.19921875" bestFit="1" customWidth="1"/>
    <col min="12319" max="12319" width="6.59765625" bestFit="1" customWidth="1"/>
    <col min="12320" max="12321" width="5.69921875" bestFit="1" customWidth="1"/>
    <col min="12322" max="12323" width="6.8984375" bestFit="1" customWidth="1"/>
    <col min="12324" max="12324" width="5.5" bestFit="1" customWidth="1"/>
    <col min="12325" max="12325" width="57.3984375" bestFit="1" customWidth="1"/>
    <col min="12326" max="12326" width="30.69921875" bestFit="1" customWidth="1"/>
    <col min="12562" max="12562" width="24.59765625" bestFit="1" customWidth="1"/>
    <col min="12563" max="12563" width="14.09765625" bestFit="1" customWidth="1"/>
    <col min="12564" max="12564" width="7.8984375" bestFit="1" customWidth="1"/>
    <col min="12565" max="12565" width="5.59765625" bestFit="1" customWidth="1"/>
    <col min="12566" max="12567" width="5.5" bestFit="1" customWidth="1"/>
    <col min="12568" max="12570" width="5.5" customWidth="1"/>
    <col min="12571" max="12571" width="5.5" bestFit="1" customWidth="1"/>
    <col min="12572" max="12572" width="41.3984375" bestFit="1" customWidth="1"/>
    <col min="12573" max="12573" width="5.5" bestFit="1" customWidth="1"/>
    <col min="12574" max="12574" width="6.19921875" bestFit="1" customWidth="1"/>
    <col min="12575" max="12575" width="6.59765625" bestFit="1" customWidth="1"/>
    <col min="12576" max="12577" width="5.69921875" bestFit="1" customWidth="1"/>
    <col min="12578" max="12579" width="6.8984375" bestFit="1" customWidth="1"/>
    <col min="12580" max="12580" width="5.5" bestFit="1" customWidth="1"/>
    <col min="12581" max="12581" width="57.3984375" bestFit="1" customWidth="1"/>
    <col min="12582" max="12582" width="30.69921875" bestFit="1" customWidth="1"/>
    <col min="12818" max="12818" width="24.59765625" bestFit="1" customWidth="1"/>
    <col min="12819" max="12819" width="14.09765625" bestFit="1" customWidth="1"/>
    <col min="12820" max="12820" width="7.8984375" bestFit="1" customWidth="1"/>
    <col min="12821" max="12821" width="5.59765625" bestFit="1" customWidth="1"/>
    <col min="12822" max="12823" width="5.5" bestFit="1" customWidth="1"/>
    <col min="12824" max="12826" width="5.5" customWidth="1"/>
    <col min="12827" max="12827" width="5.5" bestFit="1" customWidth="1"/>
    <col min="12828" max="12828" width="41.3984375" bestFit="1" customWidth="1"/>
    <col min="12829" max="12829" width="5.5" bestFit="1" customWidth="1"/>
    <col min="12830" max="12830" width="6.19921875" bestFit="1" customWidth="1"/>
    <col min="12831" max="12831" width="6.59765625" bestFit="1" customWidth="1"/>
    <col min="12832" max="12833" width="5.69921875" bestFit="1" customWidth="1"/>
    <col min="12834" max="12835" width="6.8984375" bestFit="1" customWidth="1"/>
    <col min="12836" max="12836" width="5.5" bestFit="1" customWidth="1"/>
    <col min="12837" max="12837" width="57.3984375" bestFit="1" customWidth="1"/>
    <col min="12838" max="12838" width="30.69921875" bestFit="1" customWidth="1"/>
    <col min="13074" max="13074" width="24.59765625" bestFit="1" customWidth="1"/>
    <col min="13075" max="13075" width="14.09765625" bestFit="1" customWidth="1"/>
    <col min="13076" max="13076" width="7.8984375" bestFit="1" customWidth="1"/>
    <col min="13077" max="13077" width="5.59765625" bestFit="1" customWidth="1"/>
    <col min="13078" max="13079" width="5.5" bestFit="1" customWidth="1"/>
    <col min="13080" max="13082" width="5.5" customWidth="1"/>
    <col min="13083" max="13083" width="5.5" bestFit="1" customWidth="1"/>
    <col min="13084" max="13084" width="41.3984375" bestFit="1" customWidth="1"/>
    <col min="13085" max="13085" width="5.5" bestFit="1" customWidth="1"/>
    <col min="13086" max="13086" width="6.19921875" bestFit="1" customWidth="1"/>
    <col min="13087" max="13087" width="6.59765625" bestFit="1" customWidth="1"/>
    <col min="13088" max="13089" width="5.69921875" bestFit="1" customWidth="1"/>
    <col min="13090" max="13091" width="6.8984375" bestFit="1" customWidth="1"/>
    <col min="13092" max="13092" width="5.5" bestFit="1" customWidth="1"/>
    <col min="13093" max="13093" width="57.3984375" bestFit="1" customWidth="1"/>
    <col min="13094" max="13094" width="30.69921875" bestFit="1" customWidth="1"/>
    <col min="13330" max="13330" width="24.59765625" bestFit="1" customWidth="1"/>
    <col min="13331" max="13331" width="14.09765625" bestFit="1" customWidth="1"/>
    <col min="13332" max="13332" width="7.8984375" bestFit="1" customWidth="1"/>
    <col min="13333" max="13333" width="5.59765625" bestFit="1" customWidth="1"/>
    <col min="13334" max="13335" width="5.5" bestFit="1" customWidth="1"/>
    <col min="13336" max="13338" width="5.5" customWidth="1"/>
    <col min="13339" max="13339" width="5.5" bestFit="1" customWidth="1"/>
    <col min="13340" max="13340" width="41.3984375" bestFit="1" customWidth="1"/>
    <col min="13341" max="13341" width="5.5" bestFit="1" customWidth="1"/>
    <col min="13342" max="13342" width="6.19921875" bestFit="1" customWidth="1"/>
    <col min="13343" max="13343" width="6.59765625" bestFit="1" customWidth="1"/>
    <col min="13344" max="13345" width="5.69921875" bestFit="1" customWidth="1"/>
    <col min="13346" max="13347" width="6.8984375" bestFit="1" customWidth="1"/>
    <col min="13348" max="13348" width="5.5" bestFit="1" customWidth="1"/>
    <col min="13349" max="13349" width="57.3984375" bestFit="1" customWidth="1"/>
    <col min="13350" max="13350" width="30.69921875" bestFit="1" customWidth="1"/>
    <col min="13586" max="13586" width="24.59765625" bestFit="1" customWidth="1"/>
    <col min="13587" max="13587" width="14.09765625" bestFit="1" customWidth="1"/>
    <col min="13588" max="13588" width="7.8984375" bestFit="1" customWidth="1"/>
    <col min="13589" max="13589" width="5.59765625" bestFit="1" customWidth="1"/>
    <col min="13590" max="13591" width="5.5" bestFit="1" customWidth="1"/>
    <col min="13592" max="13594" width="5.5" customWidth="1"/>
    <col min="13595" max="13595" width="5.5" bestFit="1" customWidth="1"/>
    <col min="13596" max="13596" width="41.3984375" bestFit="1" customWidth="1"/>
    <col min="13597" max="13597" width="5.5" bestFit="1" customWidth="1"/>
    <col min="13598" max="13598" width="6.19921875" bestFit="1" customWidth="1"/>
    <col min="13599" max="13599" width="6.59765625" bestFit="1" customWidth="1"/>
    <col min="13600" max="13601" width="5.69921875" bestFit="1" customWidth="1"/>
    <col min="13602" max="13603" width="6.8984375" bestFit="1" customWidth="1"/>
    <col min="13604" max="13604" width="5.5" bestFit="1" customWidth="1"/>
    <col min="13605" max="13605" width="57.3984375" bestFit="1" customWidth="1"/>
    <col min="13606" max="13606" width="30.69921875" bestFit="1" customWidth="1"/>
    <col min="13842" max="13842" width="24.59765625" bestFit="1" customWidth="1"/>
    <col min="13843" max="13843" width="14.09765625" bestFit="1" customWidth="1"/>
    <col min="13844" max="13844" width="7.8984375" bestFit="1" customWidth="1"/>
    <col min="13845" max="13845" width="5.59765625" bestFit="1" customWidth="1"/>
    <col min="13846" max="13847" width="5.5" bestFit="1" customWidth="1"/>
    <col min="13848" max="13850" width="5.5" customWidth="1"/>
    <col min="13851" max="13851" width="5.5" bestFit="1" customWidth="1"/>
    <col min="13852" max="13852" width="41.3984375" bestFit="1" customWidth="1"/>
    <col min="13853" max="13853" width="5.5" bestFit="1" customWidth="1"/>
    <col min="13854" max="13854" width="6.19921875" bestFit="1" customWidth="1"/>
    <col min="13855" max="13855" width="6.59765625" bestFit="1" customWidth="1"/>
    <col min="13856" max="13857" width="5.69921875" bestFit="1" customWidth="1"/>
    <col min="13858" max="13859" width="6.8984375" bestFit="1" customWidth="1"/>
    <col min="13860" max="13860" width="5.5" bestFit="1" customWidth="1"/>
    <col min="13861" max="13861" width="57.3984375" bestFit="1" customWidth="1"/>
    <col min="13862" max="13862" width="30.69921875" bestFit="1" customWidth="1"/>
    <col min="14098" max="14098" width="24.59765625" bestFit="1" customWidth="1"/>
    <col min="14099" max="14099" width="14.09765625" bestFit="1" customWidth="1"/>
    <col min="14100" max="14100" width="7.8984375" bestFit="1" customWidth="1"/>
    <col min="14101" max="14101" width="5.59765625" bestFit="1" customWidth="1"/>
    <col min="14102" max="14103" width="5.5" bestFit="1" customWidth="1"/>
    <col min="14104" max="14106" width="5.5" customWidth="1"/>
    <col min="14107" max="14107" width="5.5" bestFit="1" customWidth="1"/>
    <col min="14108" max="14108" width="41.3984375" bestFit="1" customWidth="1"/>
    <col min="14109" max="14109" width="5.5" bestFit="1" customWidth="1"/>
    <col min="14110" max="14110" width="6.19921875" bestFit="1" customWidth="1"/>
    <col min="14111" max="14111" width="6.59765625" bestFit="1" customWidth="1"/>
    <col min="14112" max="14113" width="5.69921875" bestFit="1" customWidth="1"/>
    <col min="14114" max="14115" width="6.8984375" bestFit="1" customWidth="1"/>
    <col min="14116" max="14116" width="5.5" bestFit="1" customWidth="1"/>
    <col min="14117" max="14117" width="57.3984375" bestFit="1" customWidth="1"/>
    <col min="14118" max="14118" width="30.69921875" bestFit="1" customWidth="1"/>
    <col min="14354" max="14354" width="24.59765625" bestFit="1" customWidth="1"/>
    <col min="14355" max="14355" width="14.09765625" bestFit="1" customWidth="1"/>
    <col min="14356" max="14356" width="7.8984375" bestFit="1" customWidth="1"/>
    <col min="14357" max="14357" width="5.59765625" bestFit="1" customWidth="1"/>
    <col min="14358" max="14359" width="5.5" bestFit="1" customWidth="1"/>
    <col min="14360" max="14362" width="5.5" customWidth="1"/>
    <col min="14363" max="14363" width="5.5" bestFit="1" customWidth="1"/>
    <col min="14364" max="14364" width="41.3984375" bestFit="1" customWidth="1"/>
    <col min="14365" max="14365" width="5.5" bestFit="1" customWidth="1"/>
    <col min="14366" max="14366" width="6.19921875" bestFit="1" customWidth="1"/>
    <col min="14367" max="14367" width="6.59765625" bestFit="1" customWidth="1"/>
    <col min="14368" max="14369" width="5.69921875" bestFit="1" customWidth="1"/>
    <col min="14370" max="14371" width="6.8984375" bestFit="1" customWidth="1"/>
    <col min="14372" max="14372" width="5.5" bestFit="1" customWidth="1"/>
    <col min="14373" max="14373" width="57.3984375" bestFit="1" customWidth="1"/>
    <col min="14374" max="14374" width="30.69921875" bestFit="1" customWidth="1"/>
    <col min="14610" max="14610" width="24.59765625" bestFit="1" customWidth="1"/>
    <col min="14611" max="14611" width="14.09765625" bestFit="1" customWidth="1"/>
    <col min="14612" max="14612" width="7.8984375" bestFit="1" customWidth="1"/>
    <col min="14613" max="14613" width="5.59765625" bestFit="1" customWidth="1"/>
    <col min="14614" max="14615" width="5.5" bestFit="1" customWidth="1"/>
    <col min="14616" max="14618" width="5.5" customWidth="1"/>
    <col min="14619" max="14619" width="5.5" bestFit="1" customWidth="1"/>
    <col min="14620" max="14620" width="41.3984375" bestFit="1" customWidth="1"/>
    <col min="14621" max="14621" width="5.5" bestFit="1" customWidth="1"/>
    <col min="14622" max="14622" width="6.19921875" bestFit="1" customWidth="1"/>
    <col min="14623" max="14623" width="6.59765625" bestFit="1" customWidth="1"/>
    <col min="14624" max="14625" width="5.69921875" bestFit="1" customWidth="1"/>
    <col min="14626" max="14627" width="6.8984375" bestFit="1" customWidth="1"/>
    <col min="14628" max="14628" width="5.5" bestFit="1" customWidth="1"/>
    <col min="14629" max="14629" width="57.3984375" bestFit="1" customWidth="1"/>
    <col min="14630" max="14630" width="30.69921875" bestFit="1" customWidth="1"/>
    <col min="14866" max="14866" width="24.59765625" bestFit="1" customWidth="1"/>
    <col min="14867" max="14867" width="14.09765625" bestFit="1" customWidth="1"/>
    <col min="14868" max="14868" width="7.8984375" bestFit="1" customWidth="1"/>
    <col min="14869" max="14869" width="5.59765625" bestFit="1" customWidth="1"/>
    <col min="14870" max="14871" width="5.5" bestFit="1" customWidth="1"/>
    <col min="14872" max="14874" width="5.5" customWidth="1"/>
    <col min="14875" max="14875" width="5.5" bestFit="1" customWidth="1"/>
    <col min="14876" max="14876" width="41.3984375" bestFit="1" customWidth="1"/>
    <col min="14877" max="14877" width="5.5" bestFit="1" customWidth="1"/>
    <col min="14878" max="14878" width="6.19921875" bestFit="1" customWidth="1"/>
    <col min="14879" max="14879" width="6.59765625" bestFit="1" customWidth="1"/>
    <col min="14880" max="14881" width="5.69921875" bestFit="1" customWidth="1"/>
    <col min="14882" max="14883" width="6.8984375" bestFit="1" customWidth="1"/>
    <col min="14884" max="14884" width="5.5" bestFit="1" customWidth="1"/>
    <col min="14885" max="14885" width="57.3984375" bestFit="1" customWidth="1"/>
    <col min="14886" max="14886" width="30.69921875" bestFit="1" customWidth="1"/>
    <col min="15122" max="15122" width="24.59765625" bestFit="1" customWidth="1"/>
    <col min="15123" max="15123" width="14.09765625" bestFit="1" customWidth="1"/>
    <col min="15124" max="15124" width="7.8984375" bestFit="1" customWidth="1"/>
    <col min="15125" max="15125" width="5.59765625" bestFit="1" customWidth="1"/>
    <col min="15126" max="15127" width="5.5" bestFit="1" customWidth="1"/>
    <col min="15128" max="15130" width="5.5" customWidth="1"/>
    <col min="15131" max="15131" width="5.5" bestFit="1" customWidth="1"/>
    <col min="15132" max="15132" width="41.3984375" bestFit="1" customWidth="1"/>
    <col min="15133" max="15133" width="5.5" bestFit="1" customWidth="1"/>
    <col min="15134" max="15134" width="6.19921875" bestFit="1" customWidth="1"/>
    <col min="15135" max="15135" width="6.59765625" bestFit="1" customWidth="1"/>
    <col min="15136" max="15137" width="5.69921875" bestFit="1" customWidth="1"/>
    <col min="15138" max="15139" width="6.8984375" bestFit="1" customWidth="1"/>
    <col min="15140" max="15140" width="5.5" bestFit="1" customWidth="1"/>
    <col min="15141" max="15141" width="57.3984375" bestFit="1" customWidth="1"/>
    <col min="15142" max="15142" width="30.69921875" bestFit="1" customWidth="1"/>
    <col min="15378" max="15378" width="24.59765625" bestFit="1" customWidth="1"/>
    <col min="15379" max="15379" width="14.09765625" bestFit="1" customWidth="1"/>
    <col min="15380" max="15380" width="7.8984375" bestFit="1" customWidth="1"/>
    <col min="15381" max="15381" width="5.59765625" bestFit="1" customWidth="1"/>
    <col min="15382" max="15383" width="5.5" bestFit="1" customWidth="1"/>
    <col min="15384" max="15386" width="5.5" customWidth="1"/>
    <col min="15387" max="15387" width="5.5" bestFit="1" customWidth="1"/>
    <col min="15388" max="15388" width="41.3984375" bestFit="1" customWidth="1"/>
    <col min="15389" max="15389" width="5.5" bestFit="1" customWidth="1"/>
    <col min="15390" max="15390" width="6.19921875" bestFit="1" customWidth="1"/>
    <col min="15391" max="15391" width="6.59765625" bestFit="1" customWidth="1"/>
    <col min="15392" max="15393" width="5.69921875" bestFit="1" customWidth="1"/>
    <col min="15394" max="15395" width="6.8984375" bestFit="1" customWidth="1"/>
    <col min="15396" max="15396" width="5.5" bestFit="1" customWidth="1"/>
    <col min="15397" max="15397" width="57.3984375" bestFit="1" customWidth="1"/>
    <col min="15398" max="15398" width="30.69921875" bestFit="1" customWidth="1"/>
    <col min="15634" max="15634" width="24.59765625" bestFit="1" customWidth="1"/>
    <col min="15635" max="15635" width="14.09765625" bestFit="1" customWidth="1"/>
    <col min="15636" max="15636" width="7.8984375" bestFit="1" customWidth="1"/>
    <col min="15637" max="15637" width="5.59765625" bestFit="1" customWidth="1"/>
    <col min="15638" max="15639" width="5.5" bestFit="1" customWidth="1"/>
    <col min="15640" max="15642" width="5.5" customWidth="1"/>
    <col min="15643" max="15643" width="5.5" bestFit="1" customWidth="1"/>
    <col min="15644" max="15644" width="41.3984375" bestFit="1" customWidth="1"/>
    <col min="15645" max="15645" width="5.5" bestFit="1" customWidth="1"/>
    <col min="15646" max="15646" width="6.19921875" bestFit="1" customWidth="1"/>
    <col min="15647" max="15647" width="6.59765625" bestFit="1" customWidth="1"/>
    <col min="15648" max="15649" width="5.69921875" bestFit="1" customWidth="1"/>
    <col min="15650" max="15651" width="6.8984375" bestFit="1" customWidth="1"/>
    <col min="15652" max="15652" width="5.5" bestFit="1" customWidth="1"/>
    <col min="15653" max="15653" width="57.3984375" bestFit="1" customWidth="1"/>
    <col min="15654" max="15654" width="30.69921875" bestFit="1" customWidth="1"/>
    <col min="15890" max="15890" width="24.59765625" bestFit="1" customWidth="1"/>
    <col min="15891" max="15891" width="14.09765625" bestFit="1" customWidth="1"/>
    <col min="15892" max="15892" width="7.8984375" bestFit="1" customWidth="1"/>
    <col min="15893" max="15893" width="5.59765625" bestFit="1" customWidth="1"/>
    <col min="15894" max="15895" width="5.5" bestFit="1" customWidth="1"/>
    <col min="15896" max="15898" width="5.5" customWidth="1"/>
    <col min="15899" max="15899" width="5.5" bestFit="1" customWidth="1"/>
    <col min="15900" max="15900" width="41.3984375" bestFit="1" customWidth="1"/>
    <col min="15901" max="15901" width="5.5" bestFit="1" customWidth="1"/>
    <col min="15902" max="15902" width="6.19921875" bestFit="1" customWidth="1"/>
    <col min="15903" max="15903" width="6.59765625" bestFit="1" customWidth="1"/>
    <col min="15904" max="15905" width="5.69921875" bestFit="1" customWidth="1"/>
    <col min="15906" max="15907" width="6.8984375" bestFit="1" customWidth="1"/>
    <col min="15908" max="15908" width="5.5" bestFit="1" customWidth="1"/>
    <col min="15909" max="15909" width="57.3984375" bestFit="1" customWidth="1"/>
    <col min="15910" max="15910" width="30.69921875" bestFit="1" customWidth="1"/>
    <col min="16146" max="16146" width="24.59765625" bestFit="1" customWidth="1"/>
    <col min="16147" max="16147" width="14.09765625" bestFit="1" customWidth="1"/>
    <col min="16148" max="16148" width="7.8984375" bestFit="1" customWidth="1"/>
    <col min="16149" max="16149" width="5.59765625" bestFit="1" customWidth="1"/>
    <col min="16150" max="16151" width="5.5" bestFit="1" customWidth="1"/>
    <col min="16152" max="16154" width="5.5" customWidth="1"/>
    <col min="16155" max="16155" width="5.5" bestFit="1" customWidth="1"/>
    <col min="16156" max="16156" width="41.3984375" bestFit="1" customWidth="1"/>
    <col min="16157" max="16157" width="5.5" bestFit="1" customWidth="1"/>
    <col min="16158" max="16158" width="6.19921875" bestFit="1" customWidth="1"/>
    <col min="16159" max="16159" width="6.59765625" bestFit="1" customWidth="1"/>
    <col min="16160" max="16161" width="5.69921875" bestFit="1" customWidth="1"/>
    <col min="16162" max="16163" width="6.8984375" bestFit="1" customWidth="1"/>
    <col min="16164" max="16164" width="5.5" bestFit="1" customWidth="1"/>
    <col min="16165" max="16165" width="57.3984375" bestFit="1" customWidth="1"/>
    <col min="16166" max="16166" width="30.69921875" bestFit="1" customWidth="1"/>
  </cols>
  <sheetData>
    <row r="1" spans="1:38" ht="31.5" customHeight="1">
      <c r="A1" s="152"/>
      <c r="B1" s="145" t="s">
        <v>315</v>
      </c>
      <c r="C1" s="145" t="s">
        <v>316</v>
      </c>
      <c r="D1" s="336" t="s">
        <v>317</v>
      </c>
      <c r="E1" s="336"/>
      <c r="F1" s="336" t="s">
        <v>470</v>
      </c>
      <c r="G1" s="336"/>
      <c r="H1" s="336"/>
      <c r="I1" s="336" t="s">
        <v>468</v>
      </c>
      <c r="J1" s="336"/>
      <c r="K1" s="336"/>
      <c r="L1" s="336"/>
      <c r="M1" s="336"/>
      <c r="N1" s="337" t="s">
        <v>469</v>
      </c>
      <c r="O1" s="337"/>
      <c r="P1" s="337"/>
      <c r="Q1" s="145" t="s">
        <v>385</v>
      </c>
      <c r="R1" s="145" t="s">
        <v>386</v>
      </c>
      <c r="S1" s="336" t="s">
        <v>318</v>
      </c>
      <c r="T1" s="336"/>
      <c r="U1" s="336"/>
      <c r="V1" s="336"/>
      <c r="W1" s="336"/>
      <c r="X1" s="336" t="s">
        <v>319</v>
      </c>
      <c r="Y1" s="336"/>
      <c r="Z1" s="336"/>
      <c r="AA1" s="336"/>
      <c r="AB1" s="145" t="s">
        <v>320</v>
      </c>
      <c r="AC1" s="336" t="s">
        <v>321</v>
      </c>
      <c r="AD1" s="336"/>
      <c r="AE1" s="336"/>
      <c r="AF1" s="333" t="s">
        <v>322</v>
      </c>
      <c r="AG1" s="334"/>
      <c r="AH1" s="334"/>
      <c r="AI1" s="334"/>
      <c r="AJ1" s="335"/>
      <c r="AK1" s="129" t="s">
        <v>10</v>
      </c>
      <c r="AL1" s="129" t="s">
        <v>11</v>
      </c>
    </row>
    <row r="2" spans="1:38" ht="30">
      <c r="A2" s="229" t="s">
        <v>387</v>
      </c>
      <c r="B2" s="143" t="s">
        <v>315</v>
      </c>
      <c r="C2" s="143" t="s">
        <v>316</v>
      </c>
      <c r="D2" s="144" t="s">
        <v>317</v>
      </c>
      <c r="E2" s="144" t="s">
        <v>317</v>
      </c>
      <c r="F2" s="143" t="s">
        <v>323</v>
      </c>
      <c r="G2" s="143" t="s">
        <v>324</v>
      </c>
      <c r="H2" s="143" t="s">
        <v>325</v>
      </c>
      <c r="I2" s="143" t="s">
        <v>323</v>
      </c>
      <c r="J2" s="143" t="s">
        <v>324</v>
      </c>
      <c r="K2" s="143" t="s">
        <v>326</v>
      </c>
      <c r="L2" s="143" t="s">
        <v>327</v>
      </c>
      <c r="M2" s="143" t="s">
        <v>325</v>
      </c>
      <c r="N2" s="143" t="s">
        <v>323</v>
      </c>
      <c r="O2" s="143" t="s">
        <v>324</v>
      </c>
      <c r="P2" s="143" t="s">
        <v>325</v>
      </c>
      <c r="Q2" s="143"/>
      <c r="R2" s="143"/>
      <c r="S2" s="143" t="s">
        <v>4</v>
      </c>
      <c r="T2" s="143" t="s">
        <v>449</v>
      </c>
      <c r="U2" s="143" t="s">
        <v>328</v>
      </c>
      <c r="V2" s="143" t="s">
        <v>324</v>
      </c>
      <c r="W2" s="143" t="s">
        <v>325</v>
      </c>
      <c r="X2" s="143" t="s">
        <v>323</v>
      </c>
      <c r="Y2" s="143" t="s">
        <v>329</v>
      </c>
      <c r="Z2" s="143" t="s">
        <v>6</v>
      </c>
      <c r="AA2" s="143" t="s">
        <v>7</v>
      </c>
      <c r="AB2" s="143" t="s">
        <v>320</v>
      </c>
      <c r="AC2" s="143" t="s">
        <v>330</v>
      </c>
      <c r="AD2" s="143" t="s">
        <v>331</v>
      </c>
      <c r="AE2" s="143" t="s">
        <v>332</v>
      </c>
      <c r="AF2" s="129" t="s">
        <v>333</v>
      </c>
      <c r="AG2" s="129" t="s">
        <v>334</v>
      </c>
      <c r="AH2" s="129" t="s">
        <v>335</v>
      </c>
      <c r="AI2" s="129" t="s">
        <v>336</v>
      </c>
      <c r="AJ2" s="129" t="s">
        <v>337</v>
      </c>
      <c r="AK2" s="129" t="s">
        <v>10</v>
      </c>
      <c r="AL2" s="129" t="s">
        <v>11</v>
      </c>
    </row>
    <row r="3" spans="1:38" ht="30" customHeight="1">
      <c r="A3" s="137"/>
      <c r="B3" s="131" t="s">
        <v>466</v>
      </c>
      <c r="C3" s="130"/>
      <c r="D3" s="130"/>
      <c r="E3" s="130"/>
      <c r="F3" s="130" t="s">
        <v>363</v>
      </c>
      <c r="G3" s="149" t="s">
        <v>306</v>
      </c>
      <c r="H3" s="130" t="s">
        <v>217</v>
      </c>
      <c r="I3" s="130"/>
      <c r="J3" s="149"/>
      <c r="K3" s="130"/>
      <c r="L3" s="130"/>
      <c r="M3" s="130"/>
      <c r="N3" s="149"/>
      <c r="O3" s="149"/>
      <c r="P3" s="149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41"/>
      <c r="AC3" s="130"/>
      <c r="AD3" s="130"/>
      <c r="AE3" s="130"/>
      <c r="AF3" s="130"/>
      <c r="AG3" s="130"/>
      <c r="AH3" s="130"/>
      <c r="AI3" s="130"/>
      <c r="AJ3" s="130"/>
      <c r="AK3" s="130"/>
      <c r="AL3" s="130"/>
    </row>
    <row r="4" spans="1:38" ht="30" customHeight="1">
      <c r="A4" s="137"/>
      <c r="B4" s="153" t="s">
        <v>467</v>
      </c>
      <c r="C4" s="149"/>
      <c r="D4" s="149"/>
      <c r="E4" s="149"/>
      <c r="F4" s="149" t="s">
        <v>367</v>
      </c>
      <c r="G4" s="149" t="s">
        <v>306</v>
      </c>
      <c r="H4" s="149" t="s">
        <v>217</v>
      </c>
      <c r="I4" s="149"/>
      <c r="J4" s="149"/>
      <c r="K4" s="149"/>
      <c r="L4" s="149"/>
      <c r="M4" s="149"/>
      <c r="N4" s="149"/>
      <c r="O4" s="149"/>
      <c r="P4" s="149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41"/>
      <c r="AC4" s="150"/>
      <c r="AD4" s="150"/>
      <c r="AE4" s="150"/>
      <c r="AF4" s="150"/>
      <c r="AG4" s="150"/>
      <c r="AH4" s="150"/>
      <c r="AI4" s="150"/>
      <c r="AJ4" s="150"/>
      <c r="AK4" s="150"/>
      <c r="AL4" s="150"/>
    </row>
    <row r="5" spans="1:38" ht="30" customHeight="1">
      <c r="A5" s="137"/>
      <c r="B5" s="153" t="s">
        <v>914</v>
      </c>
      <c r="C5" s="149"/>
      <c r="D5" s="149"/>
      <c r="E5" s="149"/>
      <c r="F5" s="149" t="s">
        <v>367</v>
      </c>
      <c r="G5" s="149" t="s">
        <v>50</v>
      </c>
      <c r="H5" s="149" t="s">
        <v>254</v>
      </c>
      <c r="I5" s="149"/>
      <c r="J5" s="149"/>
      <c r="K5" s="149"/>
      <c r="L5" s="149"/>
      <c r="M5" s="149"/>
      <c r="N5" s="149"/>
      <c r="O5" s="149"/>
      <c r="P5" s="149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41"/>
      <c r="AC5" s="150"/>
      <c r="AD5" s="150"/>
      <c r="AE5" s="150"/>
      <c r="AF5" s="150"/>
      <c r="AG5" s="150"/>
      <c r="AH5" s="150"/>
      <c r="AI5" s="150"/>
      <c r="AJ5" s="150"/>
      <c r="AK5" s="150"/>
      <c r="AL5" s="150"/>
    </row>
    <row r="6" spans="1:38" ht="30" customHeight="1">
      <c r="A6" s="137"/>
      <c r="B6" s="153" t="s">
        <v>915</v>
      </c>
      <c r="C6" s="149"/>
      <c r="D6" s="149"/>
      <c r="E6" s="149"/>
      <c r="F6" s="149" t="s">
        <v>367</v>
      </c>
      <c r="G6" s="149" t="s">
        <v>255</v>
      </c>
      <c r="H6" s="149" t="s">
        <v>394</v>
      </c>
      <c r="I6" s="149"/>
      <c r="J6" s="149"/>
      <c r="K6" s="149"/>
      <c r="L6" s="149"/>
      <c r="M6" s="149"/>
      <c r="N6" s="149"/>
      <c r="O6" s="149"/>
      <c r="P6" s="149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41"/>
      <c r="AC6" s="150"/>
      <c r="AD6" s="150"/>
      <c r="AE6" s="150"/>
      <c r="AF6" s="150"/>
      <c r="AG6" s="150"/>
      <c r="AH6" s="150"/>
      <c r="AI6" s="150"/>
      <c r="AJ6" s="150"/>
      <c r="AK6" s="150"/>
      <c r="AL6" s="150"/>
    </row>
    <row r="7" spans="1:38" ht="30" customHeight="1">
      <c r="A7" s="137"/>
      <c r="B7" s="153" t="s">
        <v>916</v>
      </c>
      <c r="C7" s="149"/>
      <c r="D7" s="149"/>
      <c r="E7" s="149"/>
      <c r="F7" s="149" t="s">
        <v>367</v>
      </c>
      <c r="G7" s="149" t="s">
        <v>395</v>
      </c>
      <c r="H7" s="149" t="s">
        <v>396</v>
      </c>
      <c r="I7" s="149"/>
      <c r="J7" s="149"/>
      <c r="K7" s="149"/>
      <c r="L7" s="149"/>
      <c r="M7" s="149"/>
      <c r="N7" s="149"/>
      <c r="O7" s="149"/>
      <c r="P7" s="149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141"/>
      <c r="AC7" s="213"/>
      <c r="AD7" s="213"/>
      <c r="AE7" s="213"/>
      <c r="AF7" s="213"/>
      <c r="AG7" s="213"/>
      <c r="AH7" s="213"/>
      <c r="AI7" s="213"/>
      <c r="AJ7" s="213"/>
      <c r="AK7" s="213"/>
      <c r="AL7" s="213"/>
    </row>
    <row r="8" spans="1:38" ht="30" customHeight="1">
      <c r="A8" s="137"/>
      <c r="B8" s="153" t="s">
        <v>917</v>
      </c>
      <c r="C8" s="149"/>
      <c r="D8" s="149"/>
      <c r="E8" s="149"/>
      <c r="F8" s="149" t="s">
        <v>367</v>
      </c>
      <c r="G8" s="149" t="s">
        <v>426</v>
      </c>
      <c r="H8" s="149" t="s">
        <v>49</v>
      </c>
      <c r="I8" s="149"/>
      <c r="J8" s="149"/>
      <c r="K8" s="149"/>
      <c r="L8" s="149"/>
      <c r="M8" s="149"/>
      <c r="N8" s="149"/>
      <c r="O8" s="149"/>
      <c r="P8" s="149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141"/>
      <c r="AC8" s="213"/>
      <c r="AD8" s="213"/>
      <c r="AE8" s="213"/>
      <c r="AF8" s="213"/>
      <c r="AG8" s="213"/>
      <c r="AH8" s="213"/>
      <c r="AI8" s="213"/>
      <c r="AJ8" s="213"/>
      <c r="AK8" s="213"/>
      <c r="AL8" s="213"/>
    </row>
    <row r="9" spans="1:38" ht="30" customHeight="1">
      <c r="A9" s="137"/>
      <c r="B9" s="153" t="s">
        <v>918</v>
      </c>
      <c r="C9" s="149"/>
      <c r="D9" s="149"/>
      <c r="E9" s="149"/>
      <c r="F9" s="149" t="s">
        <v>367</v>
      </c>
      <c r="G9" s="149" t="s">
        <v>256</v>
      </c>
      <c r="H9" s="149" t="s">
        <v>257</v>
      </c>
      <c r="I9" s="149"/>
      <c r="J9" s="149"/>
      <c r="K9" s="149"/>
      <c r="L9" s="149"/>
      <c r="M9" s="149"/>
      <c r="N9" s="149"/>
      <c r="O9" s="149"/>
      <c r="P9" s="149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141"/>
      <c r="AC9" s="213"/>
      <c r="AD9" s="213"/>
      <c r="AE9" s="213"/>
      <c r="AF9" s="213"/>
      <c r="AG9" s="213"/>
      <c r="AH9" s="213"/>
      <c r="AI9" s="213"/>
      <c r="AJ9" s="213"/>
      <c r="AK9" s="213"/>
      <c r="AL9" s="213"/>
    </row>
    <row r="10" spans="1:38" ht="30" customHeight="1">
      <c r="A10" s="137"/>
      <c r="B10" s="153" t="s">
        <v>1065</v>
      </c>
      <c r="C10" s="149"/>
      <c r="D10" s="149"/>
      <c r="E10" s="149"/>
      <c r="F10" s="149" t="s">
        <v>1064</v>
      </c>
      <c r="G10" s="149" t="s">
        <v>306</v>
      </c>
      <c r="H10" s="233" t="s">
        <v>217</v>
      </c>
      <c r="I10" s="149"/>
      <c r="J10" s="149"/>
      <c r="K10" s="149"/>
      <c r="L10" s="149"/>
      <c r="M10" s="149"/>
      <c r="N10" s="149"/>
      <c r="O10" s="149"/>
      <c r="P10" s="149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141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</row>
    <row r="11" spans="1:38" ht="30" customHeight="1">
      <c r="A11" s="137"/>
      <c r="B11" s="153" t="s">
        <v>1066</v>
      </c>
      <c r="C11" s="149"/>
      <c r="D11" s="149"/>
      <c r="E11" s="149"/>
      <c r="F11" s="149" t="s">
        <v>1064</v>
      </c>
      <c r="G11" s="149" t="s">
        <v>50</v>
      </c>
      <c r="H11" s="149" t="s">
        <v>254</v>
      </c>
      <c r="I11" s="149"/>
      <c r="J11" s="149"/>
      <c r="K11" s="149"/>
      <c r="L11" s="149"/>
      <c r="M11" s="149"/>
      <c r="N11" s="149"/>
      <c r="O11" s="149"/>
      <c r="P11" s="149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141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</row>
    <row r="12" spans="1:38" ht="30" customHeight="1">
      <c r="A12" s="137"/>
      <c r="B12" s="153" t="s">
        <v>1066</v>
      </c>
      <c r="C12" s="149"/>
      <c r="D12" s="149"/>
      <c r="E12" s="149"/>
      <c r="F12" s="149" t="s">
        <v>1063</v>
      </c>
      <c r="G12" s="149" t="s">
        <v>255</v>
      </c>
      <c r="H12" s="149" t="s">
        <v>394</v>
      </c>
      <c r="I12" s="149"/>
      <c r="J12" s="149"/>
      <c r="K12" s="149"/>
      <c r="L12" s="149"/>
      <c r="M12" s="149"/>
      <c r="N12" s="149"/>
      <c r="O12" s="149"/>
      <c r="P12" s="149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141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</row>
    <row r="13" spans="1:38" ht="30" customHeight="1">
      <c r="A13" s="137"/>
      <c r="B13" s="153" t="s">
        <v>1067</v>
      </c>
      <c r="C13" s="149"/>
      <c r="D13" s="149"/>
      <c r="E13" s="149"/>
      <c r="F13" s="149" t="s">
        <v>1063</v>
      </c>
      <c r="G13" s="149" t="s">
        <v>395</v>
      </c>
      <c r="H13" s="149" t="s">
        <v>396</v>
      </c>
      <c r="I13" s="149"/>
      <c r="J13" s="149"/>
      <c r="K13" s="149"/>
      <c r="L13" s="149"/>
      <c r="M13" s="149"/>
      <c r="N13" s="149"/>
      <c r="O13" s="149"/>
      <c r="P13" s="149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141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</row>
    <row r="14" spans="1:38" ht="30" customHeight="1">
      <c r="A14" s="137"/>
      <c r="B14" s="153" t="s">
        <v>1067</v>
      </c>
      <c r="C14" s="149"/>
      <c r="D14" s="149"/>
      <c r="E14" s="149"/>
      <c r="F14" s="149" t="s">
        <v>1063</v>
      </c>
      <c r="G14" s="149" t="s">
        <v>426</v>
      </c>
      <c r="H14" s="149" t="s">
        <v>49</v>
      </c>
      <c r="I14" s="149"/>
      <c r="J14" s="149"/>
      <c r="K14" s="149"/>
      <c r="L14" s="149"/>
      <c r="M14" s="149"/>
      <c r="N14" s="149"/>
      <c r="O14" s="149"/>
      <c r="P14" s="149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141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</row>
    <row r="15" spans="1:38" ht="30" customHeight="1">
      <c r="A15" s="137"/>
      <c r="B15" s="153" t="s">
        <v>1068</v>
      </c>
      <c r="C15" s="149"/>
      <c r="D15" s="149"/>
      <c r="E15" s="149"/>
      <c r="F15" s="149" t="s">
        <v>1063</v>
      </c>
      <c r="G15" s="149" t="s">
        <v>256</v>
      </c>
      <c r="H15" s="149" t="s">
        <v>257</v>
      </c>
      <c r="I15" s="149"/>
      <c r="J15" s="149"/>
      <c r="K15" s="149"/>
      <c r="L15" s="149"/>
      <c r="M15" s="149"/>
      <c r="N15" s="149"/>
      <c r="O15" s="149"/>
      <c r="P15" s="149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141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</row>
    <row r="16" spans="1:38" ht="30" customHeight="1">
      <c r="A16" s="152"/>
      <c r="B16" s="153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141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</row>
    <row r="17" spans="1:38" s="155" customFormat="1" ht="30" customHeight="1">
      <c r="A17" s="152"/>
      <c r="B17" s="153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54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</row>
    <row r="18" spans="1:38" ht="30" customHeight="1">
      <c r="A18" s="56"/>
      <c r="B18" s="171" t="s">
        <v>354</v>
      </c>
      <c r="C18" s="170" t="s">
        <v>706</v>
      </c>
      <c r="D18" s="170" t="s">
        <v>12</v>
      </c>
      <c r="E18" s="170" t="s">
        <v>27</v>
      </c>
      <c r="F18" s="170" t="s">
        <v>368</v>
      </c>
      <c r="G18" s="170" t="s">
        <v>306</v>
      </c>
      <c r="H18" s="170" t="s">
        <v>217</v>
      </c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 t="s">
        <v>529</v>
      </c>
      <c r="Y18" s="170">
        <v>1</v>
      </c>
      <c r="Z18" s="170">
        <v>11</v>
      </c>
      <c r="AA18" s="170"/>
      <c r="AB18" s="171" t="s">
        <v>389</v>
      </c>
      <c r="AC18" s="170" t="s">
        <v>341</v>
      </c>
      <c r="AD18" s="170" t="s">
        <v>341</v>
      </c>
      <c r="AE18" s="170" t="s">
        <v>341</v>
      </c>
      <c r="AF18" s="170" t="s">
        <v>341</v>
      </c>
      <c r="AG18" s="170" t="s">
        <v>341</v>
      </c>
      <c r="AH18" s="170" t="s">
        <v>341</v>
      </c>
      <c r="AI18" s="170" t="s">
        <v>341</v>
      </c>
      <c r="AJ18" s="170" t="s">
        <v>341</v>
      </c>
      <c r="AK18" s="171" t="s">
        <v>355</v>
      </c>
      <c r="AL18" s="171" t="s">
        <v>390</v>
      </c>
    </row>
    <row r="19" spans="1:38" ht="30" customHeight="1">
      <c r="A19" s="137"/>
      <c r="B19" s="131" t="s">
        <v>354</v>
      </c>
      <c r="C19" s="150" t="s">
        <v>391</v>
      </c>
      <c r="D19" s="130" t="s">
        <v>12</v>
      </c>
      <c r="E19" s="130" t="s">
        <v>27</v>
      </c>
      <c r="F19" s="130" t="s">
        <v>368</v>
      </c>
      <c r="G19" s="132" t="s">
        <v>50</v>
      </c>
      <c r="H19" s="150" t="s">
        <v>254</v>
      </c>
      <c r="I19" s="149"/>
      <c r="J19" s="149"/>
      <c r="K19" s="149"/>
      <c r="L19" s="149"/>
      <c r="M19" s="130"/>
      <c r="N19" s="149"/>
      <c r="O19" s="149"/>
      <c r="P19" s="149"/>
      <c r="Q19" s="130"/>
      <c r="R19" s="130"/>
      <c r="S19" s="130"/>
      <c r="T19" s="130"/>
      <c r="U19" s="130"/>
      <c r="V19" s="130"/>
      <c r="W19" s="150"/>
      <c r="X19" s="150" t="s">
        <v>529</v>
      </c>
      <c r="Y19" s="150">
        <v>2</v>
      </c>
      <c r="Z19" s="133">
        <v>21</v>
      </c>
      <c r="AA19" s="130"/>
      <c r="AB19" s="131" t="s">
        <v>392</v>
      </c>
      <c r="AC19" s="130" t="s">
        <v>341</v>
      </c>
      <c r="AD19" s="130" t="s">
        <v>341</v>
      </c>
      <c r="AE19" s="130" t="s">
        <v>341</v>
      </c>
      <c r="AF19" s="130" t="s">
        <v>341</v>
      </c>
      <c r="AG19" s="130" t="s">
        <v>341</v>
      </c>
      <c r="AH19" s="130" t="s">
        <v>341</v>
      </c>
      <c r="AI19" s="130" t="s">
        <v>341</v>
      </c>
      <c r="AJ19" s="130" t="s">
        <v>341</v>
      </c>
      <c r="AK19" s="131" t="s">
        <v>355</v>
      </c>
      <c r="AL19" s="131" t="s">
        <v>393</v>
      </c>
    </row>
    <row r="20" spans="1:38" ht="30" customHeight="1">
      <c r="A20" s="137"/>
      <c r="B20" s="131" t="s">
        <v>354</v>
      </c>
      <c r="C20" s="150" t="s">
        <v>425</v>
      </c>
      <c r="D20" s="150" t="s">
        <v>1</v>
      </c>
      <c r="E20" s="150" t="s">
        <v>27</v>
      </c>
      <c r="F20" s="150" t="s">
        <v>368</v>
      </c>
      <c r="G20" s="149" t="s">
        <v>255</v>
      </c>
      <c r="H20" s="132" t="s">
        <v>394</v>
      </c>
      <c r="I20" s="149"/>
      <c r="J20" s="149"/>
      <c r="K20" s="149"/>
      <c r="L20" s="149"/>
      <c r="M20" s="149"/>
      <c r="N20" s="149" t="s">
        <v>370</v>
      </c>
      <c r="O20" s="132" t="s">
        <v>1017</v>
      </c>
      <c r="P20" s="133" t="s">
        <v>1018</v>
      </c>
      <c r="Q20" s="150"/>
      <c r="R20" s="150"/>
      <c r="S20" s="150" t="s">
        <v>1058</v>
      </c>
      <c r="T20" s="147" t="s">
        <v>27</v>
      </c>
      <c r="U20" s="136" t="s">
        <v>451</v>
      </c>
      <c r="V20" s="138" t="s">
        <v>452</v>
      </c>
      <c r="W20" s="135" t="s">
        <v>450</v>
      </c>
      <c r="X20" s="150" t="s">
        <v>531</v>
      </c>
      <c r="Y20" s="150">
        <v>2</v>
      </c>
      <c r="Z20" s="133">
        <v>21</v>
      </c>
      <c r="AA20" s="150"/>
      <c r="AB20" s="131" t="s">
        <v>427</v>
      </c>
      <c r="AC20" s="150"/>
      <c r="AD20" s="150"/>
      <c r="AE20" s="150"/>
      <c r="AF20" s="150"/>
      <c r="AG20" s="150"/>
      <c r="AH20" s="150"/>
      <c r="AI20" s="150"/>
      <c r="AJ20" s="150"/>
      <c r="AK20" s="131" t="s">
        <v>359</v>
      </c>
      <c r="AL20" s="131" t="s">
        <v>428</v>
      </c>
    </row>
    <row r="21" spans="1:38" ht="30" customHeight="1">
      <c r="A21" s="137"/>
      <c r="B21" s="131" t="s">
        <v>354</v>
      </c>
      <c r="C21" s="150" t="s">
        <v>429</v>
      </c>
      <c r="D21" s="150" t="s">
        <v>1</v>
      </c>
      <c r="E21" s="150" t="s">
        <v>27</v>
      </c>
      <c r="F21" s="150" t="s">
        <v>368</v>
      </c>
      <c r="G21" s="149" t="s">
        <v>395</v>
      </c>
      <c r="H21" s="132" t="s">
        <v>396</v>
      </c>
      <c r="I21" s="149"/>
      <c r="J21" s="149"/>
      <c r="K21" s="149"/>
      <c r="L21" s="149"/>
      <c r="M21" s="149"/>
      <c r="N21" s="149" t="s">
        <v>370</v>
      </c>
      <c r="O21" s="132" t="s">
        <v>1056</v>
      </c>
      <c r="P21" s="133" t="s">
        <v>1057</v>
      </c>
      <c r="Q21" s="150"/>
      <c r="R21" s="150"/>
      <c r="S21" s="150" t="s">
        <v>1059</v>
      </c>
      <c r="T21" s="147" t="s">
        <v>27</v>
      </c>
      <c r="U21" s="136" t="s">
        <v>451</v>
      </c>
      <c r="V21" s="138" t="s">
        <v>452</v>
      </c>
      <c r="W21" s="135" t="s">
        <v>450</v>
      </c>
      <c r="X21" s="150" t="s">
        <v>531</v>
      </c>
      <c r="Y21" s="150">
        <v>3</v>
      </c>
      <c r="Z21" s="133">
        <v>12</v>
      </c>
      <c r="AA21" s="150"/>
      <c r="AB21" s="131" t="s">
        <v>430</v>
      </c>
      <c r="AC21" s="150" t="s">
        <v>341</v>
      </c>
      <c r="AD21" s="150" t="s">
        <v>341</v>
      </c>
      <c r="AE21" s="150" t="s">
        <v>341</v>
      </c>
      <c r="AF21" s="150" t="s">
        <v>341</v>
      </c>
      <c r="AG21" s="150" t="s">
        <v>341</v>
      </c>
      <c r="AH21" s="150" t="s">
        <v>341</v>
      </c>
      <c r="AI21" s="150" t="s">
        <v>341</v>
      </c>
      <c r="AJ21" s="150" t="s">
        <v>341</v>
      </c>
      <c r="AK21" s="131" t="s">
        <v>359</v>
      </c>
      <c r="AL21" s="131" t="s">
        <v>431</v>
      </c>
    </row>
    <row r="22" spans="1:38" ht="30" customHeight="1">
      <c r="A22" s="152"/>
      <c r="B22" s="131" t="s">
        <v>354</v>
      </c>
      <c r="C22" s="149" t="s">
        <v>69</v>
      </c>
      <c r="D22" s="149" t="s">
        <v>69</v>
      </c>
      <c r="E22" s="149" t="s">
        <v>27</v>
      </c>
      <c r="F22" s="149"/>
      <c r="G22" s="149"/>
      <c r="H22" s="149"/>
      <c r="I22" s="149"/>
      <c r="J22" s="149"/>
      <c r="K22" s="149"/>
      <c r="L22" s="149"/>
      <c r="M22" s="149"/>
      <c r="N22" s="149" t="s">
        <v>370</v>
      </c>
      <c r="O22" s="132" t="s">
        <v>1057</v>
      </c>
      <c r="P22" s="133" t="s">
        <v>1060</v>
      </c>
      <c r="Q22" s="149"/>
      <c r="R22" s="149"/>
      <c r="S22" s="149" t="s">
        <v>1061</v>
      </c>
      <c r="T22" s="147" t="s">
        <v>27</v>
      </c>
      <c r="U22" s="136" t="s">
        <v>451</v>
      </c>
      <c r="V22" s="138" t="s">
        <v>452</v>
      </c>
      <c r="W22" s="135" t="s">
        <v>450</v>
      </c>
      <c r="X22" s="149" t="s">
        <v>69</v>
      </c>
      <c r="Y22" s="149" t="s">
        <v>69</v>
      </c>
      <c r="Z22" s="149" t="s">
        <v>69</v>
      </c>
      <c r="AA22" s="149" t="s">
        <v>69</v>
      </c>
      <c r="AB22" s="153" t="s">
        <v>1062</v>
      </c>
      <c r="AC22" s="149"/>
      <c r="AD22" s="149"/>
      <c r="AE22" s="149"/>
      <c r="AF22" s="149"/>
      <c r="AG22" s="149"/>
      <c r="AH22" s="149"/>
      <c r="AI22" s="149"/>
      <c r="AJ22" s="149"/>
      <c r="AK22" s="153"/>
      <c r="AL22" s="153"/>
    </row>
    <row r="23" spans="1:38" ht="30" customHeight="1">
      <c r="A23" s="137"/>
      <c r="B23" s="131" t="s">
        <v>354</v>
      </c>
      <c r="C23" s="150" t="s">
        <v>707</v>
      </c>
      <c r="D23" s="150" t="s">
        <v>12</v>
      </c>
      <c r="E23" s="150" t="s">
        <v>65</v>
      </c>
      <c r="F23" s="150" t="s">
        <v>368</v>
      </c>
      <c r="G23" s="132" t="s">
        <v>426</v>
      </c>
      <c r="H23" s="150" t="s">
        <v>49</v>
      </c>
      <c r="I23" s="149"/>
      <c r="J23" s="149"/>
      <c r="K23" s="149"/>
      <c r="L23" s="149"/>
      <c r="M23" s="150"/>
      <c r="N23" s="149"/>
      <c r="O23" s="149"/>
      <c r="P23" s="149"/>
      <c r="Q23" s="150"/>
      <c r="R23" s="150"/>
      <c r="S23" s="150"/>
      <c r="T23" s="150"/>
      <c r="U23" s="150"/>
      <c r="V23" s="150"/>
      <c r="W23" s="150"/>
      <c r="X23" s="150" t="s">
        <v>529</v>
      </c>
      <c r="Y23" s="150">
        <v>4</v>
      </c>
      <c r="Z23" s="133">
        <v>22</v>
      </c>
      <c r="AA23" s="150"/>
      <c r="AB23" s="131" t="s">
        <v>711</v>
      </c>
      <c r="AC23" s="150" t="s">
        <v>341</v>
      </c>
      <c r="AD23" s="150" t="s">
        <v>341</v>
      </c>
      <c r="AE23" s="150" t="s">
        <v>341</v>
      </c>
      <c r="AF23" s="150" t="s">
        <v>341</v>
      </c>
      <c r="AG23" s="150" t="s">
        <v>341</v>
      </c>
      <c r="AH23" s="150" t="s">
        <v>341</v>
      </c>
      <c r="AI23" s="150" t="s">
        <v>341</v>
      </c>
      <c r="AJ23" s="150" t="s">
        <v>341</v>
      </c>
      <c r="AK23" s="131" t="s">
        <v>356</v>
      </c>
      <c r="AL23" s="131" t="s">
        <v>357</v>
      </c>
    </row>
    <row r="24" spans="1:38" ht="30" customHeight="1">
      <c r="A24" s="137"/>
      <c r="B24" s="131" t="s">
        <v>354</v>
      </c>
      <c r="C24" s="150" t="s">
        <v>708</v>
      </c>
      <c r="D24" s="150" t="s">
        <v>12</v>
      </c>
      <c r="E24" s="150" t="s">
        <v>65</v>
      </c>
      <c r="F24" s="150" t="s">
        <v>368</v>
      </c>
      <c r="G24" s="132" t="s">
        <v>256</v>
      </c>
      <c r="H24" s="150" t="s">
        <v>257</v>
      </c>
      <c r="I24" s="149"/>
      <c r="J24" s="149"/>
      <c r="K24" s="149"/>
      <c r="L24" s="149"/>
      <c r="M24" s="150"/>
      <c r="N24" s="149"/>
      <c r="O24" s="149"/>
      <c r="P24" s="149"/>
      <c r="Q24" s="150"/>
      <c r="R24" s="150"/>
      <c r="S24" s="150"/>
      <c r="T24" s="150"/>
      <c r="U24" s="150"/>
      <c r="V24" s="150"/>
      <c r="W24" s="150"/>
      <c r="X24" s="150" t="s">
        <v>529</v>
      </c>
      <c r="Y24" s="150">
        <v>5</v>
      </c>
      <c r="Z24" s="133">
        <v>13</v>
      </c>
      <c r="AA24" s="150"/>
      <c r="AB24" s="131" t="s">
        <v>712</v>
      </c>
      <c r="AC24" s="150" t="s">
        <v>341</v>
      </c>
      <c r="AD24" s="150" t="s">
        <v>341</v>
      </c>
      <c r="AE24" s="150" t="s">
        <v>341</v>
      </c>
      <c r="AF24" s="150" t="s">
        <v>341</v>
      </c>
      <c r="AG24" s="150" t="s">
        <v>341</v>
      </c>
      <c r="AH24" s="150" t="s">
        <v>341</v>
      </c>
      <c r="AI24" s="150" t="s">
        <v>341</v>
      </c>
      <c r="AJ24" s="150" t="s">
        <v>341</v>
      </c>
      <c r="AK24" s="131" t="s">
        <v>356</v>
      </c>
      <c r="AL24" s="131" t="s">
        <v>357</v>
      </c>
    </row>
    <row r="25" spans="1:38" ht="30" customHeight="1">
      <c r="A25" s="137"/>
      <c r="B25" s="131" t="s">
        <v>354</v>
      </c>
      <c r="C25" s="150" t="s">
        <v>709</v>
      </c>
      <c r="D25" s="150" t="s">
        <v>12</v>
      </c>
      <c r="E25" s="150" t="s">
        <v>65</v>
      </c>
      <c r="F25" s="150" t="s">
        <v>368</v>
      </c>
      <c r="G25" s="132" t="s">
        <v>404</v>
      </c>
      <c r="H25" s="150" t="s">
        <v>405</v>
      </c>
      <c r="I25" s="149"/>
      <c r="J25" s="149"/>
      <c r="K25" s="149"/>
      <c r="L25" s="149"/>
      <c r="M25" s="150"/>
      <c r="N25" s="149"/>
      <c r="O25" s="149"/>
      <c r="P25" s="149"/>
      <c r="Q25" s="150"/>
      <c r="R25" s="150"/>
      <c r="S25" s="150"/>
      <c r="T25" s="150"/>
      <c r="U25" s="150"/>
      <c r="V25" s="150"/>
      <c r="W25" s="150"/>
      <c r="X25" s="150" t="s">
        <v>529</v>
      </c>
      <c r="Y25" s="150">
        <v>6</v>
      </c>
      <c r="Z25" s="133">
        <v>23</v>
      </c>
      <c r="AA25" s="150"/>
      <c r="AB25" s="131" t="s">
        <v>713</v>
      </c>
      <c r="AC25" s="150" t="s">
        <v>341</v>
      </c>
      <c r="AD25" s="150" t="s">
        <v>341</v>
      </c>
      <c r="AE25" s="150" t="s">
        <v>341</v>
      </c>
      <c r="AF25" s="150" t="s">
        <v>341</v>
      </c>
      <c r="AG25" s="150" t="s">
        <v>341</v>
      </c>
      <c r="AH25" s="150" t="s">
        <v>341</v>
      </c>
      <c r="AI25" s="150" t="s">
        <v>341</v>
      </c>
      <c r="AJ25" s="150" t="s">
        <v>341</v>
      </c>
      <c r="AK25" s="131" t="s">
        <v>356</v>
      </c>
      <c r="AL25" s="131" t="s">
        <v>357</v>
      </c>
    </row>
    <row r="26" spans="1:38" ht="30" customHeight="1">
      <c r="A26" s="137"/>
      <c r="B26" s="131" t="s">
        <v>354</v>
      </c>
      <c r="C26" s="150" t="s">
        <v>710</v>
      </c>
      <c r="D26" s="150" t="s">
        <v>12</v>
      </c>
      <c r="E26" s="150" t="s">
        <v>65</v>
      </c>
      <c r="F26" s="150" t="s">
        <v>368</v>
      </c>
      <c r="G26" s="132" t="s">
        <v>409</v>
      </c>
      <c r="H26" s="150" t="s">
        <v>238</v>
      </c>
      <c r="I26" s="149"/>
      <c r="J26" s="149"/>
      <c r="K26" s="149"/>
      <c r="L26" s="149"/>
      <c r="M26" s="150"/>
      <c r="N26" s="149"/>
      <c r="O26" s="149"/>
      <c r="P26" s="149"/>
      <c r="Q26" s="150"/>
      <c r="R26" s="150"/>
      <c r="S26" s="150"/>
      <c r="T26" s="150"/>
      <c r="U26" s="150"/>
      <c r="V26" s="150"/>
      <c r="W26" s="150"/>
      <c r="X26" s="150" t="s">
        <v>529</v>
      </c>
      <c r="Y26" s="150">
        <v>7</v>
      </c>
      <c r="Z26" s="133">
        <v>14</v>
      </c>
      <c r="AA26" s="150"/>
      <c r="AB26" s="131" t="s">
        <v>714</v>
      </c>
      <c r="AC26" s="150" t="s">
        <v>341</v>
      </c>
      <c r="AD26" s="150" t="s">
        <v>341</v>
      </c>
      <c r="AE26" s="150" t="s">
        <v>341</v>
      </c>
      <c r="AF26" s="150" t="s">
        <v>341</v>
      </c>
      <c r="AG26" s="150" t="s">
        <v>341</v>
      </c>
      <c r="AH26" s="150" t="s">
        <v>341</v>
      </c>
      <c r="AI26" s="150" t="s">
        <v>341</v>
      </c>
      <c r="AJ26" s="150" t="s">
        <v>341</v>
      </c>
      <c r="AK26" s="131" t="s">
        <v>356</v>
      </c>
      <c r="AL26" s="131" t="s">
        <v>357</v>
      </c>
    </row>
    <row r="27" spans="1:38" ht="30" customHeight="1">
      <c r="A27" s="137"/>
      <c r="B27" s="131" t="s">
        <v>354</v>
      </c>
      <c r="C27" s="230" t="s">
        <v>1002</v>
      </c>
      <c r="D27" s="230" t="s">
        <v>12</v>
      </c>
      <c r="E27" s="230" t="s">
        <v>65</v>
      </c>
      <c r="F27" s="230" t="s">
        <v>368</v>
      </c>
      <c r="G27" s="132" t="s">
        <v>433</v>
      </c>
      <c r="H27" s="230" t="s">
        <v>434</v>
      </c>
      <c r="I27" s="149"/>
      <c r="J27" s="149"/>
      <c r="K27" s="149"/>
      <c r="L27" s="149"/>
      <c r="M27" s="230"/>
      <c r="N27" s="149"/>
      <c r="O27" s="149"/>
      <c r="P27" s="149"/>
      <c r="Q27" s="230"/>
      <c r="R27" s="230"/>
      <c r="S27" s="230"/>
      <c r="T27" s="230"/>
      <c r="U27" s="230"/>
      <c r="V27" s="230"/>
      <c r="W27" s="230"/>
      <c r="X27" s="230" t="s">
        <v>529</v>
      </c>
      <c r="Y27" s="230" t="s">
        <v>396</v>
      </c>
      <c r="Z27" s="133" t="s">
        <v>241</v>
      </c>
      <c r="AA27" s="230"/>
      <c r="AB27" s="131" t="s">
        <v>1003</v>
      </c>
      <c r="AC27" s="230" t="s">
        <v>341</v>
      </c>
      <c r="AD27" s="230" t="s">
        <v>341</v>
      </c>
      <c r="AE27" s="230" t="s">
        <v>341</v>
      </c>
      <c r="AF27" s="230" t="s">
        <v>341</v>
      </c>
      <c r="AG27" s="230" t="s">
        <v>341</v>
      </c>
      <c r="AH27" s="230" t="s">
        <v>341</v>
      </c>
      <c r="AI27" s="230" t="s">
        <v>341</v>
      </c>
      <c r="AJ27" s="230" t="s">
        <v>341</v>
      </c>
      <c r="AK27" s="131" t="s">
        <v>356</v>
      </c>
      <c r="AL27" s="131" t="s">
        <v>357</v>
      </c>
    </row>
    <row r="28" spans="1:38" ht="30" customHeight="1">
      <c r="A28" s="137"/>
      <c r="B28" s="131" t="s">
        <v>347</v>
      </c>
      <c r="C28" s="150" t="s">
        <v>397</v>
      </c>
      <c r="D28" s="150" t="s">
        <v>1</v>
      </c>
      <c r="E28" s="150" t="s">
        <v>65</v>
      </c>
      <c r="F28" s="150" t="s">
        <v>363</v>
      </c>
      <c r="G28" s="149" t="s">
        <v>306</v>
      </c>
      <c r="H28" s="132" t="s">
        <v>217</v>
      </c>
      <c r="I28" s="150" t="s">
        <v>378</v>
      </c>
      <c r="J28" s="150"/>
      <c r="K28" s="134" t="s">
        <v>306</v>
      </c>
      <c r="L28" s="133" t="s">
        <v>217</v>
      </c>
      <c r="M28" s="150"/>
      <c r="N28" s="149"/>
      <c r="O28" s="149"/>
      <c r="P28" s="149"/>
      <c r="Q28" s="150"/>
      <c r="R28" s="150"/>
      <c r="S28" s="142" t="s">
        <v>853</v>
      </c>
      <c r="T28" s="147" t="s">
        <v>65</v>
      </c>
      <c r="U28" s="136" t="s">
        <v>451</v>
      </c>
      <c r="V28" s="138" t="s">
        <v>720</v>
      </c>
      <c r="W28" s="135" t="s">
        <v>721</v>
      </c>
      <c r="X28" s="149" t="s">
        <v>69</v>
      </c>
      <c r="Y28" s="152" t="s">
        <v>69</v>
      </c>
      <c r="Z28" s="152" t="s">
        <v>69</v>
      </c>
      <c r="AA28" s="149" t="s">
        <v>69</v>
      </c>
      <c r="AB28" s="131" t="s">
        <v>854</v>
      </c>
      <c r="AC28" s="150" t="s">
        <v>341</v>
      </c>
      <c r="AD28" s="150" t="s">
        <v>341</v>
      </c>
      <c r="AE28" s="150" t="s">
        <v>341</v>
      </c>
      <c r="AF28" s="150" t="s">
        <v>341</v>
      </c>
      <c r="AG28" s="150" t="s">
        <v>341</v>
      </c>
      <c r="AH28" s="150" t="s">
        <v>341</v>
      </c>
      <c r="AI28" s="150" t="s">
        <v>341</v>
      </c>
      <c r="AJ28" s="150" t="s">
        <v>341</v>
      </c>
      <c r="AK28" s="131" t="s">
        <v>398</v>
      </c>
      <c r="AL28" s="131" t="s">
        <v>357</v>
      </c>
    </row>
    <row r="29" spans="1:38" ht="30" customHeight="1">
      <c r="A29" s="137"/>
      <c r="B29" s="238" t="s">
        <v>456</v>
      </c>
      <c r="C29" s="163" t="s">
        <v>1069</v>
      </c>
      <c r="D29" s="163" t="s">
        <v>12</v>
      </c>
      <c r="E29" s="233" t="s">
        <v>65</v>
      </c>
      <c r="F29" s="149" t="s">
        <v>370</v>
      </c>
      <c r="G29" s="132" t="s">
        <v>1017</v>
      </c>
      <c r="H29" s="149" t="s">
        <v>1018</v>
      </c>
      <c r="I29" s="149" t="s">
        <v>378</v>
      </c>
      <c r="J29" s="149"/>
      <c r="K29" s="134" t="s">
        <v>338</v>
      </c>
      <c r="L29" s="133" t="s">
        <v>339</v>
      </c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 t="s">
        <v>529</v>
      </c>
      <c r="Y29" s="149">
        <v>3</v>
      </c>
      <c r="Z29" s="149">
        <v>12</v>
      </c>
      <c r="AA29" s="149"/>
      <c r="AB29" s="153" t="s">
        <v>1070</v>
      </c>
      <c r="AC29" s="149" t="s">
        <v>341</v>
      </c>
      <c r="AD29" s="149" t="s">
        <v>341</v>
      </c>
      <c r="AE29" s="149" t="s">
        <v>341</v>
      </c>
      <c r="AF29" s="149" t="s">
        <v>341</v>
      </c>
      <c r="AG29" s="149" t="s">
        <v>341</v>
      </c>
      <c r="AH29" s="149" t="s">
        <v>341</v>
      </c>
      <c r="AI29" s="149" t="s">
        <v>341</v>
      </c>
      <c r="AJ29" s="149" t="s">
        <v>341</v>
      </c>
      <c r="AK29" s="238" t="s">
        <v>303</v>
      </c>
      <c r="AL29" s="238" t="s">
        <v>64</v>
      </c>
    </row>
    <row r="30" spans="1:38" ht="30" customHeight="1">
      <c r="A30" s="212"/>
      <c r="B30" s="131" t="s">
        <v>347</v>
      </c>
      <c r="C30" s="150" t="s">
        <v>422</v>
      </c>
      <c r="D30" s="150" t="s">
        <v>1</v>
      </c>
      <c r="E30" s="150" t="s">
        <v>349</v>
      </c>
      <c r="F30" s="150" t="s">
        <v>423</v>
      </c>
      <c r="G30" s="149" t="s">
        <v>1056</v>
      </c>
      <c r="H30" s="132" t="s">
        <v>1057</v>
      </c>
      <c r="I30" s="150" t="s">
        <v>717</v>
      </c>
      <c r="J30" s="150"/>
      <c r="K30" s="134" t="s">
        <v>344</v>
      </c>
      <c r="L30" s="133" t="s">
        <v>345</v>
      </c>
      <c r="M30" s="149"/>
      <c r="N30" s="149"/>
      <c r="O30" s="149"/>
      <c r="P30" s="149"/>
      <c r="Q30" s="150"/>
      <c r="R30" s="150"/>
      <c r="S30" s="142" t="s">
        <v>852</v>
      </c>
      <c r="T30" s="147" t="s">
        <v>65</v>
      </c>
      <c r="U30" s="136" t="s">
        <v>451</v>
      </c>
      <c r="V30" s="138" t="s">
        <v>452</v>
      </c>
      <c r="W30" s="135" t="s">
        <v>450</v>
      </c>
      <c r="X30" s="150" t="s">
        <v>531</v>
      </c>
      <c r="Y30" s="52">
        <v>1</v>
      </c>
      <c r="Z30" s="148">
        <v>11</v>
      </c>
      <c r="AA30" s="150"/>
      <c r="AB30" s="131" t="s">
        <v>855</v>
      </c>
      <c r="AC30" s="150" t="s">
        <v>341</v>
      </c>
      <c r="AD30" s="150" t="s">
        <v>341</v>
      </c>
      <c r="AE30" s="150" t="s">
        <v>341</v>
      </c>
      <c r="AF30" s="150" t="s">
        <v>341</v>
      </c>
      <c r="AG30" s="150" t="s">
        <v>341</v>
      </c>
      <c r="AH30" s="150" t="s">
        <v>341</v>
      </c>
      <c r="AI30" s="150" t="s">
        <v>341</v>
      </c>
      <c r="AJ30" s="150" t="s">
        <v>341</v>
      </c>
      <c r="AK30" s="131" t="s">
        <v>424</v>
      </c>
      <c r="AL30" s="131" t="s">
        <v>353</v>
      </c>
    </row>
    <row r="31" spans="1:38" ht="30" customHeight="1">
      <c r="A31" s="137"/>
      <c r="B31" s="131" t="s">
        <v>347</v>
      </c>
      <c r="C31" s="150"/>
      <c r="D31" s="150" t="s">
        <v>446</v>
      </c>
      <c r="E31" s="150"/>
      <c r="F31" s="150"/>
      <c r="G31" s="150"/>
      <c r="H31" s="150"/>
      <c r="I31" s="150" t="s">
        <v>379</v>
      </c>
      <c r="J31" s="150"/>
      <c r="K31" s="132" t="s">
        <v>306</v>
      </c>
      <c r="L31" s="133" t="s">
        <v>217</v>
      </c>
      <c r="M31" s="150"/>
      <c r="N31" s="149"/>
      <c r="O31" s="149"/>
      <c r="P31" s="149"/>
      <c r="Q31" s="150"/>
      <c r="R31" s="150"/>
      <c r="S31" s="150"/>
      <c r="T31" s="150"/>
      <c r="U31" s="150"/>
      <c r="V31" s="150"/>
      <c r="W31" s="150"/>
      <c r="X31" s="150"/>
      <c r="Y31" s="150"/>
      <c r="Z31" s="132"/>
      <c r="AA31" s="137"/>
      <c r="AB31" s="131" t="s">
        <v>447</v>
      </c>
      <c r="AC31" s="150" t="s">
        <v>341</v>
      </c>
      <c r="AD31" s="150" t="s">
        <v>341</v>
      </c>
      <c r="AE31" s="150" t="s">
        <v>341</v>
      </c>
      <c r="AF31" s="150" t="s">
        <v>341</v>
      </c>
      <c r="AG31" s="150" t="s">
        <v>341</v>
      </c>
      <c r="AH31" s="150" t="s">
        <v>341</v>
      </c>
      <c r="AI31" s="150" t="s">
        <v>341</v>
      </c>
      <c r="AJ31" s="150" t="s">
        <v>341</v>
      </c>
      <c r="AK31" s="131" t="s">
        <v>448</v>
      </c>
      <c r="AL31" s="131"/>
    </row>
    <row r="32" spans="1:38" ht="30" customHeight="1">
      <c r="A32" s="137"/>
      <c r="B32" s="131" t="s">
        <v>399</v>
      </c>
      <c r="C32" s="130" t="s">
        <v>400</v>
      </c>
      <c r="D32" s="130" t="s">
        <v>12</v>
      </c>
      <c r="E32" s="130" t="s">
        <v>27</v>
      </c>
      <c r="F32" s="130" t="s">
        <v>370</v>
      </c>
      <c r="G32" s="132" t="s">
        <v>306</v>
      </c>
      <c r="H32" s="130" t="s">
        <v>217</v>
      </c>
      <c r="I32" s="130" t="s">
        <v>382</v>
      </c>
      <c r="J32" s="132" t="s">
        <v>306</v>
      </c>
      <c r="K32" s="133" t="s">
        <v>217</v>
      </c>
      <c r="L32" s="149"/>
      <c r="M32" s="130"/>
      <c r="N32" s="149"/>
      <c r="O32" s="149"/>
      <c r="P32" s="149"/>
      <c r="Q32" s="130"/>
      <c r="R32" s="130"/>
      <c r="S32" s="130"/>
      <c r="T32" s="130"/>
      <c r="U32" s="130"/>
      <c r="V32" s="130"/>
      <c r="W32" s="150"/>
      <c r="X32" s="150" t="s">
        <v>529</v>
      </c>
      <c r="Y32" s="150" t="s">
        <v>426</v>
      </c>
      <c r="Z32" s="133">
        <v>15</v>
      </c>
      <c r="AA32" s="130"/>
      <c r="AB32" s="131" t="s">
        <v>401</v>
      </c>
      <c r="AC32" s="130" t="s">
        <v>341</v>
      </c>
      <c r="AD32" s="130" t="s">
        <v>341</v>
      </c>
      <c r="AE32" s="130" t="s">
        <v>341</v>
      </c>
      <c r="AF32" s="130" t="s">
        <v>341</v>
      </c>
      <c r="AG32" s="130" t="s">
        <v>341</v>
      </c>
      <c r="AH32" s="130" t="s">
        <v>341</v>
      </c>
      <c r="AI32" s="130" t="s">
        <v>341</v>
      </c>
      <c r="AJ32" s="130" t="s">
        <v>341</v>
      </c>
      <c r="AK32" s="131" t="s">
        <v>402</v>
      </c>
      <c r="AL32" s="131" t="s">
        <v>358</v>
      </c>
    </row>
    <row r="33" spans="1:38" ht="30" customHeight="1">
      <c r="A33" s="137"/>
      <c r="B33" s="131" t="s">
        <v>399</v>
      </c>
      <c r="C33" s="130" t="s">
        <v>403</v>
      </c>
      <c r="D33" s="130" t="s">
        <v>12</v>
      </c>
      <c r="E33" s="130" t="s">
        <v>65</v>
      </c>
      <c r="F33" s="130" t="s">
        <v>370</v>
      </c>
      <c r="G33" s="132" t="s">
        <v>50</v>
      </c>
      <c r="H33" s="130" t="s">
        <v>254</v>
      </c>
      <c r="I33" s="130" t="s">
        <v>382</v>
      </c>
      <c r="J33" s="132" t="s">
        <v>50</v>
      </c>
      <c r="K33" s="133" t="s">
        <v>254</v>
      </c>
      <c r="L33" s="149"/>
      <c r="M33" s="130"/>
      <c r="N33" s="149"/>
      <c r="O33" s="149"/>
      <c r="P33" s="149"/>
      <c r="Q33" s="130"/>
      <c r="R33" s="130"/>
      <c r="S33" s="130"/>
      <c r="T33" s="130"/>
      <c r="U33" s="130"/>
      <c r="V33" s="130"/>
      <c r="W33" s="150"/>
      <c r="X33" s="150" t="s">
        <v>528</v>
      </c>
      <c r="Y33" s="150" t="s">
        <v>49</v>
      </c>
      <c r="Z33" s="133">
        <v>25</v>
      </c>
      <c r="AA33" s="130"/>
      <c r="AB33" s="131" t="s">
        <v>406</v>
      </c>
      <c r="AC33" s="130" t="s">
        <v>341</v>
      </c>
      <c r="AD33" s="130" t="s">
        <v>341</v>
      </c>
      <c r="AE33" s="130" t="s">
        <v>341</v>
      </c>
      <c r="AF33" s="130" t="s">
        <v>341</v>
      </c>
      <c r="AG33" s="130" t="s">
        <v>341</v>
      </c>
      <c r="AH33" s="130" t="s">
        <v>341</v>
      </c>
      <c r="AI33" s="130" t="s">
        <v>341</v>
      </c>
      <c r="AJ33" s="130" t="s">
        <v>341</v>
      </c>
      <c r="AK33" s="131" t="s">
        <v>402</v>
      </c>
      <c r="AL33" s="131" t="s">
        <v>407</v>
      </c>
    </row>
    <row r="34" spans="1:38" ht="30" customHeight="1">
      <c r="A34" s="137"/>
      <c r="B34" s="131" t="s">
        <v>399</v>
      </c>
      <c r="C34" s="130" t="s">
        <v>408</v>
      </c>
      <c r="D34" s="130" t="s">
        <v>12</v>
      </c>
      <c r="E34" s="130" t="s">
        <v>27</v>
      </c>
      <c r="F34" s="130" t="s">
        <v>370</v>
      </c>
      <c r="G34" s="132" t="s">
        <v>255</v>
      </c>
      <c r="H34" s="150" t="s">
        <v>394</v>
      </c>
      <c r="I34" s="130" t="s">
        <v>382</v>
      </c>
      <c r="J34" s="132" t="s">
        <v>255</v>
      </c>
      <c r="K34" s="133" t="s">
        <v>394</v>
      </c>
      <c r="L34" s="149"/>
      <c r="M34" s="130"/>
      <c r="N34" s="149"/>
      <c r="O34" s="149"/>
      <c r="P34" s="149"/>
      <c r="Q34" s="130"/>
      <c r="R34" s="130"/>
      <c r="S34" s="130"/>
      <c r="T34" s="130"/>
      <c r="U34" s="130"/>
      <c r="V34" s="130"/>
      <c r="W34" s="150"/>
      <c r="X34" s="150" t="s">
        <v>528</v>
      </c>
      <c r="Y34" s="150" t="s">
        <v>256</v>
      </c>
      <c r="Z34" s="133">
        <v>16</v>
      </c>
      <c r="AA34" s="130"/>
      <c r="AB34" s="131" t="s">
        <v>410</v>
      </c>
      <c r="AC34" s="130" t="s">
        <v>341</v>
      </c>
      <c r="AD34" s="130" t="s">
        <v>341</v>
      </c>
      <c r="AE34" s="130" t="s">
        <v>341</v>
      </c>
      <c r="AF34" s="130" t="s">
        <v>341</v>
      </c>
      <c r="AG34" s="130" t="s">
        <v>341</v>
      </c>
      <c r="AH34" s="130" t="s">
        <v>341</v>
      </c>
      <c r="AI34" s="130" t="s">
        <v>341</v>
      </c>
      <c r="AJ34" s="130" t="s">
        <v>341</v>
      </c>
      <c r="AK34" s="131" t="s">
        <v>402</v>
      </c>
      <c r="AL34" s="131" t="s">
        <v>348</v>
      </c>
    </row>
    <row r="35" spans="1:38" ht="30" customHeight="1">
      <c r="A35" s="137"/>
      <c r="B35" s="131" t="s">
        <v>411</v>
      </c>
      <c r="C35" s="130" t="s">
        <v>412</v>
      </c>
      <c r="D35" s="130" t="s">
        <v>12</v>
      </c>
      <c r="E35" s="130" t="s">
        <v>27</v>
      </c>
      <c r="F35" s="130" t="s">
        <v>370</v>
      </c>
      <c r="G35" s="132" t="s">
        <v>404</v>
      </c>
      <c r="H35" s="130" t="s">
        <v>405</v>
      </c>
      <c r="I35" s="130" t="s">
        <v>382</v>
      </c>
      <c r="J35" s="132" t="s">
        <v>256</v>
      </c>
      <c r="K35" s="133" t="s">
        <v>257</v>
      </c>
      <c r="L35" s="149"/>
      <c r="M35" s="130"/>
      <c r="N35" s="149"/>
      <c r="O35" s="149"/>
      <c r="P35" s="149"/>
      <c r="Q35" s="130"/>
      <c r="R35" s="130"/>
      <c r="S35" s="130"/>
      <c r="T35" s="130"/>
      <c r="U35" s="130"/>
      <c r="V35" s="130"/>
      <c r="W35" s="150"/>
      <c r="X35" s="150" t="s">
        <v>528</v>
      </c>
      <c r="Y35" s="150" t="s">
        <v>257</v>
      </c>
      <c r="Z35" s="133">
        <v>26</v>
      </c>
      <c r="AA35" s="130"/>
      <c r="AB35" s="131" t="s">
        <v>415</v>
      </c>
      <c r="AC35" s="130" t="s">
        <v>341</v>
      </c>
      <c r="AD35" s="130" t="s">
        <v>341</v>
      </c>
      <c r="AE35" s="130" t="s">
        <v>341</v>
      </c>
      <c r="AF35" s="130" t="s">
        <v>341</v>
      </c>
      <c r="AG35" s="130" t="s">
        <v>341</v>
      </c>
      <c r="AH35" s="130" t="s">
        <v>341</v>
      </c>
      <c r="AI35" s="130" t="s">
        <v>341</v>
      </c>
      <c r="AJ35" s="130" t="s">
        <v>341</v>
      </c>
      <c r="AK35" s="131" t="s">
        <v>416</v>
      </c>
      <c r="AL35" s="131" t="s">
        <v>358</v>
      </c>
    </row>
    <row r="36" spans="1:38" ht="30" customHeight="1">
      <c r="A36" s="137"/>
      <c r="B36" s="131" t="s">
        <v>411</v>
      </c>
      <c r="C36" s="130" t="s">
        <v>417</v>
      </c>
      <c r="D36" s="130" t="s">
        <v>12</v>
      </c>
      <c r="E36" s="130" t="s">
        <v>65</v>
      </c>
      <c r="F36" s="130" t="s">
        <v>370</v>
      </c>
      <c r="G36" s="132" t="s">
        <v>409</v>
      </c>
      <c r="H36" s="150" t="s">
        <v>238</v>
      </c>
      <c r="I36" s="130" t="s">
        <v>382</v>
      </c>
      <c r="J36" s="132" t="s">
        <v>404</v>
      </c>
      <c r="K36" s="133" t="s">
        <v>405</v>
      </c>
      <c r="L36" s="149"/>
      <c r="M36" s="130"/>
      <c r="N36" s="149"/>
      <c r="O36" s="149"/>
      <c r="P36" s="149"/>
      <c r="Q36" s="130"/>
      <c r="R36" s="130"/>
      <c r="S36" s="130"/>
      <c r="T36" s="130"/>
      <c r="U36" s="130"/>
      <c r="V36" s="130"/>
      <c r="W36" s="150"/>
      <c r="X36" s="150" t="s">
        <v>528</v>
      </c>
      <c r="Y36" s="150" t="s">
        <v>404</v>
      </c>
      <c r="Z36" s="133">
        <v>17</v>
      </c>
      <c r="AA36" s="130"/>
      <c r="AB36" s="131" t="s">
        <v>419</v>
      </c>
      <c r="AC36" s="130" t="s">
        <v>341</v>
      </c>
      <c r="AD36" s="130" t="s">
        <v>341</v>
      </c>
      <c r="AE36" s="130" t="s">
        <v>341</v>
      </c>
      <c r="AF36" s="130" t="s">
        <v>341</v>
      </c>
      <c r="AG36" s="130" t="s">
        <v>341</v>
      </c>
      <c r="AH36" s="130" t="s">
        <v>341</v>
      </c>
      <c r="AI36" s="130" t="s">
        <v>341</v>
      </c>
      <c r="AJ36" s="130" t="s">
        <v>341</v>
      </c>
      <c r="AK36" s="131" t="s">
        <v>416</v>
      </c>
      <c r="AL36" s="131" t="s">
        <v>407</v>
      </c>
    </row>
    <row r="37" spans="1:38" ht="30" customHeight="1">
      <c r="A37" s="137"/>
      <c r="B37" s="131" t="s">
        <v>411</v>
      </c>
      <c r="C37" s="130" t="s">
        <v>420</v>
      </c>
      <c r="D37" s="130" t="s">
        <v>12</v>
      </c>
      <c r="E37" s="130" t="s">
        <v>27</v>
      </c>
      <c r="F37" s="130" t="s">
        <v>370</v>
      </c>
      <c r="G37" s="132" t="s">
        <v>433</v>
      </c>
      <c r="H37" s="150" t="s">
        <v>434</v>
      </c>
      <c r="I37" s="130" t="s">
        <v>382</v>
      </c>
      <c r="J37" s="132" t="s">
        <v>409</v>
      </c>
      <c r="K37" s="133" t="s">
        <v>238</v>
      </c>
      <c r="L37" s="149"/>
      <c r="M37" s="130"/>
      <c r="N37" s="149"/>
      <c r="O37" s="149"/>
      <c r="P37" s="149"/>
      <c r="Q37" s="130"/>
      <c r="R37" s="130"/>
      <c r="S37" s="130"/>
      <c r="T37" s="130"/>
      <c r="U37" s="130"/>
      <c r="V37" s="130"/>
      <c r="W37" s="150"/>
      <c r="X37" s="150" t="s">
        <v>528</v>
      </c>
      <c r="Y37" s="150" t="s">
        <v>405</v>
      </c>
      <c r="Z37" s="133" t="s">
        <v>1004</v>
      </c>
      <c r="AA37" s="130"/>
      <c r="AB37" s="131" t="s">
        <v>421</v>
      </c>
      <c r="AC37" s="130" t="s">
        <v>341</v>
      </c>
      <c r="AD37" s="130" t="s">
        <v>341</v>
      </c>
      <c r="AE37" s="130" t="s">
        <v>341</v>
      </c>
      <c r="AF37" s="130" t="s">
        <v>341</v>
      </c>
      <c r="AG37" s="130" t="s">
        <v>341</v>
      </c>
      <c r="AH37" s="130" t="s">
        <v>341</v>
      </c>
      <c r="AI37" s="130" t="s">
        <v>341</v>
      </c>
      <c r="AJ37" s="130" t="s">
        <v>341</v>
      </c>
      <c r="AK37" s="131" t="s">
        <v>416</v>
      </c>
      <c r="AL37" s="131" t="s">
        <v>348</v>
      </c>
    </row>
    <row r="38" spans="1:38" ht="30" customHeight="1">
      <c r="A38" s="137"/>
      <c r="B38" s="131" t="s">
        <v>399</v>
      </c>
      <c r="C38" s="130" t="s">
        <v>432</v>
      </c>
      <c r="D38" s="130" t="s">
        <v>1</v>
      </c>
      <c r="E38" s="130" t="s">
        <v>27</v>
      </c>
      <c r="F38" s="130" t="s">
        <v>370</v>
      </c>
      <c r="G38" s="150" t="s">
        <v>395</v>
      </c>
      <c r="H38" s="132" t="s">
        <v>396</v>
      </c>
      <c r="I38" s="130" t="s">
        <v>382</v>
      </c>
      <c r="J38" s="130"/>
      <c r="K38" s="134" t="s">
        <v>395</v>
      </c>
      <c r="L38" s="133" t="s">
        <v>396</v>
      </c>
      <c r="M38" s="149"/>
      <c r="N38" s="149"/>
      <c r="O38" s="149"/>
      <c r="P38" s="149"/>
      <c r="Q38" s="130"/>
      <c r="R38" s="130"/>
      <c r="S38" s="130" t="s">
        <v>844</v>
      </c>
      <c r="T38" s="147" t="s">
        <v>27</v>
      </c>
      <c r="U38" s="136" t="s">
        <v>451</v>
      </c>
      <c r="V38" s="138" t="s">
        <v>452</v>
      </c>
      <c r="W38" s="135" t="s">
        <v>450</v>
      </c>
      <c r="X38" s="150" t="s">
        <v>531</v>
      </c>
      <c r="Y38" s="52">
        <v>4</v>
      </c>
      <c r="Z38" s="148">
        <v>22</v>
      </c>
      <c r="AA38" s="130"/>
      <c r="AB38" s="131" t="s">
        <v>435</v>
      </c>
      <c r="AC38" s="130" t="s">
        <v>341</v>
      </c>
      <c r="AD38" s="130" t="s">
        <v>341</v>
      </c>
      <c r="AE38" s="130" t="s">
        <v>341</v>
      </c>
      <c r="AF38" s="130" t="s">
        <v>341</v>
      </c>
      <c r="AG38" s="130" t="s">
        <v>341</v>
      </c>
      <c r="AH38" s="130" t="s">
        <v>341</v>
      </c>
      <c r="AI38" s="130" t="s">
        <v>341</v>
      </c>
      <c r="AJ38" s="130" t="s">
        <v>341</v>
      </c>
      <c r="AK38" s="131" t="s">
        <v>436</v>
      </c>
      <c r="AL38" s="131" t="s">
        <v>352</v>
      </c>
    </row>
    <row r="39" spans="1:38" ht="30" customHeight="1">
      <c r="A39" s="137"/>
      <c r="B39" s="131" t="s">
        <v>411</v>
      </c>
      <c r="C39" s="130" t="s">
        <v>437</v>
      </c>
      <c r="D39" s="130" t="s">
        <v>1</v>
      </c>
      <c r="E39" s="130" t="s">
        <v>27</v>
      </c>
      <c r="F39" s="130" t="s">
        <v>370</v>
      </c>
      <c r="G39" s="130" t="s">
        <v>872</v>
      </c>
      <c r="H39" s="132" t="s">
        <v>240</v>
      </c>
      <c r="I39" s="130" t="s">
        <v>382</v>
      </c>
      <c r="J39" s="130"/>
      <c r="K39" s="134" t="s">
        <v>433</v>
      </c>
      <c r="L39" s="133" t="s">
        <v>434</v>
      </c>
      <c r="M39" s="130"/>
      <c r="N39" s="149"/>
      <c r="O39" s="149"/>
      <c r="P39" s="149"/>
      <c r="Q39" s="130"/>
      <c r="R39" s="130"/>
      <c r="S39" s="130" t="s">
        <v>845</v>
      </c>
      <c r="T39" s="147" t="s">
        <v>27</v>
      </c>
      <c r="U39" s="136" t="s">
        <v>451</v>
      </c>
      <c r="V39" s="138" t="s">
        <v>452</v>
      </c>
      <c r="W39" s="135" t="s">
        <v>450</v>
      </c>
      <c r="X39" s="150" t="s">
        <v>531</v>
      </c>
      <c r="Y39" s="52">
        <v>5</v>
      </c>
      <c r="Z39" s="148">
        <v>13</v>
      </c>
      <c r="AA39" s="130"/>
      <c r="AB39" s="131" t="s">
        <v>438</v>
      </c>
      <c r="AC39" s="130" t="s">
        <v>341</v>
      </c>
      <c r="AD39" s="130" t="s">
        <v>341</v>
      </c>
      <c r="AE39" s="130" t="s">
        <v>341</v>
      </c>
      <c r="AF39" s="130" t="s">
        <v>341</v>
      </c>
      <c r="AG39" s="130" t="s">
        <v>341</v>
      </c>
      <c r="AH39" s="130" t="s">
        <v>341</v>
      </c>
      <c r="AI39" s="130" t="s">
        <v>341</v>
      </c>
      <c r="AJ39" s="130" t="s">
        <v>341</v>
      </c>
      <c r="AK39" s="131" t="s">
        <v>439</v>
      </c>
      <c r="AL39" s="131" t="s">
        <v>352</v>
      </c>
    </row>
    <row r="40" spans="1:38" ht="30" customHeight="1">
      <c r="A40" s="137"/>
      <c r="B40" s="131" t="s">
        <v>440</v>
      </c>
      <c r="C40" s="130" t="s">
        <v>441</v>
      </c>
      <c r="D40" s="130" t="s">
        <v>13</v>
      </c>
      <c r="E40" s="130" t="s">
        <v>442</v>
      </c>
      <c r="F40" s="130" t="s">
        <v>370</v>
      </c>
      <c r="G40" s="132" t="s">
        <v>1019</v>
      </c>
      <c r="H40" s="133" t="s">
        <v>1020</v>
      </c>
      <c r="I40" s="130" t="s">
        <v>382</v>
      </c>
      <c r="J40" s="132" t="s">
        <v>413</v>
      </c>
      <c r="K40" s="134" t="s">
        <v>414</v>
      </c>
      <c r="L40" s="149"/>
      <c r="M40" s="149"/>
      <c r="N40" s="149"/>
      <c r="O40" s="149"/>
      <c r="P40" s="149"/>
      <c r="Q40" s="130"/>
      <c r="R40" s="135" t="s">
        <v>842</v>
      </c>
      <c r="S40" s="130"/>
      <c r="T40" s="130"/>
      <c r="U40" s="130"/>
      <c r="V40" s="130"/>
      <c r="W40" s="130"/>
      <c r="X40" s="130" t="s">
        <v>533</v>
      </c>
      <c r="Y40" s="130" t="s">
        <v>306</v>
      </c>
      <c r="Z40" s="146">
        <v>11</v>
      </c>
      <c r="AA40" s="137">
        <v>21</v>
      </c>
      <c r="AB40" s="131" t="s">
        <v>846</v>
      </c>
      <c r="AC40" s="130" t="s">
        <v>350</v>
      </c>
      <c r="AD40" s="130" t="s">
        <v>344</v>
      </c>
      <c r="AE40" s="130" t="s">
        <v>351</v>
      </c>
      <c r="AF40" s="130" t="s">
        <v>341</v>
      </c>
      <c r="AG40" s="130" t="s">
        <v>443</v>
      </c>
      <c r="AH40" s="130" t="s">
        <v>341</v>
      </c>
      <c r="AI40" s="130" t="s">
        <v>341</v>
      </c>
      <c r="AJ40" s="130" t="s">
        <v>340</v>
      </c>
      <c r="AK40" s="131" t="s">
        <v>444</v>
      </c>
      <c r="AL40" s="131" t="s">
        <v>341</v>
      </c>
    </row>
    <row r="41" spans="1:38" ht="30" customHeight="1">
      <c r="A41" s="137"/>
      <c r="B41" s="131" t="s">
        <v>440</v>
      </c>
      <c r="C41" s="130" t="s">
        <v>445</v>
      </c>
      <c r="D41" s="130" t="s">
        <v>13</v>
      </c>
      <c r="E41" s="130" t="s">
        <v>442</v>
      </c>
      <c r="F41" s="130" t="s">
        <v>370</v>
      </c>
      <c r="G41" s="132" t="s">
        <v>1004</v>
      </c>
      <c r="H41" s="133" t="s">
        <v>1021</v>
      </c>
      <c r="I41" s="130" t="s">
        <v>382</v>
      </c>
      <c r="J41" s="132" t="s">
        <v>418</v>
      </c>
      <c r="K41" s="134" t="s">
        <v>241</v>
      </c>
      <c r="L41" s="149"/>
      <c r="M41" s="211"/>
      <c r="N41" s="149"/>
      <c r="O41" s="149"/>
      <c r="P41" s="149"/>
      <c r="Q41" s="130"/>
      <c r="R41" s="135" t="s">
        <v>843</v>
      </c>
      <c r="S41" s="130"/>
      <c r="T41" s="130"/>
      <c r="U41" s="130"/>
      <c r="V41" s="130"/>
      <c r="W41" s="130"/>
      <c r="X41" s="231" t="s">
        <v>533</v>
      </c>
      <c r="Y41" s="130" t="s">
        <v>217</v>
      </c>
      <c r="Z41" s="146">
        <v>12</v>
      </c>
      <c r="AA41" s="137">
        <v>22</v>
      </c>
      <c r="AB41" s="131" t="s">
        <v>847</v>
      </c>
      <c r="AC41" s="130" t="s">
        <v>343</v>
      </c>
      <c r="AD41" s="130" t="s">
        <v>342</v>
      </c>
      <c r="AE41" s="130" t="s">
        <v>351</v>
      </c>
      <c r="AF41" s="130" t="s">
        <v>339</v>
      </c>
      <c r="AG41" s="130" t="s">
        <v>344</v>
      </c>
      <c r="AH41" s="130" t="s">
        <v>341</v>
      </c>
      <c r="AI41" s="130" t="s">
        <v>341</v>
      </c>
      <c r="AJ41" s="130" t="s">
        <v>346</v>
      </c>
      <c r="AK41" s="131" t="s">
        <v>444</v>
      </c>
      <c r="AL41" s="131" t="s">
        <v>341</v>
      </c>
    </row>
    <row r="42" spans="1:38" ht="30" customHeight="1">
      <c r="A42" s="137"/>
      <c r="B42" s="131" t="s">
        <v>440</v>
      </c>
      <c r="C42" s="160" t="s">
        <v>1011</v>
      </c>
      <c r="D42" s="160" t="s">
        <v>15</v>
      </c>
      <c r="E42" s="160" t="s">
        <v>442</v>
      </c>
      <c r="F42" s="160"/>
      <c r="G42" s="163"/>
      <c r="H42" s="163"/>
      <c r="I42" s="160" t="s">
        <v>382</v>
      </c>
      <c r="J42" s="161" t="s">
        <v>494</v>
      </c>
      <c r="K42" s="165" t="s">
        <v>346</v>
      </c>
      <c r="L42" s="160"/>
      <c r="M42" s="163"/>
      <c r="N42" s="160"/>
      <c r="O42" s="160"/>
      <c r="P42" s="160"/>
      <c r="Q42" s="160"/>
      <c r="R42" s="135" t="s">
        <v>1012</v>
      </c>
      <c r="S42" s="160"/>
      <c r="T42" s="160"/>
      <c r="U42" s="160"/>
      <c r="V42" s="160"/>
      <c r="W42" s="160"/>
      <c r="X42" s="160" t="s">
        <v>1008</v>
      </c>
      <c r="Y42" s="160" t="s">
        <v>306</v>
      </c>
      <c r="Z42" s="161" t="s">
        <v>496</v>
      </c>
      <c r="AA42" s="162" t="s">
        <v>497</v>
      </c>
      <c r="AB42" s="159" t="s">
        <v>1013</v>
      </c>
      <c r="AC42" s="160" t="s">
        <v>343</v>
      </c>
      <c r="AD42" s="160" t="s">
        <v>471</v>
      </c>
      <c r="AE42" s="160" t="s">
        <v>487</v>
      </c>
      <c r="AF42" s="160"/>
      <c r="AG42" s="160"/>
      <c r="AH42" s="160"/>
      <c r="AI42" s="160"/>
      <c r="AJ42" s="160"/>
      <c r="AK42" s="159" t="s">
        <v>1014</v>
      </c>
      <c r="AL42" s="159" t="s">
        <v>69</v>
      </c>
    </row>
    <row r="43" spans="1:38" ht="30" customHeight="1">
      <c r="A43" s="137"/>
      <c r="B43" s="131" t="s">
        <v>440</v>
      </c>
      <c r="C43" s="160"/>
      <c r="D43" s="160"/>
      <c r="E43" s="160" t="s">
        <v>544</v>
      </c>
      <c r="F43" s="232" t="s">
        <v>370</v>
      </c>
      <c r="G43" s="132" t="s">
        <v>256</v>
      </c>
      <c r="H43" s="133" t="s">
        <v>257</v>
      </c>
      <c r="I43" s="160" t="s">
        <v>382</v>
      </c>
      <c r="J43" s="161" t="s">
        <v>495</v>
      </c>
      <c r="K43" s="165" t="s">
        <v>496</v>
      </c>
      <c r="L43" s="160"/>
      <c r="M43" s="163"/>
      <c r="N43" s="160"/>
      <c r="O43" s="160"/>
      <c r="P43" s="160"/>
      <c r="Q43" s="160"/>
      <c r="R43" s="135" t="s">
        <v>1016</v>
      </c>
      <c r="S43" s="160"/>
      <c r="T43" s="160"/>
      <c r="U43" s="160"/>
      <c r="V43" s="160"/>
      <c r="W43" s="160"/>
      <c r="X43" s="160"/>
      <c r="Y43" s="160"/>
      <c r="Z43" s="163"/>
      <c r="AA43" s="163"/>
      <c r="AB43" s="159" t="s">
        <v>1024</v>
      </c>
      <c r="AC43" s="160"/>
      <c r="AD43" s="160"/>
      <c r="AE43" s="160"/>
      <c r="AF43" s="160"/>
      <c r="AG43" s="160"/>
      <c r="AH43" s="160"/>
      <c r="AI43" s="160"/>
      <c r="AJ43" s="160"/>
      <c r="AK43" s="159" t="s">
        <v>1014</v>
      </c>
      <c r="AL43" s="159" t="s">
        <v>69</v>
      </c>
    </row>
    <row r="44" spans="1:38" ht="30" customHeight="1">
      <c r="A44" s="137"/>
      <c r="B44" s="131" t="s">
        <v>440</v>
      </c>
      <c r="C44" s="160" t="s">
        <v>1015</v>
      </c>
      <c r="D44" s="160" t="s">
        <v>15</v>
      </c>
      <c r="E44" s="160" t="s">
        <v>442</v>
      </c>
      <c r="F44" s="160"/>
      <c r="G44" s="163"/>
      <c r="H44" s="163"/>
      <c r="I44" s="160" t="s">
        <v>382</v>
      </c>
      <c r="J44" s="161" t="s">
        <v>504</v>
      </c>
      <c r="K44" s="165" t="s">
        <v>473</v>
      </c>
      <c r="L44" s="160"/>
      <c r="M44" s="163"/>
      <c r="N44" s="160"/>
      <c r="O44" s="160"/>
      <c r="P44" s="160"/>
      <c r="Q44" s="160"/>
      <c r="R44" s="135" t="s">
        <v>1022</v>
      </c>
      <c r="S44" s="160"/>
      <c r="T44" s="160"/>
      <c r="U44" s="160"/>
      <c r="V44" s="160"/>
      <c r="W44" s="160"/>
      <c r="X44" s="160" t="s">
        <v>1008</v>
      </c>
      <c r="Y44" s="160" t="s">
        <v>217</v>
      </c>
      <c r="Z44" s="161" t="s">
        <v>506</v>
      </c>
      <c r="AA44" s="162" t="s">
        <v>501</v>
      </c>
      <c r="AB44" s="159" t="s">
        <v>1013</v>
      </c>
      <c r="AC44" s="160" t="s">
        <v>343</v>
      </c>
      <c r="AD44" s="160" t="s">
        <v>471</v>
      </c>
      <c r="AE44" s="160" t="s">
        <v>487</v>
      </c>
      <c r="AF44" s="160"/>
      <c r="AG44" s="160"/>
      <c r="AH44" s="160"/>
      <c r="AI44" s="160"/>
      <c r="AJ44" s="160"/>
      <c r="AK44" s="159" t="s">
        <v>1014</v>
      </c>
      <c r="AL44" s="159" t="s">
        <v>69</v>
      </c>
    </row>
    <row r="45" spans="1:38" ht="30" customHeight="1">
      <c r="A45" s="137"/>
      <c r="B45" s="131" t="s">
        <v>440</v>
      </c>
      <c r="C45" s="160"/>
      <c r="D45" s="160"/>
      <c r="E45" s="160" t="s">
        <v>544</v>
      </c>
      <c r="F45" s="232" t="s">
        <v>370</v>
      </c>
      <c r="G45" s="132" t="s">
        <v>418</v>
      </c>
      <c r="H45" s="133" t="s">
        <v>241</v>
      </c>
      <c r="I45" s="160" t="s">
        <v>382</v>
      </c>
      <c r="J45" s="161" t="s">
        <v>501</v>
      </c>
      <c r="K45" s="165" t="s">
        <v>474</v>
      </c>
      <c r="L45" s="160"/>
      <c r="M45" s="163"/>
      <c r="N45" s="160"/>
      <c r="O45" s="160"/>
      <c r="P45" s="160"/>
      <c r="Q45" s="160"/>
      <c r="R45" s="135" t="s">
        <v>1023</v>
      </c>
      <c r="S45" s="160"/>
      <c r="T45" s="160"/>
      <c r="U45" s="160"/>
      <c r="V45" s="160"/>
      <c r="W45" s="160"/>
      <c r="X45" s="160"/>
      <c r="Y45" s="160"/>
      <c r="Z45" s="163"/>
      <c r="AA45" s="163"/>
      <c r="AB45" s="159" t="s">
        <v>1024</v>
      </c>
      <c r="AC45" s="160"/>
      <c r="AD45" s="160"/>
      <c r="AE45" s="160"/>
      <c r="AF45" s="160"/>
      <c r="AG45" s="160"/>
      <c r="AH45" s="160"/>
      <c r="AI45" s="160"/>
      <c r="AJ45" s="160"/>
      <c r="AK45" s="159" t="s">
        <v>1014</v>
      </c>
      <c r="AL45" s="159" t="s">
        <v>69</v>
      </c>
    </row>
    <row r="46" spans="1:38">
      <c r="N46" s="139"/>
      <c r="O46" s="139"/>
      <c r="P46" s="139"/>
    </row>
    <row r="47" spans="1:38">
      <c r="N47" s="140"/>
      <c r="O47" s="139"/>
      <c r="P47" s="139"/>
    </row>
    <row r="48" spans="1:38">
      <c r="N48" s="140"/>
      <c r="O48" s="139"/>
      <c r="P48" s="139"/>
    </row>
    <row r="49" spans="14:16">
      <c r="N49" s="140"/>
      <c r="O49" s="139"/>
      <c r="P49" s="139"/>
    </row>
    <row r="50" spans="14:16">
      <c r="N50" s="140"/>
      <c r="O50" s="139"/>
      <c r="P50" s="139"/>
    </row>
    <row r="51" spans="14:16">
      <c r="N51" s="140"/>
      <c r="O51" s="139"/>
      <c r="P51" s="139"/>
    </row>
    <row r="52" spans="14:16">
      <c r="N52" s="139"/>
      <c r="O52" s="139"/>
      <c r="P52" s="139"/>
    </row>
    <row r="53" spans="14:16">
      <c r="N53" s="139"/>
      <c r="O53" s="139"/>
      <c r="P53" s="139"/>
    </row>
    <row r="54" spans="14:16">
      <c r="N54" s="139"/>
      <c r="O54" s="139"/>
      <c r="P54" s="139"/>
    </row>
    <row r="55" spans="14:16">
      <c r="N55" s="139"/>
      <c r="O55" s="139"/>
      <c r="P55" s="139"/>
    </row>
    <row r="56" spans="14:16">
      <c r="N56" s="139"/>
      <c r="O56" s="139"/>
      <c r="P56" s="139"/>
    </row>
    <row r="57" spans="14:16">
      <c r="N57" s="139"/>
      <c r="O57" s="139"/>
      <c r="P57" s="139"/>
    </row>
    <row r="58" spans="14:16">
      <c r="N58" s="139"/>
      <c r="O58" s="139"/>
      <c r="P58" s="139"/>
    </row>
    <row r="59" spans="14:16">
      <c r="N59" s="139"/>
      <c r="O59" s="139"/>
      <c r="P59" s="139"/>
    </row>
    <row r="60" spans="14:16">
      <c r="N60" s="139"/>
      <c r="O60" s="139"/>
      <c r="P60" s="139"/>
    </row>
    <row r="61" spans="14:16">
      <c r="N61" s="139"/>
      <c r="O61" s="139"/>
      <c r="P61" s="139"/>
    </row>
    <row r="62" spans="14:16">
      <c r="N62" s="139"/>
      <c r="O62" s="139"/>
      <c r="P62" s="139"/>
    </row>
  </sheetData>
  <autoFilter ref="A2:AL41" xr:uid="{00000000-0009-0000-0000-000006000000}"/>
  <mergeCells count="8">
    <mergeCell ref="AF1:AJ1"/>
    <mergeCell ref="S1:W1"/>
    <mergeCell ref="D1:E1"/>
    <mergeCell ref="F1:H1"/>
    <mergeCell ref="I1:M1"/>
    <mergeCell ref="X1:AA1"/>
    <mergeCell ref="AC1:AE1"/>
    <mergeCell ref="N1:P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75"/>
  <sheetViews>
    <sheetView zoomScale="70" zoomScaleNormal="70" workbookViewId="0">
      <pane ySplit="2" topLeftCell="A21" activePane="bottomLeft" state="frozen"/>
      <selection pane="bottomLeft" activeCell="I9" sqref="I9"/>
    </sheetView>
  </sheetViews>
  <sheetFormatPr defaultColWidth="10" defaultRowHeight="17.399999999999999"/>
  <cols>
    <col min="1" max="1" width="10" style="155"/>
    <col min="2" max="2" width="24.59765625" bestFit="1" customWidth="1"/>
    <col min="3" max="3" width="14.09765625" bestFit="1" customWidth="1"/>
    <col min="4" max="4" width="17.19921875" bestFit="1" customWidth="1"/>
    <col min="5" max="5" width="10.09765625" customWidth="1"/>
    <col min="6" max="27" width="11.59765625" customWidth="1"/>
    <col min="28" max="28" width="46.5" customWidth="1"/>
    <col min="29" max="31" width="6.59765625" customWidth="1"/>
    <col min="32" max="36" width="11.59765625" customWidth="1"/>
    <col min="37" max="37" width="57.3984375" bestFit="1" customWidth="1"/>
    <col min="38" max="38" width="30.69921875" bestFit="1" customWidth="1"/>
    <col min="274" max="274" width="24.59765625" bestFit="1" customWidth="1"/>
    <col min="275" max="275" width="14.09765625" bestFit="1" customWidth="1"/>
    <col min="276" max="276" width="7.8984375" bestFit="1" customWidth="1"/>
    <col min="277" max="277" width="5.59765625" bestFit="1" customWidth="1"/>
    <col min="278" max="279" width="5.5" bestFit="1" customWidth="1"/>
    <col min="280" max="282" width="5.5" customWidth="1"/>
    <col min="283" max="283" width="5.5" bestFit="1" customWidth="1"/>
    <col min="284" max="284" width="41.3984375" bestFit="1" customWidth="1"/>
    <col min="285" max="285" width="5.5" bestFit="1" customWidth="1"/>
    <col min="286" max="286" width="6.19921875" bestFit="1" customWidth="1"/>
    <col min="287" max="287" width="6.59765625" bestFit="1" customWidth="1"/>
    <col min="288" max="289" width="5.69921875" bestFit="1" customWidth="1"/>
    <col min="290" max="291" width="6.8984375" bestFit="1" customWidth="1"/>
    <col min="292" max="292" width="5.5" bestFit="1" customWidth="1"/>
    <col min="293" max="293" width="57.3984375" bestFit="1" customWidth="1"/>
    <col min="294" max="294" width="30.69921875" bestFit="1" customWidth="1"/>
    <col min="530" max="530" width="24.59765625" bestFit="1" customWidth="1"/>
    <col min="531" max="531" width="14.09765625" bestFit="1" customWidth="1"/>
    <col min="532" max="532" width="7.8984375" bestFit="1" customWidth="1"/>
    <col min="533" max="533" width="5.59765625" bestFit="1" customWidth="1"/>
    <col min="534" max="535" width="5.5" bestFit="1" customWidth="1"/>
    <col min="536" max="538" width="5.5" customWidth="1"/>
    <col min="539" max="539" width="5.5" bestFit="1" customWidth="1"/>
    <col min="540" max="540" width="41.3984375" bestFit="1" customWidth="1"/>
    <col min="541" max="541" width="5.5" bestFit="1" customWidth="1"/>
    <col min="542" max="542" width="6.19921875" bestFit="1" customWidth="1"/>
    <col min="543" max="543" width="6.59765625" bestFit="1" customWidth="1"/>
    <col min="544" max="545" width="5.69921875" bestFit="1" customWidth="1"/>
    <col min="546" max="547" width="6.8984375" bestFit="1" customWidth="1"/>
    <col min="548" max="548" width="5.5" bestFit="1" customWidth="1"/>
    <col min="549" max="549" width="57.3984375" bestFit="1" customWidth="1"/>
    <col min="550" max="550" width="30.69921875" bestFit="1" customWidth="1"/>
    <col min="786" max="786" width="24.59765625" bestFit="1" customWidth="1"/>
    <col min="787" max="787" width="14.09765625" bestFit="1" customWidth="1"/>
    <col min="788" max="788" width="7.8984375" bestFit="1" customWidth="1"/>
    <col min="789" max="789" width="5.59765625" bestFit="1" customWidth="1"/>
    <col min="790" max="791" width="5.5" bestFit="1" customWidth="1"/>
    <col min="792" max="794" width="5.5" customWidth="1"/>
    <col min="795" max="795" width="5.5" bestFit="1" customWidth="1"/>
    <col min="796" max="796" width="41.3984375" bestFit="1" customWidth="1"/>
    <col min="797" max="797" width="5.5" bestFit="1" customWidth="1"/>
    <col min="798" max="798" width="6.19921875" bestFit="1" customWidth="1"/>
    <col min="799" max="799" width="6.59765625" bestFit="1" customWidth="1"/>
    <col min="800" max="801" width="5.69921875" bestFit="1" customWidth="1"/>
    <col min="802" max="803" width="6.8984375" bestFit="1" customWidth="1"/>
    <col min="804" max="804" width="5.5" bestFit="1" customWidth="1"/>
    <col min="805" max="805" width="57.3984375" bestFit="1" customWidth="1"/>
    <col min="806" max="806" width="30.69921875" bestFit="1" customWidth="1"/>
    <col min="1042" max="1042" width="24.59765625" bestFit="1" customWidth="1"/>
    <col min="1043" max="1043" width="14.09765625" bestFit="1" customWidth="1"/>
    <col min="1044" max="1044" width="7.8984375" bestFit="1" customWidth="1"/>
    <col min="1045" max="1045" width="5.59765625" bestFit="1" customWidth="1"/>
    <col min="1046" max="1047" width="5.5" bestFit="1" customWidth="1"/>
    <col min="1048" max="1050" width="5.5" customWidth="1"/>
    <col min="1051" max="1051" width="5.5" bestFit="1" customWidth="1"/>
    <col min="1052" max="1052" width="41.3984375" bestFit="1" customWidth="1"/>
    <col min="1053" max="1053" width="5.5" bestFit="1" customWidth="1"/>
    <col min="1054" max="1054" width="6.19921875" bestFit="1" customWidth="1"/>
    <col min="1055" max="1055" width="6.59765625" bestFit="1" customWidth="1"/>
    <col min="1056" max="1057" width="5.69921875" bestFit="1" customWidth="1"/>
    <col min="1058" max="1059" width="6.8984375" bestFit="1" customWidth="1"/>
    <col min="1060" max="1060" width="5.5" bestFit="1" customWidth="1"/>
    <col min="1061" max="1061" width="57.3984375" bestFit="1" customWidth="1"/>
    <col min="1062" max="1062" width="30.69921875" bestFit="1" customWidth="1"/>
    <col min="1298" max="1298" width="24.59765625" bestFit="1" customWidth="1"/>
    <col min="1299" max="1299" width="14.09765625" bestFit="1" customWidth="1"/>
    <col min="1300" max="1300" width="7.8984375" bestFit="1" customWidth="1"/>
    <col min="1301" max="1301" width="5.59765625" bestFit="1" customWidth="1"/>
    <col min="1302" max="1303" width="5.5" bestFit="1" customWidth="1"/>
    <col min="1304" max="1306" width="5.5" customWidth="1"/>
    <col min="1307" max="1307" width="5.5" bestFit="1" customWidth="1"/>
    <col min="1308" max="1308" width="41.3984375" bestFit="1" customWidth="1"/>
    <col min="1309" max="1309" width="5.5" bestFit="1" customWidth="1"/>
    <col min="1310" max="1310" width="6.19921875" bestFit="1" customWidth="1"/>
    <col min="1311" max="1311" width="6.59765625" bestFit="1" customWidth="1"/>
    <col min="1312" max="1313" width="5.69921875" bestFit="1" customWidth="1"/>
    <col min="1314" max="1315" width="6.8984375" bestFit="1" customWidth="1"/>
    <col min="1316" max="1316" width="5.5" bestFit="1" customWidth="1"/>
    <col min="1317" max="1317" width="57.3984375" bestFit="1" customWidth="1"/>
    <col min="1318" max="1318" width="30.69921875" bestFit="1" customWidth="1"/>
    <col min="1554" max="1554" width="24.59765625" bestFit="1" customWidth="1"/>
    <col min="1555" max="1555" width="14.09765625" bestFit="1" customWidth="1"/>
    <col min="1556" max="1556" width="7.8984375" bestFit="1" customWidth="1"/>
    <col min="1557" max="1557" width="5.59765625" bestFit="1" customWidth="1"/>
    <col min="1558" max="1559" width="5.5" bestFit="1" customWidth="1"/>
    <col min="1560" max="1562" width="5.5" customWidth="1"/>
    <col min="1563" max="1563" width="5.5" bestFit="1" customWidth="1"/>
    <col min="1564" max="1564" width="41.3984375" bestFit="1" customWidth="1"/>
    <col min="1565" max="1565" width="5.5" bestFit="1" customWidth="1"/>
    <col min="1566" max="1566" width="6.19921875" bestFit="1" customWidth="1"/>
    <col min="1567" max="1567" width="6.59765625" bestFit="1" customWidth="1"/>
    <col min="1568" max="1569" width="5.69921875" bestFit="1" customWidth="1"/>
    <col min="1570" max="1571" width="6.8984375" bestFit="1" customWidth="1"/>
    <col min="1572" max="1572" width="5.5" bestFit="1" customWidth="1"/>
    <col min="1573" max="1573" width="57.3984375" bestFit="1" customWidth="1"/>
    <col min="1574" max="1574" width="30.69921875" bestFit="1" customWidth="1"/>
    <col min="1810" max="1810" width="24.59765625" bestFit="1" customWidth="1"/>
    <col min="1811" max="1811" width="14.09765625" bestFit="1" customWidth="1"/>
    <col min="1812" max="1812" width="7.8984375" bestFit="1" customWidth="1"/>
    <col min="1813" max="1813" width="5.59765625" bestFit="1" customWidth="1"/>
    <col min="1814" max="1815" width="5.5" bestFit="1" customWidth="1"/>
    <col min="1816" max="1818" width="5.5" customWidth="1"/>
    <col min="1819" max="1819" width="5.5" bestFit="1" customWidth="1"/>
    <col min="1820" max="1820" width="41.3984375" bestFit="1" customWidth="1"/>
    <col min="1821" max="1821" width="5.5" bestFit="1" customWidth="1"/>
    <col min="1822" max="1822" width="6.19921875" bestFit="1" customWidth="1"/>
    <col min="1823" max="1823" width="6.59765625" bestFit="1" customWidth="1"/>
    <col min="1824" max="1825" width="5.69921875" bestFit="1" customWidth="1"/>
    <col min="1826" max="1827" width="6.8984375" bestFit="1" customWidth="1"/>
    <col min="1828" max="1828" width="5.5" bestFit="1" customWidth="1"/>
    <col min="1829" max="1829" width="57.3984375" bestFit="1" customWidth="1"/>
    <col min="1830" max="1830" width="30.69921875" bestFit="1" customWidth="1"/>
    <col min="2066" max="2066" width="24.59765625" bestFit="1" customWidth="1"/>
    <col min="2067" max="2067" width="14.09765625" bestFit="1" customWidth="1"/>
    <col min="2068" max="2068" width="7.8984375" bestFit="1" customWidth="1"/>
    <col min="2069" max="2069" width="5.59765625" bestFit="1" customWidth="1"/>
    <col min="2070" max="2071" width="5.5" bestFit="1" customWidth="1"/>
    <col min="2072" max="2074" width="5.5" customWidth="1"/>
    <col min="2075" max="2075" width="5.5" bestFit="1" customWidth="1"/>
    <col min="2076" max="2076" width="41.3984375" bestFit="1" customWidth="1"/>
    <col min="2077" max="2077" width="5.5" bestFit="1" customWidth="1"/>
    <col min="2078" max="2078" width="6.19921875" bestFit="1" customWidth="1"/>
    <col min="2079" max="2079" width="6.59765625" bestFit="1" customWidth="1"/>
    <col min="2080" max="2081" width="5.69921875" bestFit="1" customWidth="1"/>
    <col min="2082" max="2083" width="6.8984375" bestFit="1" customWidth="1"/>
    <col min="2084" max="2084" width="5.5" bestFit="1" customWidth="1"/>
    <col min="2085" max="2085" width="57.3984375" bestFit="1" customWidth="1"/>
    <col min="2086" max="2086" width="30.69921875" bestFit="1" customWidth="1"/>
    <col min="2322" max="2322" width="24.59765625" bestFit="1" customWidth="1"/>
    <col min="2323" max="2323" width="14.09765625" bestFit="1" customWidth="1"/>
    <col min="2324" max="2324" width="7.8984375" bestFit="1" customWidth="1"/>
    <col min="2325" max="2325" width="5.59765625" bestFit="1" customWidth="1"/>
    <col min="2326" max="2327" width="5.5" bestFit="1" customWidth="1"/>
    <col min="2328" max="2330" width="5.5" customWidth="1"/>
    <col min="2331" max="2331" width="5.5" bestFit="1" customWidth="1"/>
    <col min="2332" max="2332" width="41.3984375" bestFit="1" customWidth="1"/>
    <col min="2333" max="2333" width="5.5" bestFit="1" customWidth="1"/>
    <col min="2334" max="2334" width="6.19921875" bestFit="1" customWidth="1"/>
    <col min="2335" max="2335" width="6.59765625" bestFit="1" customWidth="1"/>
    <col min="2336" max="2337" width="5.69921875" bestFit="1" customWidth="1"/>
    <col min="2338" max="2339" width="6.8984375" bestFit="1" customWidth="1"/>
    <col min="2340" max="2340" width="5.5" bestFit="1" customWidth="1"/>
    <col min="2341" max="2341" width="57.3984375" bestFit="1" customWidth="1"/>
    <col min="2342" max="2342" width="30.69921875" bestFit="1" customWidth="1"/>
    <col min="2578" max="2578" width="24.59765625" bestFit="1" customWidth="1"/>
    <col min="2579" max="2579" width="14.09765625" bestFit="1" customWidth="1"/>
    <col min="2580" max="2580" width="7.8984375" bestFit="1" customWidth="1"/>
    <col min="2581" max="2581" width="5.59765625" bestFit="1" customWidth="1"/>
    <col min="2582" max="2583" width="5.5" bestFit="1" customWidth="1"/>
    <col min="2584" max="2586" width="5.5" customWidth="1"/>
    <col min="2587" max="2587" width="5.5" bestFit="1" customWidth="1"/>
    <col min="2588" max="2588" width="41.3984375" bestFit="1" customWidth="1"/>
    <col min="2589" max="2589" width="5.5" bestFit="1" customWidth="1"/>
    <col min="2590" max="2590" width="6.19921875" bestFit="1" customWidth="1"/>
    <col min="2591" max="2591" width="6.59765625" bestFit="1" customWidth="1"/>
    <col min="2592" max="2593" width="5.69921875" bestFit="1" customWidth="1"/>
    <col min="2594" max="2595" width="6.8984375" bestFit="1" customWidth="1"/>
    <col min="2596" max="2596" width="5.5" bestFit="1" customWidth="1"/>
    <col min="2597" max="2597" width="57.3984375" bestFit="1" customWidth="1"/>
    <col min="2598" max="2598" width="30.69921875" bestFit="1" customWidth="1"/>
    <col min="2834" max="2834" width="24.59765625" bestFit="1" customWidth="1"/>
    <col min="2835" max="2835" width="14.09765625" bestFit="1" customWidth="1"/>
    <col min="2836" max="2836" width="7.8984375" bestFit="1" customWidth="1"/>
    <col min="2837" max="2837" width="5.59765625" bestFit="1" customWidth="1"/>
    <col min="2838" max="2839" width="5.5" bestFit="1" customWidth="1"/>
    <col min="2840" max="2842" width="5.5" customWidth="1"/>
    <col min="2843" max="2843" width="5.5" bestFit="1" customWidth="1"/>
    <col min="2844" max="2844" width="41.3984375" bestFit="1" customWidth="1"/>
    <col min="2845" max="2845" width="5.5" bestFit="1" customWidth="1"/>
    <col min="2846" max="2846" width="6.19921875" bestFit="1" customWidth="1"/>
    <col min="2847" max="2847" width="6.59765625" bestFit="1" customWidth="1"/>
    <col min="2848" max="2849" width="5.69921875" bestFit="1" customWidth="1"/>
    <col min="2850" max="2851" width="6.8984375" bestFit="1" customWidth="1"/>
    <col min="2852" max="2852" width="5.5" bestFit="1" customWidth="1"/>
    <col min="2853" max="2853" width="57.3984375" bestFit="1" customWidth="1"/>
    <col min="2854" max="2854" width="30.69921875" bestFit="1" customWidth="1"/>
    <col min="3090" max="3090" width="24.59765625" bestFit="1" customWidth="1"/>
    <col min="3091" max="3091" width="14.09765625" bestFit="1" customWidth="1"/>
    <col min="3092" max="3092" width="7.8984375" bestFit="1" customWidth="1"/>
    <col min="3093" max="3093" width="5.59765625" bestFit="1" customWidth="1"/>
    <col min="3094" max="3095" width="5.5" bestFit="1" customWidth="1"/>
    <col min="3096" max="3098" width="5.5" customWidth="1"/>
    <col min="3099" max="3099" width="5.5" bestFit="1" customWidth="1"/>
    <col min="3100" max="3100" width="41.3984375" bestFit="1" customWidth="1"/>
    <col min="3101" max="3101" width="5.5" bestFit="1" customWidth="1"/>
    <col min="3102" max="3102" width="6.19921875" bestFit="1" customWidth="1"/>
    <col min="3103" max="3103" width="6.59765625" bestFit="1" customWidth="1"/>
    <col min="3104" max="3105" width="5.69921875" bestFit="1" customWidth="1"/>
    <col min="3106" max="3107" width="6.8984375" bestFit="1" customWidth="1"/>
    <col min="3108" max="3108" width="5.5" bestFit="1" customWidth="1"/>
    <col min="3109" max="3109" width="57.3984375" bestFit="1" customWidth="1"/>
    <col min="3110" max="3110" width="30.69921875" bestFit="1" customWidth="1"/>
    <col min="3346" max="3346" width="24.59765625" bestFit="1" customWidth="1"/>
    <col min="3347" max="3347" width="14.09765625" bestFit="1" customWidth="1"/>
    <col min="3348" max="3348" width="7.8984375" bestFit="1" customWidth="1"/>
    <col min="3349" max="3349" width="5.59765625" bestFit="1" customWidth="1"/>
    <col min="3350" max="3351" width="5.5" bestFit="1" customWidth="1"/>
    <col min="3352" max="3354" width="5.5" customWidth="1"/>
    <col min="3355" max="3355" width="5.5" bestFit="1" customWidth="1"/>
    <col min="3356" max="3356" width="41.3984375" bestFit="1" customWidth="1"/>
    <col min="3357" max="3357" width="5.5" bestFit="1" customWidth="1"/>
    <col min="3358" max="3358" width="6.19921875" bestFit="1" customWidth="1"/>
    <col min="3359" max="3359" width="6.59765625" bestFit="1" customWidth="1"/>
    <col min="3360" max="3361" width="5.69921875" bestFit="1" customWidth="1"/>
    <col min="3362" max="3363" width="6.8984375" bestFit="1" customWidth="1"/>
    <col min="3364" max="3364" width="5.5" bestFit="1" customWidth="1"/>
    <col min="3365" max="3365" width="57.3984375" bestFit="1" customWidth="1"/>
    <col min="3366" max="3366" width="30.69921875" bestFit="1" customWidth="1"/>
    <col min="3602" max="3602" width="24.59765625" bestFit="1" customWidth="1"/>
    <col min="3603" max="3603" width="14.09765625" bestFit="1" customWidth="1"/>
    <col min="3604" max="3604" width="7.8984375" bestFit="1" customWidth="1"/>
    <col min="3605" max="3605" width="5.59765625" bestFit="1" customWidth="1"/>
    <col min="3606" max="3607" width="5.5" bestFit="1" customWidth="1"/>
    <col min="3608" max="3610" width="5.5" customWidth="1"/>
    <col min="3611" max="3611" width="5.5" bestFit="1" customWidth="1"/>
    <col min="3612" max="3612" width="41.3984375" bestFit="1" customWidth="1"/>
    <col min="3613" max="3613" width="5.5" bestFit="1" customWidth="1"/>
    <col min="3614" max="3614" width="6.19921875" bestFit="1" customWidth="1"/>
    <col min="3615" max="3615" width="6.59765625" bestFit="1" customWidth="1"/>
    <col min="3616" max="3617" width="5.69921875" bestFit="1" customWidth="1"/>
    <col min="3618" max="3619" width="6.8984375" bestFit="1" customWidth="1"/>
    <col min="3620" max="3620" width="5.5" bestFit="1" customWidth="1"/>
    <col min="3621" max="3621" width="57.3984375" bestFit="1" customWidth="1"/>
    <col min="3622" max="3622" width="30.69921875" bestFit="1" customWidth="1"/>
    <col min="3858" max="3858" width="24.59765625" bestFit="1" customWidth="1"/>
    <col min="3859" max="3859" width="14.09765625" bestFit="1" customWidth="1"/>
    <col min="3860" max="3860" width="7.8984375" bestFit="1" customWidth="1"/>
    <col min="3861" max="3861" width="5.59765625" bestFit="1" customWidth="1"/>
    <col min="3862" max="3863" width="5.5" bestFit="1" customWidth="1"/>
    <col min="3864" max="3866" width="5.5" customWidth="1"/>
    <col min="3867" max="3867" width="5.5" bestFit="1" customWidth="1"/>
    <col min="3868" max="3868" width="41.3984375" bestFit="1" customWidth="1"/>
    <col min="3869" max="3869" width="5.5" bestFit="1" customWidth="1"/>
    <col min="3870" max="3870" width="6.19921875" bestFit="1" customWidth="1"/>
    <col min="3871" max="3871" width="6.59765625" bestFit="1" customWidth="1"/>
    <col min="3872" max="3873" width="5.69921875" bestFit="1" customWidth="1"/>
    <col min="3874" max="3875" width="6.8984375" bestFit="1" customWidth="1"/>
    <col min="3876" max="3876" width="5.5" bestFit="1" customWidth="1"/>
    <col min="3877" max="3877" width="57.3984375" bestFit="1" customWidth="1"/>
    <col min="3878" max="3878" width="30.69921875" bestFit="1" customWidth="1"/>
    <col min="4114" max="4114" width="24.59765625" bestFit="1" customWidth="1"/>
    <col min="4115" max="4115" width="14.09765625" bestFit="1" customWidth="1"/>
    <col min="4116" max="4116" width="7.8984375" bestFit="1" customWidth="1"/>
    <col min="4117" max="4117" width="5.59765625" bestFit="1" customWidth="1"/>
    <col min="4118" max="4119" width="5.5" bestFit="1" customWidth="1"/>
    <col min="4120" max="4122" width="5.5" customWidth="1"/>
    <col min="4123" max="4123" width="5.5" bestFit="1" customWidth="1"/>
    <col min="4124" max="4124" width="41.3984375" bestFit="1" customWidth="1"/>
    <col min="4125" max="4125" width="5.5" bestFit="1" customWidth="1"/>
    <col min="4126" max="4126" width="6.19921875" bestFit="1" customWidth="1"/>
    <col min="4127" max="4127" width="6.59765625" bestFit="1" customWidth="1"/>
    <col min="4128" max="4129" width="5.69921875" bestFit="1" customWidth="1"/>
    <col min="4130" max="4131" width="6.8984375" bestFit="1" customWidth="1"/>
    <col min="4132" max="4132" width="5.5" bestFit="1" customWidth="1"/>
    <col min="4133" max="4133" width="57.3984375" bestFit="1" customWidth="1"/>
    <col min="4134" max="4134" width="30.69921875" bestFit="1" customWidth="1"/>
    <col min="4370" max="4370" width="24.59765625" bestFit="1" customWidth="1"/>
    <col min="4371" max="4371" width="14.09765625" bestFit="1" customWidth="1"/>
    <col min="4372" max="4372" width="7.8984375" bestFit="1" customWidth="1"/>
    <col min="4373" max="4373" width="5.59765625" bestFit="1" customWidth="1"/>
    <col min="4374" max="4375" width="5.5" bestFit="1" customWidth="1"/>
    <col min="4376" max="4378" width="5.5" customWidth="1"/>
    <col min="4379" max="4379" width="5.5" bestFit="1" customWidth="1"/>
    <col min="4380" max="4380" width="41.3984375" bestFit="1" customWidth="1"/>
    <col min="4381" max="4381" width="5.5" bestFit="1" customWidth="1"/>
    <col min="4382" max="4382" width="6.19921875" bestFit="1" customWidth="1"/>
    <col min="4383" max="4383" width="6.59765625" bestFit="1" customWidth="1"/>
    <col min="4384" max="4385" width="5.69921875" bestFit="1" customWidth="1"/>
    <col min="4386" max="4387" width="6.8984375" bestFit="1" customWidth="1"/>
    <col min="4388" max="4388" width="5.5" bestFit="1" customWidth="1"/>
    <col min="4389" max="4389" width="57.3984375" bestFit="1" customWidth="1"/>
    <col min="4390" max="4390" width="30.69921875" bestFit="1" customWidth="1"/>
    <col min="4626" max="4626" width="24.59765625" bestFit="1" customWidth="1"/>
    <col min="4627" max="4627" width="14.09765625" bestFit="1" customWidth="1"/>
    <col min="4628" max="4628" width="7.8984375" bestFit="1" customWidth="1"/>
    <col min="4629" max="4629" width="5.59765625" bestFit="1" customWidth="1"/>
    <col min="4630" max="4631" width="5.5" bestFit="1" customWidth="1"/>
    <col min="4632" max="4634" width="5.5" customWidth="1"/>
    <col min="4635" max="4635" width="5.5" bestFit="1" customWidth="1"/>
    <col min="4636" max="4636" width="41.3984375" bestFit="1" customWidth="1"/>
    <col min="4637" max="4637" width="5.5" bestFit="1" customWidth="1"/>
    <col min="4638" max="4638" width="6.19921875" bestFit="1" customWidth="1"/>
    <col min="4639" max="4639" width="6.59765625" bestFit="1" customWidth="1"/>
    <col min="4640" max="4641" width="5.69921875" bestFit="1" customWidth="1"/>
    <col min="4642" max="4643" width="6.8984375" bestFit="1" customWidth="1"/>
    <col min="4644" max="4644" width="5.5" bestFit="1" customWidth="1"/>
    <col min="4645" max="4645" width="57.3984375" bestFit="1" customWidth="1"/>
    <col min="4646" max="4646" width="30.69921875" bestFit="1" customWidth="1"/>
    <col min="4882" max="4882" width="24.59765625" bestFit="1" customWidth="1"/>
    <col min="4883" max="4883" width="14.09765625" bestFit="1" customWidth="1"/>
    <col min="4884" max="4884" width="7.8984375" bestFit="1" customWidth="1"/>
    <col min="4885" max="4885" width="5.59765625" bestFit="1" customWidth="1"/>
    <col min="4886" max="4887" width="5.5" bestFit="1" customWidth="1"/>
    <col min="4888" max="4890" width="5.5" customWidth="1"/>
    <col min="4891" max="4891" width="5.5" bestFit="1" customWidth="1"/>
    <col min="4892" max="4892" width="41.3984375" bestFit="1" customWidth="1"/>
    <col min="4893" max="4893" width="5.5" bestFit="1" customWidth="1"/>
    <col min="4894" max="4894" width="6.19921875" bestFit="1" customWidth="1"/>
    <col min="4895" max="4895" width="6.59765625" bestFit="1" customWidth="1"/>
    <col min="4896" max="4897" width="5.69921875" bestFit="1" customWidth="1"/>
    <col min="4898" max="4899" width="6.8984375" bestFit="1" customWidth="1"/>
    <col min="4900" max="4900" width="5.5" bestFit="1" customWidth="1"/>
    <col min="4901" max="4901" width="57.3984375" bestFit="1" customWidth="1"/>
    <col min="4902" max="4902" width="30.69921875" bestFit="1" customWidth="1"/>
    <col min="5138" max="5138" width="24.59765625" bestFit="1" customWidth="1"/>
    <col min="5139" max="5139" width="14.09765625" bestFit="1" customWidth="1"/>
    <col min="5140" max="5140" width="7.8984375" bestFit="1" customWidth="1"/>
    <col min="5141" max="5141" width="5.59765625" bestFit="1" customWidth="1"/>
    <col min="5142" max="5143" width="5.5" bestFit="1" customWidth="1"/>
    <col min="5144" max="5146" width="5.5" customWidth="1"/>
    <col min="5147" max="5147" width="5.5" bestFit="1" customWidth="1"/>
    <col min="5148" max="5148" width="41.3984375" bestFit="1" customWidth="1"/>
    <col min="5149" max="5149" width="5.5" bestFit="1" customWidth="1"/>
    <col min="5150" max="5150" width="6.19921875" bestFit="1" customWidth="1"/>
    <col min="5151" max="5151" width="6.59765625" bestFit="1" customWidth="1"/>
    <col min="5152" max="5153" width="5.69921875" bestFit="1" customWidth="1"/>
    <col min="5154" max="5155" width="6.8984375" bestFit="1" customWidth="1"/>
    <col min="5156" max="5156" width="5.5" bestFit="1" customWidth="1"/>
    <col min="5157" max="5157" width="57.3984375" bestFit="1" customWidth="1"/>
    <col min="5158" max="5158" width="30.69921875" bestFit="1" customWidth="1"/>
    <col min="5394" max="5394" width="24.59765625" bestFit="1" customWidth="1"/>
    <col min="5395" max="5395" width="14.09765625" bestFit="1" customWidth="1"/>
    <col min="5396" max="5396" width="7.8984375" bestFit="1" customWidth="1"/>
    <col min="5397" max="5397" width="5.59765625" bestFit="1" customWidth="1"/>
    <col min="5398" max="5399" width="5.5" bestFit="1" customWidth="1"/>
    <col min="5400" max="5402" width="5.5" customWidth="1"/>
    <col min="5403" max="5403" width="5.5" bestFit="1" customWidth="1"/>
    <col min="5404" max="5404" width="41.3984375" bestFit="1" customWidth="1"/>
    <col min="5405" max="5405" width="5.5" bestFit="1" customWidth="1"/>
    <col min="5406" max="5406" width="6.19921875" bestFit="1" customWidth="1"/>
    <col min="5407" max="5407" width="6.59765625" bestFit="1" customWidth="1"/>
    <col min="5408" max="5409" width="5.69921875" bestFit="1" customWidth="1"/>
    <col min="5410" max="5411" width="6.8984375" bestFit="1" customWidth="1"/>
    <col min="5412" max="5412" width="5.5" bestFit="1" customWidth="1"/>
    <col min="5413" max="5413" width="57.3984375" bestFit="1" customWidth="1"/>
    <col min="5414" max="5414" width="30.69921875" bestFit="1" customWidth="1"/>
    <col min="5650" max="5650" width="24.59765625" bestFit="1" customWidth="1"/>
    <col min="5651" max="5651" width="14.09765625" bestFit="1" customWidth="1"/>
    <col min="5652" max="5652" width="7.8984375" bestFit="1" customWidth="1"/>
    <col min="5653" max="5653" width="5.59765625" bestFit="1" customWidth="1"/>
    <col min="5654" max="5655" width="5.5" bestFit="1" customWidth="1"/>
    <col min="5656" max="5658" width="5.5" customWidth="1"/>
    <col min="5659" max="5659" width="5.5" bestFit="1" customWidth="1"/>
    <col min="5660" max="5660" width="41.3984375" bestFit="1" customWidth="1"/>
    <col min="5661" max="5661" width="5.5" bestFit="1" customWidth="1"/>
    <col min="5662" max="5662" width="6.19921875" bestFit="1" customWidth="1"/>
    <col min="5663" max="5663" width="6.59765625" bestFit="1" customWidth="1"/>
    <col min="5664" max="5665" width="5.69921875" bestFit="1" customWidth="1"/>
    <col min="5666" max="5667" width="6.8984375" bestFit="1" customWidth="1"/>
    <col min="5668" max="5668" width="5.5" bestFit="1" customWidth="1"/>
    <col min="5669" max="5669" width="57.3984375" bestFit="1" customWidth="1"/>
    <col min="5670" max="5670" width="30.69921875" bestFit="1" customWidth="1"/>
    <col min="5906" max="5906" width="24.59765625" bestFit="1" customWidth="1"/>
    <col min="5907" max="5907" width="14.09765625" bestFit="1" customWidth="1"/>
    <col min="5908" max="5908" width="7.8984375" bestFit="1" customWidth="1"/>
    <col min="5909" max="5909" width="5.59765625" bestFit="1" customWidth="1"/>
    <col min="5910" max="5911" width="5.5" bestFit="1" customWidth="1"/>
    <col min="5912" max="5914" width="5.5" customWidth="1"/>
    <col min="5915" max="5915" width="5.5" bestFit="1" customWidth="1"/>
    <col min="5916" max="5916" width="41.3984375" bestFit="1" customWidth="1"/>
    <col min="5917" max="5917" width="5.5" bestFit="1" customWidth="1"/>
    <col min="5918" max="5918" width="6.19921875" bestFit="1" customWidth="1"/>
    <col min="5919" max="5919" width="6.59765625" bestFit="1" customWidth="1"/>
    <col min="5920" max="5921" width="5.69921875" bestFit="1" customWidth="1"/>
    <col min="5922" max="5923" width="6.8984375" bestFit="1" customWidth="1"/>
    <col min="5924" max="5924" width="5.5" bestFit="1" customWidth="1"/>
    <col min="5925" max="5925" width="57.3984375" bestFit="1" customWidth="1"/>
    <col min="5926" max="5926" width="30.69921875" bestFit="1" customWidth="1"/>
    <col min="6162" max="6162" width="24.59765625" bestFit="1" customWidth="1"/>
    <col min="6163" max="6163" width="14.09765625" bestFit="1" customWidth="1"/>
    <col min="6164" max="6164" width="7.8984375" bestFit="1" customWidth="1"/>
    <col min="6165" max="6165" width="5.59765625" bestFit="1" customWidth="1"/>
    <col min="6166" max="6167" width="5.5" bestFit="1" customWidth="1"/>
    <col min="6168" max="6170" width="5.5" customWidth="1"/>
    <col min="6171" max="6171" width="5.5" bestFit="1" customWidth="1"/>
    <col min="6172" max="6172" width="41.3984375" bestFit="1" customWidth="1"/>
    <col min="6173" max="6173" width="5.5" bestFit="1" customWidth="1"/>
    <col min="6174" max="6174" width="6.19921875" bestFit="1" customWidth="1"/>
    <col min="6175" max="6175" width="6.59765625" bestFit="1" customWidth="1"/>
    <col min="6176" max="6177" width="5.69921875" bestFit="1" customWidth="1"/>
    <col min="6178" max="6179" width="6.8984375" bestFit="1" customWidth="1"/>
    <col min="6180" max="6180" width="5.5" bestFit="1" customWidth="1"/>
    <col min="6181" max="6181" width="57.3984375" bestFit="1" customWidth="1"/>
    <col min="6182" max="6182" width="30.69921875" bestFit="1" customWidth="1"/>
    <col min="6418" max="6418" width="24.59765625" bestFit="1" customWidth="1"/>
    <col min="6419" max="6419" width="14.09765625" bestFit="1" customWidth="1"/>
    <col min="6420" max="6420" width="7.8984375" bestFit="1" customWidth="1"/>
    <col min="6421" max="6421" width="5.59765625" bestFit="1" customWidth="1"/>
    <col min="6422" max="6423" width="5.5" bestFit="1" customWidth="1"/>
    <col min="6424" max="6426" width="5.5" customWidth="1"/>
    <col min="6427" max="6427" width="5.5" bestFit="1" customWidth="1"/>
    <col min="6428" max="6428" width="41.3984375" bestFit="1" customWidth="1"/>
    <col min="6429" max="6429" width="5.5" bestFit="1" customWidth="1"/>
    <col min="6430" max="6430" width="6.19921875" bestFit="1" customWidth="1"/>
    <col min="6431" max="6431" width="6.59765625" bestFit="1" customWidth="1"/>
    <col min="6432" max="6433" width="5.69921875" bestFit="1" customWidth="1"/>
    <col min="6434" max="6435" width="6.8984375" bestFit="1" customWidth="1"/>
    <col min="6436" max="6436" width="5.5" bestFit="1" customWidth="1"/>
    <col min="6437" max="6437" width="57.3984375" bestFit="1" customWidth="1"/>
    <col min="6438" max="6438" width="30.69921875" bestFit="1" customWidth="1"/>
    <col min="6674" max="6674" width="24.59765625" bestFit="1" customWidth="1"/>
    <col min="6675" max="6675" width="14.09765625" bestFit="1" customWidth="1"/>
    <col min="6676" max="6676" width="7.8984375" bestFit="1" customWidth="1"/>
    <col min="6677" max="6677" width="5.59765625" bestFit="1" customWidth="1"/>
    <col min="6678" max="6679" width="5.5" bestFit="1" customWidth="1"/>
    <col min="6680" max="6682" width="5.5" customWidth="1"/>
    <col min="6683" max="6683" width="5.5" bestFit="1" customWidth="1"/>
    <col min="6684" max="6684" width="41.3984375" bestFit="1" customWidth="1"/>
    <col min="6685" max="6685" width="5.5" bestFit="1" customWidth="1"/>
    <col min="6686" max="6686" width="6.19921875" bestFit="1" customWidth="1"/>
    <col min="6687" max="6687" width="6.59765625" bestFit="1" customWidth="1"/>
    <col min="6688" max="6689" width="5.69921875" bestFit="1" customWidth="1"/>
    <col min="6690" max="6691" width="6.8984375" bestFit="1" customWidth="1"/>
    <col min="6692" max="6692" width="5.5" bestFit="1" customWidth="1"/>
    <col min="6693" max="6693" width="57.3984375" bestFit="1" customWidth="1"/>
    <col min="6694" max="6694" width="30.69921875" bestFit="1" customWidth="1"/>
    <col min="6930" max="6930" width="24.59765625" bestFit="1" customWidth="1"/>
    <col min="6931" max="6931" width="14.09765625" bestFit="1" customWidth="1"/>
    <col min="6932" max="6932" width="7.8984375" bestFit="1" customWidth="1"/>
    <col min="6933" max="6933" width="5.59765625" bestFit="1" customWidth="1"/>
    <col min="6934" max="6935" width="5.5" bestFit="1" customWidth="1"/>
    <col min="6936" max="6938" width="5.5" customWidth="1"/>
    <col min="6939" max="6939" width="5.5" bestFit="1" customWidth="1"/>
    <col min="6940" max="6940" width="41.3984375" bestFit="1" customWidth="1"/>
    <col min="6941" max="6941" width="5.5" bestFit="1" customWidth="1"/>
    <col min="6942" max="6942" width="6.19921875" bestFit="1" customWidth="1"/>
    <col min="6943" max="6943" width="6.59765625" bestFit="1" customWidth="1"/>
    <col min="6944" max="6945" width="5.69921875" bestFit="1" customWidth="1"/>
    <col min="6946" max="6947" width="6.8984375" bestFit="1" customWidth="1"/>
    <col min="6948" max="6948" width="5.5" bestFit="1" customWidth="1"/>
    <col min="6949" max="6949" width="57.3984375" bestFit="1" customWidth="1"/>
    <col min="6950" max="6950" width="30.69921875" bestFit="1" customWidth="1"/>
    <col min="7186" max="7186" width="24.59765625" bestFit="1" customWidth="1"/>
    <col min="7187" max="7187" width="14.09765625" bestFit="1" customWidth="1"/>
    <col min="7188" max="7188" width="7.8984375" bestFit="1" customWidth="1"/>
    <col min="7189" max="7189" width="5.59765625" bestFit="1" customWidth="1"/>
    <col min="7190" max="7191" width="5.5" bestFit="1" customWidth="1"/>
    <col min="7192" max="7194" width="5.5" customWidth="1"/>
    <col min="7195" max="7195" width="5.5" bestFit="1" customWidth="1"/>
    <col min="7196" max="7196" width="41.3984375" bestFit="1" customWidth="1"/>
    <col min="7197" max="7197" width="5.5" bestFit="1" customWidth="1"/>
    <col min="7198" max="7198" width="6.19921875" bestFit="1" customWidth="1"/>
    <col min="7199" max="7199" width="6.59765625" bestFit="1" customWidth="1"/>
    <col min="7200" max="7201" width="5.69921875" bestFit="1" customWidth="1"/>
    <col min="7202" max="7203" width="6.8984375" bestFit="1" customWidth="1"/>
    <col min="7204" max="7204" width="5.5" bestFit="1" customWidth="1"/>
    <col min="7205" max="7205" width="57.3984375" bestFit="1" customWidth="1"/>
    <col min="7206" max="7206" width="30.69921875" bestFit="1" customWidth="1"/>
    <col min="7442" max="7442" width="24.59765625" bestFit="1" customWidth="1"/>
    <col min="7443" max="7443" width="14.09765625" bestFit="1" customWidth="1"/>
    <col min="7444" max="7444" width="7.8984375" bestFit="1" customWidth="1"/>
    <col min="7445" max="7445" width="5.59765625" bestFit="1" customWidth="1"/>
    <col min="7446" max="7447" width="5.5" bestFit="1" customWidth="1"/>
    <col min="7448" max="7450" width="5.5" customWidth="1"/>
    <col min="7451" max="7451" width="5.5" bestFit="1" customWidth="1"/>
    <col min="7452" max="7452" width="41.3984375" bestFit="1" customWidth="1"/>
    <col min="7453" max="7453" width="5.5" bestFit="1" customWidth="1"/>
    <col min="7454" max="7454" width="6.19921875" bestFit="1" customWidth="1"/>
    <col min="7455" max="7455" width="6.59765625" bestFit="1" customWidth="1"/>
    <col min="7456" max="7457" width="5.69921875" bestFit="1" customWidth="1"/>
    <col min="7458" max="7459" width="6.8984375" bestFit="1" customWidth="1"/>
    <col min="7460" max="7460" width="5.5" bestFit="1" customWidth="1"/>
    <col min="7461" max="7461" width="57.3984375" bestFit="1" customWidth="1"/>
    <col min="7462" max="7462" width="30.69921875" bestFit="1" customWidth="1"/>
    <col min="7698" max="7698" width="24.59765625" bestFit="1" customWidth="1"/>
    <col min="7699" max="7699" width="14.09765625" bestFit="1" customWidth="1"/>
    <col min="7700" max="7700" width="7.8984375" bestFit="1" customWidth="1"/>
    <col min="7701" max="7701" width="5.59765625" bestFit="1" customWidth="1"/>
    <col min="7702" max="7703" width="5.5" bestFit="1" customWidth="1"/>
    <col min="7704" max="7706" width="5.5" customWidth="1"/>
    <col min="7707" max="7707" width="5.5" bestFit="1" customWidth="1"/>
    <col min="7708" max="7708" width="41.3984375" bestFit="1" customWidth="1"/>
    <col min="7709" max="7709" width="5.5" bestFit="1" customWidth="1"/>
    <col min="7710" max="7710" width="6.19921875" bestFit="1" customWidth="1"/>
    <col min="7711" max="7711" width="6.59765625" bestFit="1" customWidth="1"/>
    <col min="7712" max="7713" width="5.69921875" bestFit="1" customWidth="1"/>
    <col min="7714" max="7715" width="6.8984375" bestFit="1" customWidth="1"/>
    <col min="7716" max="7716" width="5.5" bestFit="1" customWidth="1"/>
    <col min="7717" max="7717" width="57.3984375" bestFit="1" customWidth="1"/>
    <col min="7718" max="7718" width="30.69921875" bestFit="1" customWidth="1"/>
    <col min="7954" max="7954" width="24.59765625" bestFit="1" customWidth="1"/>
    <col min="7955" max="7955" width="14.09765625" bestFit="1" customWidth="1"/>
    <col min="7956" max="7956" width="7.8984375" bestFit="1" customWidth="1"/>
    <col min="7957" max="7957" width="5.59765625" bestFit="1" customWidth="1"/>
    <col min="7958" max="7959" width="5.5" bestFit="1" customWidth="1"/>
    <col min="7960" max="7962" width="5.5" customWidth="1"/>
    <col min="7963" max="7963" width="5.5" bestFit="1" customWidth="1"/>
    <col min="7964" max="7964" width="41.3984375" bestFit="1" customWidth="1"/>
    <col min="7965" max="7965" width="5.5" bestFit="1" customWidth="1"/>
    <col min="7966" max="7966" width="6.19921875" bestFit="1" customWidth="1"/>
    <col min="7967" max="7967" width="6.59765625" bestFit="1" customWidth="1"/>
    <col min="7968" max="7969" width="5.69921875" bestFit="1" customWidth="1"/>
    <col min="7970" max="7971" width="6.8984375" bestFit="1" customWidth="1"/>
    <col min="7972" max="7972" width="5.5" bestFit="1" customWidth="1"/>
    <col min="7973" max="7973" width="57.3984375" bestFit="1" customWidth="1"/>
    <col min="7974" max="7974" width="30.69921875" bestFit="1" customWidth="1"/>
    <col min="8210" max="8210" width="24.59765625" bestFit="1" customWidth="1"/>
    <col min="8211" max="8211" width="14.09765625" bestFit="1" customWidth="1"/>
    <col min="8212" max="8212" width="7.8984375" bestFit="1" customWidth="1"/>
    <col min="8213" max="8213" width="5.59765625" bestFit="1" customWidth="1"/>
    <col min="8214" max="8215" width="5.5" bestFit="1" customWidth="1"/>
    <col min="8216" max="8218" width="5.5" customWidth="1"/>
    <col min="8219" max="8219" width="5.5" bestFit="1" customWidth="1"/>
    <col min="8220" max="8220" width="41.3984375" bestFit="1" customWidth="1"/>
    <col min="8221" max="8221" width="5.5" bestFit="1" customWidth="1"/>
    <col min="8222" max="8222" width="6.19921875" bestFit="1" customWidth="1"/>
    <col min="8223" max="8223" width="6.59765625" bestFit="1" customWidth="1"/>
    <col min="8224" max="8225" width="5.69921875" bestFit="1" customWidth="1"/>
    <col min="8226" max="8227" width="6.8984375" bestFit="1" customWidth="1"/>
    <col min="8228" max="8228" width="5.5" bestFit="1" customWidth="1"/>
    <col min="8229" max="8229" width="57.3984375" bestFit="1" customWidth="1"/>
    <col min="8230" max="8230" width="30.69921875" bestFit="1" customWidth="1"/>
    <col min="8466" max="8466" width="24.59765625" bestFit="1" customWidth="1"/>
    <col min="8467" max="8467" width="14.09765625" bestFit="1" customWidth="1"/>
    <col min="8468" max="8468" width="7.8984375" bestFit="1" customWidth="1"/>
    <col min="8469" max="8469" width="5.59765625" bestFit="1" customWidth="1"/>
    <col min="8470" max="8471" width="5.5" bestFit="1" customWidth="1"/>
    <col min="8472" max="8474" width="5.5" customWidth="1"/>
    <col min="8475" max="8475" width="5.5" bestFit="1" customWidth="1"/>
    <col min="8476" max="8476" width="41.3984375" bestFit="1" customWidth="1"/>
    <col min="8477" max="8477" width="5.5" bestFit="1" customWidth="1"/>
    <col min="8478" max="8478" width="6.19921875" bestFit="1" customWidth="1"/>
    <col min="8479" max="8479" width="6.59765625" bestFit="1" customWidth="1"/>
    <col min="8480" max="8481" width="5.69921875" bestFit="1" customWidth="1"/>
    <col min="8482" max="8483" width="6.8984375" bestFit="1" customWidth="1"/>
    <col min="8484" max="8484" width="5.5" bestFit="1" customWidth="1"/>
    <col min="8485" max="8485" width="57.3984375" bestFit="1" customWidth="1"/>
    <col min="8486" max="8486" width="30.69921875" bestFit="1" customWidth="1"/>
    <col min="8722" max="8722" width="24.59765625" bestFit="1" customWidth="1"/>
    <col min="8723" max="8723" width="14.09765625" bestFit="1" customWidth="1"/>
    <col min="8724" max="8724" width="7.8984375" bestFit="1" customWidth="1"/>
    <col min="8725" max="8725" width="5.59765625" bestFit="1" customWidth="1"/>
    <col min="8726" max="8727" width="5.5" bestFit="1" customWidth="1"/>
    <col min="8728" max="8730" width="5.5" customWidth="1"/>
    <col min="8731" max="8731" width="5.5" bestFit="1" customWidth="1"/>
    <col min="8732" max="8732" width="41.3984375" bestFit="1" customWidth="1"/>
    <col min="8733" max="8733" width="5.5" bestFit="1" customWidth="1"/>
    <col min="8734" max="8734" width="6.19921875" bestFit="1" customWidth="1"/>
    <col min="8735" max="8735" width="6.59765625" bestFit="1" customWidth="1"/>
    <col min="8736" max="8737" width="5.69921875" bestFit="1" customWidth="1"/>
    <col min="8738" max="8739" width="6.8984375" bestFit="1" customWidth="1"/>
    <col min="8740" max="8740" width="5.5" bestFit="1" customWidth="1"/>
    <col min="8741" max="8741" width="57.3984375" bestFit="1" customWidth="1"/>
    <col min="8742" max="8742" width="30.69921875" bestFit="1" customWidth="1"/>
    <col min="8978" max="8978" width="24.59765625" bestFit="1" customWidth="1"/>
    <col min="8979" max="8979" width="14.09765625" bestFit="1" customWidth="1"/>
    <col min="8980" max="8980" width="7.8984375" bestFit="1" customWidth="1"/>
    <col min="8981" max="8981" width="5.59765625" bestFit="1" customWidth="1"/>
    <col min="8982" max="8983" width="5.5" bestFit="1" customWidth="1"/>
    <col min="8984" max="8986" width="5.5" customWidth="1"/>
    <col min="8987" max="8987" width="5.5" bestFit="1" customWidth="1"/>
    <col min="8988" max="8988" width="41.3984375" bestFit="1" customWidth="1"/>
    <col min="8989" max="8989" width="5.5" bestFit="1" customWidth="1"/>
    <col min="8990" max="8990" width="6.19921875" bestFit="1" customWidth="1"/>
    <col min="8991" max="8991" width="6.59765625" bestFit="1" customWidth="1"/>
    <col min="8992" max="8993" width="5.69921875" bestFit="1" customWidth="1"/>
    <col min="8994" max="8995" width="6.8984375" bestFit="1" customWidth="1"/>
    <col min="8996" max="8996" width="5.5" bestFit="1" customWidth="1"/>
    <col min="8997" max="8997" width="57.3984375" bestFit="1" customWidth="1"/>
    <col min="8998" max="8998" width="30.69921875" bestFit="1" customWidth="1"/>
    <col min="9234" max="9234" width="24.59765625" bestFit="1" customWidth="1"/>
    <col min="9235" max="9235" width="14.09765625" bestFit="1" customWidth="1"/>
    <col min="9236" max="9236" width="7.8984375" bestFit="1" customWidth="1"/>
    <col min="9237" max="9237" width="5.59765625" bestFit="1" customWidth="1"/>
    <col min="9238" max="9239" width="5.5" bestFit="1" customWidth="1"/>
    <col min="9240" max="9242" width="5.5" customWidth="1"/>
    <col min="9243" max="9243" width="5.5" bestFit="1" customWidth="1"/>
    <col min="9244" max="9244" width="41.3984375" bestFit="1" customWidth="1"/>
    <col min="9245" max="9245" width="5.5" bestFit="1" customWidth="1"/>
    <col min="9246" max="9246" width="6.19921875" bestFit="1" customWidth="1"/>
    <col min="9247" max="9247" width="6.59765625" bestFit="1" customWidth="1"/>
    <col min="9248" max="9249" width="5.69921875" bestFit="1" customWidth="1"/>
    <col min="9250" max="9251" width="6.8984375" bestFit="1" customWidth="1"/>
    <col min="9252" max="9252" width="5.5" bestFit="1" customWidth="1"/>
    <col min="9253" max="9253" width="57.3984375" bestFit="1" customWidth="1"/>
    <col min="9254" max="9254" width="30.69921875" bestFit="1" customWidth="1"/>
    <col min="9490" max="9490" width="24.59765625" bestFit="1" customWidth="1"/>
    <col min="9491" max="9491" width="14.09765625" bestFit="1" customWidth="1"/>
    <col min="9492" max="9492" width="7.8984375" bestFit="1" customWidth="1"/>
    <col min="9493" max="9493" width="5.59765625" bestFit="1" customWidth="1"/>
    <col min="9494" max="9495" width="5.5" bestFit="1" customWidth="1"/>
    <col min="9496" max="9498" width="5.5" customWidth="1"/>
    <col min="9499" max="9499" width="5.5" bestFit="1" customWidth="1"/>
    <col min="9500" max="9500" width="41.3984375" bestFit="1" customWidth="1"/>
    <col min="9501" max="9501" width="5.5" bestFit="1" customWidth="1"/>
    <col min="9502" max="9502" width="6.19921875" bestFit="1" customWidth="1"/>
    <col min="9503" max="9503" width="6.59765625" bestFit="1" customWidth="1"/>
    <col min="9504" max="9505" width="5.69921875" bestFit="1" customWidth="1"/>
    <col min="9506" max="9507" width="6.8984375" bestFit="1" customWidth="1"/>
    <col min="9508" max="9508" width="5.5" bestFit="1" customWidth="1"/>
    <col min="9509" max="9509" width="57.3984375" bestFit="1" customWidth="1"/>
    <col min="9510" max="9510" width="30.69921875" bestFit="1" customWidth="1"/>
    <col min="9746" max="9746" width="24.59765625" bestFit="1" customWidth="1"/>
    <col min="9747" max="9747" width="14.09765625" bestFit="1" customWidth="1"/>
    <col min="9748" max="9748" width="7.8984375" bestFit="1" customWidth="1"/>
    <col min="9749" max="9749" width="5.59765625" bestFit="1" customWidth="1"/>
    <col min="9750" max="9751" width="5.5" bestFit="1" customWidth="1"/>
    <col min="9752" max="9754" width="5.5" customWidth="1"/>
    <col min="9755" max="9755" width="5.5" bestFit="1" customWidth="1"/>
    <col min="9756" max="9756" width="41.3984375" bestFit="1" customWidth="1"/>
    <col min="9757" max="9757" width="5.5" bestFit="1" customWidth="1"/>
    <col min="9758" max="9758" width="6.19921875" bestFit="1" customWidth="1"/>
    <col min="9759" max="9759" width="6.59765625" bestFit="1" customWidth="1"/>
    <col min="9760" max="9761" width="5.69921875" bestFit="1" customWidth="1"/>
    <col min="9762" max="9763" width="6.8984375" bestFit="1" customWidth="1"/>
    <col min="9764" max="9764" width="5.5" bestFit="1" customWidth="1"/>
    <col min="9765" max="9765" width="57.3984375" bestFit="1" customWidth="1"/>
    <col min="9766" max="9766" width="30.69921875" bestFit="1" customWidth="1"/>
    <col min="10002" max="10002" width="24.59765625" bestFit="1" customWidth="1"/>
    <col min="10003" max="10003" width="14.09765625" bestFit="1" customWidth="1"/>
    <col min="10004" max="10004" width="7.8984375" bestFit="1" customWidth="1"/>
    <col min="10005" max="10005" width="5.59765625" bestFit="1" customWidth="1"/>
    <col min="10006" max="10007" width="5.5" bestFit="1" customWidth="1"/>
    <col min="10008" max="10010" width="5.5" customWidth="1"/>
    <col min="10011" max="10011" width="5.5" bestFit="1" customWidth="1"/>
    <col min="10012" max="10012" width="41.3984375" bestFit="1" customWidth="1"/>
    <col min="10013" max="10013" width="5.5" bestFit="1" customWidth="1"/>
    <col min="10014" max="10014" width="6.19921875" bestFit="1" customWidth="1"/>
    <col min="10015" max="10015" width="6.59765625" bestFit="1" customWidth="1"/>
    <col min="10016" max="10017" width="5.69921875" bestFit="1" customWidth="1"/>
    <col min="10018" max="10019" width="6.8984375" bestFit="1" customWidth="1"/>
    <col min="10020" max="10020" width="5.5" bestFit="1" customWidth="1"/>
    <col min="10021" max="10021" width="57.3984375" bestFit="1" customWidth="1"/>
    <col min="10022" max="10022" width="30.69921875" bestFit="1" customWidth="1"/>
    <col min="10258" max="10258" width="24.59765625" bestFit="1" customWidth="1"/>
    <col min="10259" max="10259" width="14.09765625" bestFit="1" customWidth="1"/>
    <col min="10260" max="10260" width="7.8984375" bestFit="1" customWidth="1"/>
    <col min="10261" max="10261" width="5.59765625" bestFit="1" customWidth="1"/>
    <col min="10262" max="10263" width="5.5" bestFit="1" customWidth="1"/>
    <col min="10264" max="10266" width="5.5" customWidth="1"/>
    <col min="10267" max="10267" width="5.5" bestFit="1" customWidth="1"/>
    <col min="10268" max="10268" width="41.3984375" bestFit="1" customWidth="1"/>
    <col min="10269" max="10269" width="5.5" bestFit="1" customWidth="1"/>
    <col min="10270" max="10270" width="6.19921875" bestFit="1" customWidth="1"/>
    <col min="10271" max="10271" width="6.59765625" bestFit="1" customWidth="1"/>
    <col min="10272" max="10273" width="5.69921875" bestFit="1" customWidth="1"/>
    <col min="10274" max="10275" width="6.8984375" bestFit="1" customWidth="1"/>
    <col min="10276" max="10276" width="5.5" bestFit="1" customWidth="1"/>
    <col min="10277" max="10277" width="57.3984375" bestFit="1" customWidth="1"/>
    <col min="10278" max="10278" width="30.69921875" bestFit="1" customWidth="1"/>
    <col min="10514" max="10514" width="24.59765625" bestFit="1" customWidth="1"/>
    <col min="10515" max="10515" width="14.09765625" bestFit="1" customWidth="1"/>
    <col min="10516" max="10516" width="7.8984375" bestFit="1" customWidth="1"/>
    <col min="10517" max="10517" width="5.59765625" bestFit="1" customWidth="1"/>
    <col min="10518" max="10519" width="5.5" bestFit="1" customWidth="1"/>
    <col min="10520" max="10522" width="5.5" customWidth="1"/>
    <col min="10523" max="10523" width="5.5" bestFit="1" customWidth="1"/>
    <col min="10524" max="10524" width="41.3984375" bestFit="1" customWidth="1"/>
    <col min="10525" max="10525" width="5.5" bestFit="1" customWidth="1"/>
    <col min="10526" max="10526" width="6.19921875" bestFit="1" customWidth="1"/>
    <col min="10527" max="10527" width="6.59765625" bestFit="1" customWidth="1"/>
    <col min="10528" max="10529" width="5.69921875" bestFit="1" customWidth="1"/>
    <col min="10530" max="10531" width="6.8984375" bestFit="1" customWidth="1"/>
    <col min="10532" max="10532" width="5.5" bestFit="1" customWidth="1"/>
    <col min="10533" max="10533" width="57.3984375" bestFit="1" customWidth="1"/>
    <col min="10534" max="10534" width="30.69921875" bestFit="1" customWidth="1"/>
    <col min="10770" max="10770" width="24.59765625" bestFit="1" customWidth="1"/>
    <col min="10771" max="10771" width="14.09765625" bestFit="1" customWidth="1"/>
    <col min="10772" max="10772" width="7.8984375" bestFit="1" customWidth="1"/>
    <col min="10773" max="10773" width="5.59765625" bestFit="1" customWidth="1"/>
    <col min="10774" max="10775" width="5.5" bestFit="1" customWidth="1"/>
    <col min="10776" max="10778" width="5.5" customWidth="1"/>
    <col min="10779" max="10779" width="5.5" bestFit="1" customWidth="1"/>
    <col min="10780" max="10780" width="41.3984375" bestFit="1" customWidth="1"/>
    <col min="10781" max="10781" width="5.5" bestFit="1" customWidth="1"/>
    <col min="10782" max="10782" width="6.19921875" bestFit="1" customWidth="1"/>
    <col min="10783" max="10783" width="6.59765625" bestFit="1" customWidth="1"/>
    <col min="10784" max="10785" width="5.69921875" bestFit="1" customWidth="1"/>
    <col min="10786" max="10787" width="6.8984375" bestFit="1" customWidth="1"/>
    <col min="10788" max="10788" width="5.5" bestFit="1" customWidth="1"/>
    <col min="10789" max="10789" width="57.3984375" bestFit="1" customWidth="1"/>
    <col min="10790" max="10790" width="30.69921875" bestFit="1" customWidth="1"/>
    <col min="11026" max="11026" width="24.59765625" bestFit="1" customWidth="1"/>
    <col min="11027" max="11027" width="14.09765625" bestFit="1" customWidth="1"/>
    <col min="11028" max="11028" width="7.8984375" bestFit="1" customWidth="1"/>
    <col min="11029" max="11029" width="5.59765625" bestFit="1" customWidth="1"/>
    <col min="11030" max="11031" width="5.5" bestFit="1" customWidth="1"/>
    <col min="11032" max="11034" width="5.5" customWidth="1"/>
    <col min="11035" max="11035" width="5.5" bestFit="1" customWidth="1"/>
    <col min="11036" max="11036" width="41.3984375" bestFit="1" customWidth="1"/>
    <col min="11037" max="11037" width="5.5" bestFit="1" customWidth="1"/>
    <col min="11038" max="11038" width="6.19921875" bestFit="1" customWidth="1"/>
    <col min="11039" max="11039" width="6.59765625" bestFit="1" customWidth="1"/>
    <col min="11040" max="11041" width="5.69921875" bestFit="1" customWidth="1"/>
    <col min="11042" max="11043" width="6.8984375" bestFit="1" customWidth="1"/>
    <col min="11044" max="11044" width="5.5" bestFit="1" customWidth="1"/>
    <col min="11045" max="11045" width="57.3984375" bestFit="1" customWidth="1"/>
    <col min="11046" max="11046" width="30.69921875" bestFit="1" customWidth="1"/>
    <col min="11282" max="11282" width="24.59765625" bestFit="1" customWidth="1"/>
    <col min="11283" max="11283" width="14.09765625" bestFit="1" customWidth="1"/>
    <col min="11284" max="11284" width="7.8984375" bestFit="1" customWidth="1"/>
    <col min="11285" max="11285" width="5.59765625" bestFit="1" customWidth="1"/>
    <col min="11286" max="11287" width="5.5" bestFit="1" customWidth="1"/>
    <col min="11288" max="11290" width="5.5" customWidth="1"/>
    <col min="11291" max="11291" width="5.5" bestFit="1" customWidth="1"/>
    <col min="11292" max="11292" width="41.3984375" bestFit="1" customWidth="1"/>
    <col min="11293" max="11293" width="5.5" bestFit="1" customWidth="1"/>
    <col min="11294" max="11294" width="6.19921875" bestFit="1" customWidth="1"/>
    <col min="11295" max="11295" width="6.59765625" bestFit="1" customWidth="1"/>
    <col min="11296" max="11297" width="5.69921875" bestFit="1" customWidth="1"/>
    <col min="11298" max="11299" width="6.8984375" bestFit="1" customWidth="1"/>
    <col min="11300" max="11300" width="5.5" bestFit="1" customWidth="1"/>
    <col min="11301" max="11301" width="57.3984375" bestFit="1" customWidth="1"/>
    <col min="11302" max="11302" width="30.69921875" bestFit="1" customWidth="1"/>
    <col min="11538" max="11538" width="24.59765625" bestFit="1" customWidth="1"/>
    <col min="11539" max="11539" width="14.09765625" bestFit="1" customWidth="1"/>
    <col min="11540" max="11540" width="7.8984375" bestFit="1" customWidth="1"/>
    <col min="11541" max="11541" width="5.59765625" bestFit="1" customWidth="1"/>
    <col min="11542" max="11543" width="5.5" bestFit="1" customWidth="1"/>
    <col min="11544" max="11546" width="5.5" customWidth="1"/>
    <col min="11547" max="11547" width="5.5" bestFit="1" customWidth="1"/>
    <col min="11548" max="11548" width="41.3984375" bestFit="1" customWidth="1"/>
    <col min="11549" max="11549" width="5.5" bestFit="1" customWidth="1"/>
    <col min="11550" max="11550" width="6.19921875" bestFit="1" customWidth="1"/>
    <col min="11551" max="11551" width="6.59765625" bestFit="1" customWidth="1"/>
    <col min="11552" max="11553" width="5.69921875" bestFit="1" customWidth="1"/>
    <col min="11554" max="11555" width="6.8984375" bestFit="1" customWidth="1"/>
    <col min="11556" max="11556" width="5.5" bestFit="1" customWidth="1"/>
    <col min="11557" max="11557" width="57.3984375" bestFit="1" customWidth="1"/>
    <col min="11558" max="11558" width="30.69921875" bestFit="1" customWidth="1"/>
    <col min="11794" max="11794" width="24.59765625" bestFit="1" customWidth="1"/>
    <col min="11795" max="11795" width="14.09765625" bestFit="1" customWidth="1"/>
    <col min="11796" max="11796" width="7.8984375" bestFit="1" customWidth="1"/>
    <col min="11797" max="11797" width="5.59765625" bestFit="1" customWidth="1"/>
    <col min="11798" max="11799" width="5.5" bestFit="1" customWidth="1"/>
    <col min="11800" max="11802" width="5.5" customWidth="1"/>
    <col min="11803" max="11803" width="5.5" bestFit="1" customWidth="1"/>
    <col min="11804" max="11804" width="41.3984375" bestFit="1" customWidth="1"/>
    <col min="11805" max="11805" width="5.5" bestFit="1" customWidth="1"/>
    <col min="11806" max="11806" width="6.19921875" bestFit="1" customWidth="1"/>
    <col min="11807" max="11807" width="6.59765625" bestFit="1" customWidth="1"/>
    <col min="11808" max="11809" width="5.69921875" bestFit="1" customWidth="1"/>
    <col min="11810" max="11811" width="6.8984375" bestFit="1" customWidth="1"/>
    <col min="11812" max="11812" width="5.5" bestFit="1" customWidth="1"/>
    <col min="11813" max="11813" width="57.3984375" bestFit="1" customWidth="1"/>
    <col min="11814" max="11814" width="30.69921875" bestFit="1" customWidth="1"/>
    <col min="12050" max="12050" width="24.59765625" bestFit="1" customWidth="1"/>
    <col min="12051" max="12051" width="14.09765625" bestFit="1" customWidth="1"/>
    <col min="12052" max="12052" width="7.8984375" bestFit="1" customWidth="1"/>
    <col min="12053" max="12053" width="5.59765625" bestFit="1" customWidth="1"/>
    <col min="12054" max="12055" width="5.5" bestFit="1" customWidth="1"/>
    <col min="12056" max="12058" width="5.5" customWidth="1"/>
    <col min="12059" max="12059" width="5.5" bestFit="1" customWidth="1"/>
    <col min="12060" max="12060" width="41.3984375" bestFit="1" customWidth="1"/>
    <col min="12061" max="12061" width="5.5" bestFit="1" customWidth="1"/>
    <col min="12062" max="12062" width="6.19921875" bestFit="1" customWidth="1"/>
    <col min="12063" max="12063" width="6.59765625" bestFit="1" customWidth="1"/>
    <col min="12064" max="12065" width="5.69921875" bestFit="1" customWidth="1"/>
    <col min="12066" max="12067" width="6.8984375" bestFit="1" customWidth="1"/>
    <col min="12068" max="12068" width="5.5" bestFit="1" customWidth="1"/>
    <col min="12069" max="12069" width="57.3984375" bestFit="1" customWidth="1"/>
    <col min="12070" max="12070" width="30.69921875" bestFit="1" customWidth="1"/>
    <col min="12306" max="12306" width="24.59765625" bestFit="1" customWidth="1"/>
    <col min="12307" max="12307" width="14.09765625" bestFit="1" customWidth="1"/>
    <col min="12308" max="12308" width="7.8984375" bestFit="1" customWidth="1"/>
    <col min="12309" max="12309" width="5.59765625" bestFit="1" customWidth="1"/>
    <col min="12310" max="12311" width="5.5" bestFit="1" customWidth="1"/>
    <col min="12312" max="12314" width="5.5" customWidth="1"/>
    <col min="12315" max="12315" width="5.5" bestFit="1" customWidth="1"/>
    <col min="12316" max="12316" width="41.3984375" bestFit="1" customWidth="1"/>
    <col min="12317" max="12317" width="5.5" bestFit="1" customWidth="1"/>
    <col min="12318" max="12318" width="6.19921875" bestFit="1" customWidth="1"/>
    <col min="12319" max="12319" width="6.59765625" bestFit="1" customWidth="1"/>
    <col min="12320" max="12321" width="5.69921875" bestFit="1" customWidth="1"/>
    <col min="12322" max="12323" width="6.8984375" bestFit="1" customWidth="1"/>
    <col min="12324" max="12324" width="5.5" bestFit="1" customWidth="1"/>
    <col min="12325" max="12325" width="57.3984375" bestFit="1" customWidth="1"/>
    <col min="12326" max="12326" width="30.69921875" bestFit="1" customWidth="1"/>
    <col min="12562" max="12562" width="24.59765625" bestFit="1" customWidth="1"/>
    <col min="12563" max="12563" width="14.09765625" bestFit="1" customWidth="1"/>
    <col min="12564" max="12564" width="7.8984375" bestFit="1" customWidth="1"/>
    <col min="12565" max="12565" width="5.59765625" bestFit="1" customWidth="1"/>
    <col min="12566" max="12567" width="5.5" bestFit="1" customWidth="1"/>
    <col min="12568" max="12570" width="5.5" customWidth="1"/>
    <col min="12571" max="12571" width="5.5" bestFit="1" customWidth="1"/>
    <col min="12572" max="12572" width="41.3984375" bestFit="1" customWidth="1"/>
    <col min="12573" max="12573" width="5.5" bestFit="1" customWidth="1"/>
    <col min="12574" max="12574" width="6.19921875" bestFit="1" customWidth="1"/>
    <col min="12575" max="12575" width="6.59765625" bestFit="1" customWidth="1"/>
    <col min="12576" max="12577" width="5.69921875" bestFit="1" customWidth="1"/>
    <col min="12578" max="12579" width="6.8984375" bestFit="1" customWidth="1"/>
    <col min="12580" max="12580" width="5.5" bestFit="1" customWidth="1"/>
    <col min="12581" max="12581" width="57.3984375" bestFit="1" customWidth="1"/>
    <col min="12582" max="12582" width="30.69921875" bestFit="1" customWidth="1"/>
    <col min="12818" max="12818" width="24.59765625" bestFit="1" customWidth="1"/>
    <col min="12819" max="12819" width="14.09765625" bestFit="1" customWidth="1"/>
    <col min="12820" max="12820" width="7.8984375" bestFit="1" customWidth="1"/>
    <col min="12821" max="12821" width="5.59765625" bestFit="1" customWidth="1"/>
    <col min="12822" max="12823" width="5.5" bestFit="1" customWidth="1"/>
    <col min="12824" max="12826" width="5.5" customWidth="1"/>
    <col min="12827" max="12827" width="5.5" bestFit="1" customWidth="1"/>
    <col min="12828" max="12828" width="41.3984375" bestFit="1" customWidth="1"/>
    <col min="12829" max="12829" width="5.5" bestFit="1" customWidth="1"/>
    <col min="12830" max="12830" width="6.19921875" bestFit="1" customWidth="1"/>
    <col min="12831" max="12831" width="6.59765625" bestFit="1" customWidth="1"/>
    <col min="12832" max="12833" width="5.69921875" bestFit="1" customWidth="1"/>
    <col min="12834" max="12835" width="6.8984375" bestFit="1" customWidth="1"/>
    <col min="12836" max="12836" width="5.5" bestFit="1" customWidth="1"/>
    <col min="12837" max="12837" width="57.3984375" bestFit="1" customWidth="1"/>
    <col min="12838" max="12838" width="30.69921875" bestFit="1" customWidth="1"/>
    <col min="13074" max="13074" width="24.59765625" bestFit="1" customWidth="1"/>
    <col min="13075" max="13075" width="14.09765625" bestFit="1" customWidth="1"/>
    <col min="13076" max="13076" width="7.8984375" bestFit="1" customWidth="1"/>
    <col min="13077" max="13077" width="5.59765625" bestFit="1" customWidth="1"/>
    <col min="13078" max="13079" width="5.5" bestFit="1" customWidth="1"/>
    <col min="13080" max="13082" width="5.5" customWidth="1"/>
    <col min="13083" max="13083" width="5.5" bestFit="1" customWidth="1"/>
    <col min="13084" max="13084" width="41.3984375" bestFit="1" customWidth="1"/>
    <col min="13085" max="13085" width="5.5" bestFit="1" customWidth="1"/>
    <col min="13086" max="13086" width="6.19921875" bestFit="1" customWidth="1"/>
    <col min="13087" max="13087" width="6.59765625" bestFit="1" customWidth="1"/>
    <col min="13088" max="13089" width="5.69921875" bestFit="1" customWidth="1"/>
    <col min="13090" max="13091" width="6.8984375" bestFit="1" customWidth="1"/>
    <col min="13092" max="13092" width="5.5" bestFit="1" customWidth="1"/>
    <col min="13093" max="13093" width="57.3984375" bestFit="1" customWidth="1"/>
    <col min="13094" max="13094" width="30.69921875" bestFit="1" customWidth="1"/>
    <col min="13330" max="13330" width="24.59765625" bestFit="1" customWidth="1"/>
    <col min="13331" max="13331" width="14.09765625" bestFit="1" customWidth="1"/>
    <col min="13332" max="13332" width="7.8984375" bestFit="1" customWidth="1"/>
    <col min="13333" max="13333" width="5.59765625" bestFit="1" customWidth="1"/>
    <col min="13334" max="13335" width="5.5" bestFit="1" customWidth="1"/>
    <col min="13336" max="13338" width="5.5" customWidth="1"/>
    <col min="13339" max="13339" width="5.5" bestFit="1" customWidth="1"/>
    <col min="13340" max="13340" width="41.3984375" bestFit="1" customWidth="1"/>
    <col min="13341" max="13341" width="5.5" bestFit="1" customWidth="1"/>
    <col min="13342" max="13342" width="6.19921875" bestFit="1" customWidth="1"/>
    <col min="13343" max="13343" width="6.59765625" bestFit="1" customWidth="1"/>
    <col min="13344" max="13345" width="5.69921875" bestFit="1" customWidth="1"/>
    <col min="13346" max="13347" width="6.8984375" bestFit="1" customWidth="1"/>
    <col min="13348" max="13348" width="5.5" bestFit="1" customWidth="1"/>
    <col min="13349" max="13349" width="57.3984375" bestFit="1" customWidth="1"/>
    <col min="13350" max="13350" width="30.69921875" bestFit="1" customWidth="1"/>
    <col min="13586" max="13586" width="24.59765625" bestFit="1" customWidth="1"/>
    <col min="13587" max="13587" width="14.09765625" bestFit="1" customWidth="1"/>
    <col min="13588" max="13588" width="7.8984375" bestFit="1" customWidth="1"/>
    <col min="13589" max="13589" width="5.59765625" bestFit="1" customWidth="1"/>
    <col min="13590" max="13591" width="5.5" bestFit="1" customWidth="1"/>
    <col min="13592" max="13594" width="5.5" customWidth="1"/>
    <col min="13595" max="13595" width="5.5" bestFit="1" customWidth="1"/>
    <col min="13596" max="13596" width="41.3984375" bestFit="1" customWidth="1"/>
    <col min="13597" max="13597" width="5.5" bestFit="1" customWidth="1"/>
    <col min="13598" max="13598" width="6.19921875" bestFit="1" customWidth="1"/>
    <col min="13599" max="13599" width="6.59765625" bestFit="1" customWidth="1"/>
    <col min="13600" max="13601" width="5.69921875" bestFit="1" customWidth="1"/>
    <col min="13602" max="13603" width="6.8984375" bestFit="1" customWidth="1"/>
    <col min="13604" max="13604" width="5.5" bestFit="1" customWidth="1"/>
    <col min="13605" max="13605" width="57.3984375" bestFit="1" customWidth="1"/>
    <col min="13606" max="13606" width="30.69921875" bestFit="1" customWidth="1"/>
    <col min="13842" max="13842" width="24.59765625" bestFit="1" customWidth="1"/>
    <col min="13843" max="13843" width="14.09765625" bestFit="1" customWidth="1"/>
    <col min="13844" max="13844" width="7.8984375" bestFit="1" customWidth="1"/>
    <col min="13845" max="13845" width="5.59765625" bestFit="1" customWidth="1"/>
    <col min="13846" max="13847" width="5.5" bestFit="1" customWidth="1"/>
    <col min="13848" max="13850" width="5.5" customWidth="1"/>
    <col min="13851" max="13851" width="5.5" bestFit="1" customWidth="1"/>
    <col min="13852" max="13852" width="41.3984375" bestFit="1" customWidth="1"/>
    <col min="13853" max="13853" width="5.5" bestFit="1" customWidth="1"/>
    <col min="13854" max="13854" width="6.19921875" bestFit="1" customWidth="1"/>
    <col min="13855" max="13855" width="6.59765625" bestFit="1" customWidth="1"/>
    <col min="13856" max="13857" width="5.69921875" bestFit="1" customWidth="1"/>
    <col min="13858" max="13859" width="6.8984375" bestFit="1" customWidth="1"/>
    <col min="13860" max="13860" width="5.5" bestFit="1" customWidth="1"/>
    <col min="13861" max="13861" width="57.3984375" bestFit="1" customWidth="1"/>
    <col min="13862" max="13862" width="30.69921875" bestFit="1" customWidth="1"/>
    <col min="14098" max="14098" width="24.59765625" bestFit="1" customWidth="1"/>
    <col min="14099" max="14099" width="14.09765625" bestFit="1" customWidth="1"/>
    <col min="14100" max="14100" width="7.8984375" bestFit="1" customWidth="1"/>
    <col min="14101" max="14101" width="5.59765625" bestFit="1" customWidth="1"/>
    <col min="14102" max="14103" width="5.5" bestFit="1" customWidth="1"/>
    <col min="14104" max="14106" width="5.5" customWidth="1"/>
    <col min="14107" max="14107" width="5.5" bestFit="1" customWidth="1"/>
    <col min="14108" max="14108" width="41.3984375" bestFit="1" customWidth="1"/>
    <col min="14109" max="14109" width="5.5" bestFit="1" customWidth="1"/>
    <col min="14110" max="14110" width="6.19921875" bestFit="1" customWidth="1"/>
    <col min="14111" max="14111" width="6.59765625" bestFit="1" customWidth="1"/>
    <col min="14112" max="14113" width="5.69921875" bestFit="1" customWidth="1"/>
    <col min="14114" max="14115" width="6.8984375" bestFit="1" customWidth="1"/>
    <col min="14116" max="14116" width="5.5" bestFit="1" customWidth="1"/>
    <col min="14117" max="14117" width="57.3984375" bestFit="1" customWidth="1"/>
    <col min="14118" max="14118" width="30.69921875" bestFit="1" customWidth="1"/>
    <col min="14354" max="14354" width="24.59765625" bestFit="1" customWidth="1"/>
    <col min="14355" max="14355" width="14.09765625" bestFit="1" customWidth="1"/>
    <col min="14356" max="14356" width="7.8984375" bestFit="1" customWidth="1"/>
    <col min="14357" max="14357" width="5.59765625" bestFit="1" customWidth="1"/>
    <col min="14358" max="14359" width="5.5" bestFit="1" customWidth="1"/>
    <col min="14360" max="14362" width="5.5" customWidth="1"/>
    <col min="14363" max="14363" width="5.5" bestFit="1" customWidth="1"/>
    <col min="14364" max="14364" width="41.3984375" bestFit="1" customWidth="1"/>
    <col min="14365" max="14365" width="5.5" bestFit="1" customWidth="1"/>
    <col min="14366" max="14366" width="6.19921875" bestFit="1" customWidth="1"/>
    <col min="14367" max="14367" width="6.59765625" bestFit="1" customWidth="1"/>
    <col min="14368" max="14369" width="5.69921875" bestFit="1" customWidth="1"/>
    <col min="14370" max="14371" width="6.8984375" bestFit="1" customWidth="1"/>
    <col min="14372" max="14372" width="5.5" bestFit="1" customWidth="1"/>
    <col min="14373" max="14373" width="57.3984375" bestFit="1" customWidth="1"/>
    <col min="14374" max="14374" width="30.69921875" bestFit="1" customWidth="1"/>
    <col min="14610" max="14610" width="24.59765625" bestFit="1" customWidth="1"/>
    <col min="14611" max="14611" width="14.09765625" bestFit="1" customWidth="1"/>
    <col min="14612" max="14612" width="7.8984375" bestFit="1" customWidth="1"/>
    <col min="14613" max="14613" width="5.59765625" bestFit="1" customWidth="1"/>
    <col min="14614" max="14615" width="5.5" bestFit="1" customWidth="1"/>
    <col min="14616" max="14618" width="5.5" customWidth="1"/>
    <col min="14619" max="14619" width="5.5" bestFit="1" customWidth="1"/>
    <col min="14620" max="14620" width="41.3984375" bestFit="1" customWidth="1"/>
    <col min="14621" max="14621" width="5.5" bestFit="1" customWidth="1"/>
    <col min="14622" max="14622" width="6.19921875" bestFit="1" customWidth="1"/>
    <col min="14623" max="14623" width="6.59765625" bestFit="1" customWidth="1"/>
    <col min="14624" max="14625" width="5.69921875" bestFit="1" customWidth="1"/>
    <col min="14626" max="14627" width="6.8984375" bestFit="1" customWidth="1"/>
    <col min="14628" max="14628" width="5.5" bestFit="1" customWidth="1"/>
    <col min="14629" max="14629" width="57.3984375" bestFit="1" customWidth="1"/>
    <col min="14630" max="14630" width="30.69921875" bestFit="1" customWidth="1"/>
    <col min="14866" max="14866" width="24.59765625" bestFit="1" customWidth="1"/>
    <col min="14867" max="14867" width="14.09765625" bestFit="1" customWidth="1"/>
    <col min="14868" max="14868" width="7.8984375" bestFit="1" customWidth="1"/>
    <col min="14869" max="14869" width="5.59765625" bestFit="1" customWidth="1"/>
    <col min="14870" max="14871" width="5.5" bestFit="1" customWidth="1"/>
    <col min="14872" max="14874" width="5.5" customWidth="1"/>
    <col min="14875" max="14875" width="5.5" bestFit="1" customWidth="1"/>
    <col min="14876" max="14876" width="41.3984375" bestFit="1" customWidth="1"/>
    <col min="14877" max="14877" width="5.5" bestFit="1" customWidth="1"/>
    <col min="14878" max="14878" width="6.19921875" bestFit="1" customWidth="1"/>
    <col min="14879" max="14879" width="6.59765625" bestFit="1" customWidth="1"/>
    <col min="14880" max="14881" width="5.69921875" bestFit="1" customWidth="1"/>
    <col min="14882" max="14883" width="6.8984375" bestFit="1" customWidth="1"/>
    <col min="14884" max="14884" width="5.5" bestFit="1" customWidth="1"/>
    <col min="14885" max="14885" width="57.3984375" bestFit="1" customWidth="1"/>
    <col min="14886" max="14886" width="30.69921875" bestFit="1" customWidth="1"/>
    <col min="15122" max="15122" width="24.59765625" bestFit="1" customWidth="1"/>
    <col min="15123" max="15123" width="14.09765625" bestFit="1" customWidth="1"/>
    <col min="15124" max="15124" width="7.8984375" bestFit="1" customWidth="1"/>
    <col min="15125" max="15125" width="5.59765625" bestFit="1" customWidth="1"/>
    <col min="15126" max="15127" width="5.5" bestFit="1" customWidth="1"/>
    <col min="15128" max="15130" width="5.5" customWidth="1"/>
    <col min="15131" max="15131" width="5.5" bestFit="1" customWidth="1"/>
    <col min="15132" max="15132" width="41.3984375" bestFit="1" customWidth="1"/>
    <col min="15133" max="15133" width="5.5" bestFit="1" customWidth="1"/>
    <col min="15134" max="15134" width="6.19921875" bestFit="1" customWidth="1"/>
    <col min="15135" max="15135" width="6.59765625" bestFit="1" customWidth="1"/>
    <col min="15136" max="15137" width="5.69921875" bestFit="1" customWidth="1"/>
    <col min="15138" max="15139" width="6.8984375" bestFit="1" customWidth="1"/>
    <col min="15140" max="15140" width="5.5" bestFit="1" customWidth="1"/>
    <col min="15141" max="15141" width="57.3984375" bestFit="1" customWidth="1"/>
    <col min="15142" max="15142" width="30.69921875" bestFit="1" customWidth="1"/>
    <col min="15378" max="15378" width="24.59765625" bestFit="1" customWidth="1"/>
    <col min="15379" max="15379" width="14.09765625" bestFit="1" customWidth="1"/>
    <col min="15380" max="15380" width="7.8984375" bestFit="1" customWidth="1"/>
    <col min="15381" max="15381" width="5.59765625" bestFit="1" customWidth="1"/>
    <col min="15382" max="15383" width="5.5" bestFit="1" customWidth="1"/>
    <col min="15384" max="15386" width="5.5" customWidth="1"/>
    <col min="15387" max="15387" width="5.5" bestFit="1" customWidth="1"/>
    <col min="15388" max="15388" width="41.3984375" bestFit="1" customWidth="1"/>
    <col min="15389" max="15389" width="5.5" bestFit="1" customWidth="1"/>
    <col min="15390" max="15390" width="6.19921875" bestFit="1" customWidth="1"/>
    <col min="15391" max="15391" width="6.59765625" bestFit="1" customWidth="1"/>
    <col min="15392" max="15393" width="5.69921875" bestFit="1" customWidth="1"/>
    <col min="15394" max="15395" width="6.8984375" bestFit="1" customWidth="1"/>
    <col min="15396" max="15396" width="5.5" bestFit="1" customWidth="1"/>
    <col min="15397" max="15397" width="57.3984375" bestFit="1" customWidth="1"/>
    <col min="15398" max="15398" width="30.69921875" bestFit="1" customWidth="1"/>
    <col min="15634" max="15634" width="24.59765625" bestFit="1" customWidth="1"/>
    <col min="15635" max="15635" width="14.09765625" bestFit="1" customWidth="1"/>
    <col min="15636" max="15636" width="7.8984375" bestFit="1" customWidth="1"/>
    <col min="15637" max="15637" width="5.59765625" bestFit="1" customWidth="1"/>
    <col min="15638" max="15639" width="5.5" bestFit="1" customWidth="1"/>
    <col min="15640" max="15642" width="5.5" customWidth="1"/>
    <col min="15643" max="15643" width="5.5" bestFit="1" customWidth="1"/>
    <col min="15644" max="15644" width="41.3984375" bestFit="1" customWidth="1"/>
    <col min="15645" max="15645" width="5.5" bestFit="1" customWidth="1"/>
    <col min="15646" max="15646" width="6.19921875" bestFit="1" customWidth="1"/>
    <col min="15647" max="15647" width="6.59765625" bestFit="1" customWidth="1"/>
    <col min="15648" max="15649" width="5.69921875" bestFit="1" customWidth="1"/>
    <col min="15650" max="15651" width="6.8984375" bestFit="1" customWidth="1"/>
    <col min="15652" max="15652" width="5.5" bestFit="1" customWidth="1"/>
    <col min="15653" max="15653" width="57.3984375" bestFit="1" customWidth="1"/>
    <col min="15654" max="15654" width="30.69921875" bestFit="1" customWidth="1"/>
    <col min="15890" max="15890" width="24.59765625" bestFit="1" customWidth="1"/>
    <col min="15891" max="15891" width="14.09765625" bestFit="1" customWidth="1"/>
    <col min="15892" max="15892" width="7.8984375" bestFit="1" customWidth="1"/>
    <col min="15893" max="15893" width="5.59765625" bestFit="1" customWidth="1"/>
    <col min="15894" max="15895" width="5.5" bestFit="1" customWidth="1"/>
    <col min="15896" max="15898" width="5.5" customWidth="1"/>
    <col min="15899" max="15899" width="5.5" bestFit="1" customWidth="1"/>
    <col min="15900" max="15900" width="41.3984375" bestFit="1" customWidth="1"/>
    <col min="15901" max="15901" width="5.5" bestFit="1" customWidth="1"/>
    <col min="15902" max="15902" width="6.19921875" bestFit="1" customWidth="1"/>
    <col min="15903" max="15903" width="6.59765625" bestFit="1" customWidth="1"/>
    <col min="15904" max="15905" width="5.69921875" bestFit="1" customWidth="1"/>
    <col min="15906" max="15907" width="6.8984375" bestFit="1" customWidth="1"/>
    <col min="15908" max="15908" width="5.5" bestFit="1" customWidth="1"/>
    <col min="15909" max="15909" width="57.3984375" bestFit="1" customWidth="1"/>
    <col min="15910" max="15910" width="30.69921875" bestFit="1" customWidth="1"/>
    <col min="16146" max="16146" width="24.59765625" bestFit="1" customWidth="1"/>
    <col min="16147" max="16147" width="14.09765625" bestFit="1" customWidth="1"/>
    <col min="16148" max="16148" width="7.8984375" bestFit="1" customWidth="1"/>
    <col min="16149" max="16149" width="5.59765625" bestFit="1" customWidth="1"/>
    <col min="16150" max="16151" width="5.5" bestFit="1" customWidth="1"/>
    <col min="16152" max="16154" width="5.5" customWidth="1"/>
    <col min="16155" max="16155" width="5.5" bestFit="1" customWidth="1"/>
    <col min="16156" max="16156" width="41.3984375" bestFit="1" customWidth="1"/>
    <col min="16157" max="16157" width="5.5" bestFit="1" customWidth="1"/>
    <col min="16158" max="16158" width="6.19921875" bestFit="1" customWidth="1"/>
    <col min="16159" max="16159" width="6.59765625" bestFit="1" customWidth="1"/>
    <col min="16160" max="16161" width="5.69921875" bestFit="1" customWidth="1"/>
    <col min="16162" max="16163" width="6.8984375" bestFit="1" customWidth="1"/>
    <col min="16164" max="16164" width="5.5" bestFit="1" customWidth="1"/>
    <col min="16165" max="16165" width="57.3984375" bestFit="1" customWidth="1"/>
    <col min="16166" max="16166" width="30.69921875" bestFit="1" customWidth="1"/>
  </cols>
  <sheetData>
    <row r="1" spans="1:38" ht="31.5" customHeight="1">
      <c r="A1" s="152"/>
      <c r="B1" s="130" t="s">
        <v>315</v>
      </c>
      <c r="C1" s="130" t="s">
        <v>316</v>
      </c>
      <c r="D1" s="337" t="s">
        <v>317</v>
      </c>
      <c r="E1" s="337"/>
      <c r="F1" s="337" t="s">
        <v>470</v>
      </c>
      <c r="G1" s="337"/>
      <c r="H1" s="337"/>
      <c r="I1" s="337" t="s">
        <v>468</v>
      </c>
      <c r="J1" s="337"/>
      <c r="K1" s="337"/>
      <c r="L1" s="337"/>
      <c r="M1" s="337"/>
      <c r="N1" s="337" t="s">
        <v>469</v>
      </c>
      <c r="O1" s="337"/>
      <c r="P1" s="337"/>
      <c r="Q1" s="130" t="s">
        <v>385</v>
      </c>
      <c r="R1" s="130" t="s">
        <v>386</v>
      </c>
      <c r="S1" s="337" t="s">
        <v>318</v>
      </c>
      <c r="T1" s="337"/>
      <c r="U1" s="337"/>
      <c r="V1" s="337"/>
      <c r="W1" s="337"/>
      <c r="X1" s="337" t="s">
        <v>319</v>
      </c>
      <c r="Y1" s="337"/>
      <c r="Z1" s="337"/>
      <c r="AA1" s="337"/>
      <c r="AB1" s="130" t="s">
        <v>320</v>
      </c>
      <c r="AC1" s="337" t="s">
        <v>321</v>
      </c>
      <c r="AD1" s="337"/>
      <c r="AE1" s="337"/>
      <c r="AF1" s="333" t="s">
        <v>322</v>
      </c>
      <c r="AG1" s="334"/>
      <c r="AH1" s="334"/>
      <c r="AI1" s="334"/>
      <c r="AJ1" s="335"/>
      <c r="AK1" s="129" t="s">
        <v>10</v>
      </c>
      <c r="AL1" s="129" t="s">
        <v>11</v>
      </c>
    </row>
    <row r="2" spans="1:38" ht="30">
      <c r="A2" s="229" t="s">
        <v>387</v>
      </c>
      <c r="B2" s="143" t="s">
        <v>315</v>
      </c>
      <c r="C2" s="143" t="s">
        <v>316</v>
      </c>
      <c r="D2" s="144" t="s">
        <v>317</v>
      </c>
      <c r="E2" s="144" t="s">
        <v>317</v>
      </c>
      <c r="F2" s="143" t="s">
        <v>323</v>
      </c>
      <c r="G2" s="143" t="s">
        <v>324</v>
      </c>
      <c r="H2" s="143" t="s">
        <v>325</v>
      </c>
      <c r="I2" s="143" t="s">
        <v>323</v>
      </c>
      <c r="J2" s="143" t="s">
        <v>324</v>
      </c>
      <c r="K2" s="143" t="s">
        <v>326</v>
      </c>
      <c r="L2" s="143" t="s">
        <v>327</v>
      </c>
      <c r="M2" s="143" t="s">
        <v>325</v>
      </c>
      <c r="N2" s="143" t="s">
        <v>323</v>
      </c>
      <c r="O2" s="143" t="s">
        <v>324</v>
      </c>
      <c r="P2" s="143" t="s">
        <v>325</v>
      </c>
      <c r="Q2" s="143"/>
      <c r="R2" s="143"/>
      <c r="S2" s="143" t="s">
        <v>4</v>
      </c>
      <c r="T2" s="143" t="s">
        <v>449</v>
      </c>
      <c r="U2" s="143" t="s">
        <v>328</v>
      </c>
      <c r="V2" s="143" t="s">
        <v>324</v>
      </c>
      <c r="W2" s="143" t="s">
        <v>325</v>
      </c>
      <c r="X2" s="143" t="s">
        <v>323</v>
      </c>
      <c r="Y2" s="143" t="s">
        <v>329</v>
      </c>
      <c r="Z2" s="143" t="s">
        <v>6</v>
      </c>
      <c r="AA2" s="143" t="s">
        <v>7</v>
      </c>
      <c r="AB2" s="143" t="s">
        <v>320</v>
      </c>
      <c r="AC2" s="143" t="s">
        <v>330</v>
      </c>
      <c r="AD2" s="143" t="s">
        <v>331</v>
      </c>
      <c r="AE2" s="143" t="s">
        <v>332</v>
      </c>
      <c r="AF2" s="129" t="s">
        <v>333</v>
      </c>
      <c r="AG2" s="129" t="s">
        <v>334</v>
      </c>
      <c r="AH2" s="129" t="s">
        <v>335</v>
      </c>
      <c r="AI2" s="129" t="s">
        <v>336</v>
      </c>
      <c r="AJ2" s="129" t="s">
        <v>337</v>
      </c>
      <c r="AK2" s="129" t="s">
        <v>10</v>
      </c>
      <c r="AL2" s="129" t="s">
        <v>11</v>
      </c>
    </row>
    <row r="3" spans="1:38" ht="30" customHeight="1">
      <c r="A3" s="137"/>
      <c r="B3" s="159" t="s">
        <v>454</v>
      </c>
      <c r="C3" s="160" t="s">
        <v>722</v>
      </c>
      <c r="D3" s="160" t="s">
        <v>12</v>
      </c>
      <c r="E3" s="160" t="s">
        <v>65</v>
      </c>
      <c r="F3" s="160" t="s">
        <v>851</v>
      </c>
      <c r="G3" s="161" t="s">
        <v>306</v>
      </c>
      <c r="H3" s="162" t="s">
        <v>217</v>
      </c>
      <c r="I3" s="160" t="s">
        <v>856</v>
      </c>
      <c r="J3" s="161" t="s">
        <v>306</v>
      </c>
      <c r="K3" s="163"/>
      <c r="L3" s="163"/>
      <c r="M3" s="164" t="s">
        <v>217</v>
      </c>
      <c r="N3" s="163"/>
      <c r="O3" s="163"/>
      <c r="P3" s="163"/>
      <c r="Q3" s="163"/>
      <c r="R3" s="163"/>
      <c r="S3" s="163" t="s">
        <v>751</v>
      </c>
      <c r="T3" s="163"/>
      <c r="U3" s="163"/>
      <c r="V3" s="164" t="s">
        <v>452</v>
      </c>
      <c r="W3" s="162" t="s">
        <v>450</v>
      </c>
      <c r="X3" s="160" t="s">
        <v>341</v>
      </c>
      <c r="Y3" s="160" t="s">
        <v>341</v>
      </c>
      <c r="Z3" s="160" t="s">
        <v>341</v>
      </c>
      <c r="AA3" s="160" t="s">
        <v>341</v>
      </c>
      <c r="AB3" s="159" t="s">
        <v>857</v>
      </c>
      <c r="AC3" s="160" t="s">
        <v>341</v>
      </c>
      <c r="AD3" s="160" t="s">
        <v>341</v>
      </c>
      <c r="AE3" s="160" t="s">
        <v>341</v>
      </c>
      <c r="AF3" s="160" t="s">
        <v>341</v>
      </c>
      <c r="AG3" s="160" t="s">
        <v>341</v>
      </c>
      <c r="AH3" s="160" t="s">
        <v>341</v>
      </c>
      <c r="AI3" s="160" t="s">
        <v>341</v>
      </c>
      <c r="AJ3" s="160" t="s">
        <v>341</v>
      </c>
      <c r="AK3" s="159" t="s">
        <v>455</v>
      </c>
      <c r="AL3" s="159" t="s">
        <v>280</v>
      </c>
    </row>
    <row r="4" spans="1:38" ht="30" customHeight="1">
      <c r="A4" s="137"/>
      <c r="B4" s="159" t="s">
        <v>456</v>
      </c>
      <c r="C4" s="160" t="s">
        <v>723</v>
      </c>
      <c r="D4" s="160" t="s">
        <v>12</v>
      </c>
      <c r="E4" s="160" t="s">
        <v>65</v>
      </c>
      <c r="F4" s="160" t="s">
        <v>851</v>
      </c>
      <c r="G4" s="161" t="s">
        <v>50</v>
      </c>
      <c r="H4" s="162" t="s">
        <v>254</v>
      </c>
      <c r="I4" s="160" t="s">
        <v>726</v>
      </c>
      <c r="J4" s="161" t="s">
        <v>338</v>
      </c>
      <c r="K4" s="163"/>
      <c r="L4" s="163"/>
      <c r="M4" s="164" t="s">
        <v>339</v>
      </c>
      <c r="N4" s="163"/>
      <c r="O4" s="163"/>
      <c r="P4" s="163"/>
      <c r="Q4" s="163"/>
      <c r="R4" s="163"/>
      <c r="S4" s="163" t="s">
        <v>752</v>
      </c>
      <c r="T4" s="163"/>
      <c r="U4" s="163"/>
      <c r="V4" s="164" t="s">
        <v>452</v>
      </c>
      <c r="W4" s="162" t="s">
        <v>450</v>
      </c>
      <c r="X4" s="160" t="s">
        <v>341</v>
      </c>
      <c r="Y4" s="160" t="s">
        <v>341</v>
      </c>
      <c r="Z4" s="160" t="s">
        <v>341</v>
      </c>
      <c r="AA4" s="160" t="s">
        <v>341</v>
      </c>
      <c r="AB4" s="159" t="s">
        <v>858</v>
      </c>
      <c r="AC4" s="160" t="s">
        <v>341</v>
      </c>
      <c r="AD4" s="160" t="s">
        <v>341</v>
      </c>
      <c r="AE4" s="160" t="s">
        <v>341</v>
      </c>
      <c r="AF4" s="160" t="s">
        <v>341</v>
      </c>
      <c r="AG4" s="160" t="s">
        <v>341</v>
      </c>
      <c r="AH4" s="160" t="s">
        <v>341</v>
      </c>
      <c r="AI4" s="160" t="s">
        <v>341</v>
      </c>
      <c r="AJ4" s="160" t="s">
        <v>341</v>
      </c>
      <c r="AK4" s="159" t="s">
        <v>457</v>
      </c>
      <c r="AL4" s="159" t="s">
        <v>280</v>
      </c>
    </row>
    <row r="5" spans="1:38" ht="30" customHeight="1">
      <c r="A5" s="137"/>
      <c r="B5" s="159" t="s">
        <v>456</v>
      </c>
      <c r="C5" s="160" t="s">
        <v>724</v>
      </c>
      <c r="D5" s="160" t="s">
        <v>12</v>
      </c>
      <c r="E5" s="160" t="s">
        <v>65</v>
      </c>
      <c r="F5" s="160" t="s">
        <v>851</v>
      </c>
      <c r="G5" s="161" t="s">
        <v>255</v>
      </c>
      <c r="H5" s="162" t="s">
        <v>394</v>
      </c>
      <c r="I5" s="160" t="s">
        <v>726</v>
      </c>
      <c r="J5" s="161" t="s">
        <v>344</v>
      </c>
      <c r="K5" s="163"/>
      <c r="L5" s="163"/>
      <c r="M5" s="164" t="s">
        <v>345</v>
      </c>
      <c r="N5" s="163"/>
      <c r="O5" s="163"/>
      <c r="P5" s="163"/>
      <c r="Q5" s="163"/>
      <c r="R5" s="163"/>
      <c r="S5" s="163" t="s">
        <v>753</v>
      </c>
      <c r="T5" s="163"/>
      <c r="U5" s="163"/>
      <c r="V5" s="164" t="s">
        <v>452</v>
      </c>
      <c r="W5" s="162" t="s">
        <v>450</v>
      </c>
      <c r="X5" s="160" t="s">
        <v>341</v>
      </c>
      <c r="Y5" s="160" t="s">
        <v>341</v>
      </c>
      <c r="Z5" s="160" t="s">
        <v>341</v>
      </c>
      <c r="AA5" s="160" t="s">
        <v>341</v>
      </c>
      <c r="AB5" s="159" t="s">
        <v>859</v>
      </c>
      <c r="AC5" s="160" t="s">
        <v>341</v>
      </c>
      <c r="AD5" s="160" t="s">
        <v>341</v>
      </c>
      <c r="AE5" s="160" t="s">
        <v>341</v>
      </c>
      <c r="AF5" s="160" t="s">
        <v>341</v>
      </c>
      <c r="AG5" s="160" t="s">
        <v>341</v>
      </c>
      <c r="AH5" s="160" t="s">
        <v>341</v>
      </c>
      <c r="AI5" s="160" t="s">
        <v>341</v>
      </c>
      <c r="AJ5" s="160" t="s">
        <v>341</v>
      </c>
      <c r="AK5" s="159" t="s">
        <v>457</v>
      </c>
      <c r="AL5" s="159" t="s">
        <v>280</v>
      </c>
    </row>
    <row r="6" spans="1:38" ht="30" customHeight="1">
      <c r="A6" s="137"/>
      <c r="B6" s="159" t="s">
        <v>454</v>
      </c>
      <c r="C6" s="160" t="s">
        <v>581</v>
      </c>
      <c r="D6" s="160" t="s">
        <v>12</v>
      </c>
      <c r="E6" s="160" t="s">
        <v>65</v>
      </c>
      <c r="F6" s="160" t="s">
        <v>851</v>
      </c>
      <c r="G6" s="161" t="s">
        <v>395</v>
      </c>
      <c r="H6" s="162" t="s">
        <v>396</v>
      </c>
      <c r="I6" s="160" t="s">
        <v>725</v>
      </c>
      <c r="J6" s="161" t="s">
        <v>306</v>
      </c>
      <c r="K6" s="163"/>
      <c r="L6" s="163"/>
      <c r="M6" s="162" t="s">
        <v>217</v>
      </c>
      <c r="N6" s="163"/>
      <c r="O6" s="163"/>
      <c r="P6" s="163"/>
      <c r="Q6" s="163"/>
      <c r="R6" s="163"/>
      <c r="S6" s="163" t="s">
        <v>751</v>
      </c>
      <c r="T6" s="161" t="s">
        <v>27</v>
      </c>
      <c r="U6" s="162" t="s">
        <v>451</v>
      </c>
      <c r="V6" s="163" t="s">
        <v>722</v>
      </c>
      <c r="W6" s="163" t="s">
        <v>722</v>
      </c>
      <c r="X6" s="160" t="s">
        <v>697</v>
      </c>
      <c r="Y6" s="160">
        <v>3</v>
      </c>
      <c r="Z6" s="161">
        <v>12</v>
      </c>
      <c r="AA6" s="160"/>
      <c r="AB6" s="159" t="s">
        <v>848</v>
      </c>
      <c r="AC6" s="160" t="s">
        <v>341</v>
      </c>
      <c r="AD6" s="160" t="s">
        <v>341</v>
      </c>
      <c r="AE6" s="160" t="s">
        <v>341</v>
      </c>
      <c r="AF6" s="160" t="s">
        <v>341</v>
      </c>
      <c r="AG6" s="160" t="s">
        <v>341</v>
      </c>
      <c r="AH6" s="160" t="s">
        <v>341</v>
      </c>
      <c r="AI6" s="160" t="s">
        <v>341</v>
      </c>
      <c r="AJ6" s="160" t="s">
        <v>341</v>
      </c>
      <c r="AK6" s="159" t="s">
        <v>305</v>
      </c>
      <c r="AL6" s="159" t="s">
        <v>280</v>
      </c>
    </row>
    <row r="7" spans="1:38" ht="30" customHeight="1">
      <c r="A7" s="137"/>
      <c r="B7" s="159" t="s">
        <v>454</v>
      </c>
      <c r="C7" s="160" t="s">
        <v>582</v>
      </c>
      <c r="D7" s="160" t="s">
        <v>12</v>
      </c>
      <c r="E7" s="160" t="s">
        <v>65</v>
      </c>
      <c r="F7" s="160" t="s">
        <v>851</v>
      </c>
      <c r="G7" s="161" t="s">
        <v>426</v>
      </c>
      <c r="H7" s="162" t="s">
        <v>49</v>
      </c>
      <c r="I7" s="160" t="s">
        <v>725</v>
      </c>
      <c r="J7" s="161" t="s">
        <v>50</v>
      </c>
      <c r="K7" s="163"/>
      <c r="L7" s="163"/>
      <c r="M7" s="162" t="s">
        <v>254</v>
      </c>
      <c r="N7" s="163"/>
      <c r="O7" s="163"/>
      <c r="P7" s="163"/>
      <c r="Q7" s="163"/>
      <c r="R7" s="163"/>
      <c r="S7" s="163" t="s">
        <v>752</v>
      </c>
      <c r="T7" s="161" t="s">
        <v>27</v>
      </c>
      <c r="U7" s="162" t="s">
        <v>451</v>
      </c>
      <c r="V7" s="163" t="s">
        <v>723</v>
      </c>
      <c r="W7" s="163" t="s">
        <v>723</v>
      </c>
      <c r="X7" s="160" t="s">
        <v>697</v>
      </c>
      <c r="Y7" s="160">
        <v>4</v>
      </c>
      <c r="Z7" s="161">
        <v>22</v>
      </c>
      <c r="AA7" s="160"/>
      <c r="AB7" s="159" t="s">
        <v>849</v>
      </c>
      <c r="AC7" s="160" t="s">
        <v>341</v>
      </c>
      <c r="AD7" s="160" t="s">
        <v>341</v>
      </c>
      <c r="AE7" s="160" t="s">
        <v>341</v>
      </c>
      <c r="AF7" s="160" t="s">
        <v>341</v>
      </c>
      <c r="AG7" s="160" t="s">
        <v>341</v>
      </c>
      <c r="AH7" s="160" t="s">
        <v>341</v>
      </c>
      <c r="AI7" s="160" t="s">
        <v>341</v>
      </c>
      <c r="AJ7" s="160" t="s">
        <v>341</v>
      </c>
      <c r="AK7" s="159" t="s">
        <v>305</v>
      </c>
      <c r="AL7" s="159" t="s">
        <v>280</v>
      </c>
    </row>
    <row r="8" spans="1:38" ht="30" customHeight="1">
      <c r="A8" s="137"/>
      <c r="B8" s="159" t="s">
        <v>454</v>
      </c>
      <c r="C8" s="160" t="s">
        <v>583</v>
      </c>
      <c r="D8" s="160" t="s">
        <v>12</v>
      </c>
      <c r="E8" s="160" t="s">
        <v>65</v>
      </c>
      <c r="F8" s="160" t="s">
        <v>851</v>
      </c>
      <c r="G8" s="161" t="s">
        <v>256</v>
      </c>
      <c r="H8" s="162" t="s">
        <v>257</v>
      </c>
      <c r="I8" s="160" t="s">
        <v>725</v>
      </c>
      <c r="J8" s="161" t="s">
        <v>255</v>
      </c>
      <c r="K8" s="163"/>
      <c r="L8" s="163"/>
      <c r="M8" s="162" t="s">
        <v>394</v>
      </c>
      <c r="N8" s="163"/>
      <c r="O8" s="163"/>
      <c r="P8" s="163"/>
      <c r="Q8" s="163"/>
      <c r="R8" s="163"/>
      <c r="S8" s="163" t="s">
        <v>753</v>
      </c>
      <c r="T8" s="161" t="s">
        <v>27</v>
      </c>
      <c r="U8" s="162" t="s">
        <v>451</v>
      </c>
      <c r="V8" s="163" t="s">
        <v>724</v>
      </c>
      <c r="W8" s="163" t="s">
        <v>724</v>
      </c>
      <c r="X8" s="160" t="s">
        <v>697</v>
      </c>
      <c r="Y8" s="160">
        <v>5</v>
      </c>
      <c r="Z8" s="161">
        <v>13</v>
      </c>
      <c r="AA8" s="160"/>
      <c r="AB8" s="159" t="s">
        <v>850</v>
      </c>
      <c r="AC8" s="160" t="s">
        <v>341</v>
      </c>
      <c r="AD8" s="160" t="s">
        <v>341</v>
      </c>
      <c r="AE8" s="160" t="s">
        <v>341</v>
      </c>
      <c r="AF8" s="160" t="s">
        <v>341</v>
      </c>
      <c r="AG8" s="160" t="s">
        <v>341</v>
      </c>
      <c r="AH8" s="160" t="s">
        <v>341</v>
      </c>
      <c r="AI8" s="160" t="s">
        <v>341</v>
      </c>
      <c r="AJ8" s="160" t="s">
        <v>341</v>
      </c>
      <c r="AK8" s="159" t="s">
        <v>305</v>
      </c>
      <c r="AL8" s="159" t="s">
        <v>280</v>
      </c>
    </row>
    <row r="9" spans="1:38" ht="30" customHeight="1">
      <c r="A9" s="137"/>
      <c r="B9" s="159" t="s">
        <v>454</v>
      </c>
      <c r="C9" s="160" t="s">
        <v>341</v>
      </c>
      <c r="D9" s="160" t="s">
        <v>1</v>
      </c>
      <c r="E9" s="160" t="s">
        <v>65</v>
      </c>
      <c r="F9" s="163"/>
      <c r="G9" s="163"/>
      <c r="H9" s="163"/>
      <c r="I9" s="160" t="s">
        <v>744</v>
      </c>
      <c r="J9" s="163"/>
      <c r="K9" s="165" t="s">
        <v>494</v>
      </c>
      <c r="L9" s="164" t="s">
        <v>346</v>
      </c>
      <c r="M9" s="163"/>
      <c r="N9" s="163"/>
      <c r="O9" s="163"/>
      <c r="P9" s="163"/>
      <c r="Q9" s="163"/>
      <c r="R9" s="163"/>
      <c r="S9" s="163" t="s">
        <v>754</v>
      </c>
      <c r="T9" s="165" t="s">
        <v>750</v>
      </c>
      <c r="U9" s="164" t="s">
        <v>328</v>
      </c>
      <c r="V9" s="161" t="s">
        <v>452</v>
      </c>
      <c r="W9" s="162" t="s">
        <v>450</v>
      </c>
      <c r="X9" s="160" t="s">
        <v>341</v>
      </c>
      <c r="Y9" s="160" t="s">
        <v>341</v>
      </c>
      <c r="Z9" s="160" t="s">
        <v>341</v>
      </c>
      <c r="AA9" s="160" t="s">
        <v>341</v>
      </c>
      <c r="AB9" s="159" t="s">
        <v>747</v>
      </c>
      <c r="AC9" s="160"/>
      <c r="AD9" s="160"/>
      <c r="AE9" s="160"/>
      <c r="AF9" s="160"/>
      <c r="AG9" s="160"/>
      <c r="AH9" s="160"/>
      <c r="AI9" s="160"/>
      <c r="AJ9" s="160"/>
      <c r="AK9" s="159" t="s">
        <v>745</v>
      </c>
      <c r="AL9" s="159" t="s">
        <v>746</v>
      </c>
    </row>
    <row r="10" spans="1:38" ht="30" customHeight="1">
      <c r="A10" s="137"/>
      <c r="B10" s="159" t="s">
        <v>454</v>
      </c>
      <c r="C10" s="160" t="s">
        <v>341</v>
      </c>
      <c r="D10" s="160" t="s">
        <v>1</v>
      </c>
      <c r="E10" s="160" t="s">
        <v>65</v>
      </c>
      <c r="F10" s="163"/>
      <c r="G10" s="163"/>
      <c r="H10" s="163"/>
      <c r="I10" s="160" t="s">
        <v>744</v>
      </c>
      <c r="J10" s="163"/>
      <c r="K10" s="165" t="s">
        <v>495</v>
      </c>
      <c r="L10" s="164" t="s">
        <v>496</v>
      </c>
      <c r="M10" s="163"/>
      <c r="N10" s="163"/>
      <c r="O10" s="163"/>
      <c r="P10" s="163"/>
      <c r="Q10" s="163"/>
      <c r="R10" s="163"/>
      <c r="S10" s="163" t="s">
        <v>754</v>
      </c>
      <c r="T10" s="165" t="s">
        <v>750</v>
      </c>
      <c r="U10" s="164" t="s">
        <v>328</v>
      </c>
      <c r="V10" s="161" t="s">
        <v>452</v>
      </c>
      <c r="W10" s="162" t="s">
        <v>450</v>
      </c>
      <c r="X10" s="160" t="s">
        <v>341</v>
      </c>
      <c r="Y10" s="160" t="s">
        <v>341</v>
      </c>
      <c r="Z10" s="160" t="s">
        <v>341</v>
      </c>
      <c r="AA10" s="160" t="s">
        <v>341</v>
      </c>
      <c r="AB10" s="159" t="s">
        <v>748</v>
      </c>
      <c r="AC10" s="160"/>
      <c r="AD10" s="160"/>
      <c r="AE10" s="160"/>
      <c r="AF10" s="160"/>
      <c r="AG10" s="160"/>
      <c r="AH10" s="160"/>
      <c r="AI10" s="160"/>
      <c r="AJ10" s="160"/>
      <c r="AK10" s="159" t="s">
        <v>745</v>
      </c>
      <c r="AL10" s="159" t="s">
        <v>746</v>
      </c>
    </row>
    <row r="11" spans="1:38" ht="30" customHeight="1">
      <c r="A11" s="137"/>
      <c r="B11" s="159" t="s">
        <v>454</v>
      </c>
      <c r="C11" s="160" t="s">
        <v>341</v>
      </c>
      <c r="D11" s="160" t="s">
        <v>1</v>
      </c>
      <c r="E11" s="160" t="s">
        <v>65</v>
      </c>
      <c r="F11" s="163"/>
      <c r="G11" s="163"/>
      <c r="H11" s="163"/>
      <c r="I11" s="160" t="s">
        <v>744</v>
      </c>
      <c r="J11" s="163"/>
      <c r="K11" s="165" t="s">
        <v>497</v>
      </c>
      <c r="L11" s="164" t="s">
        <v>498</v>
      </c>
      <c r="M11" s="163"/>
      <c r="N11" s="163"/>
      <c r="O11" s="163"/>
      <c r="P11" s="163"/>
      <c r="Q11" s="163"/>
      <c r="R11" s="163"/>
      <c r="S11" s="163" t="s">
        <v>754</v>
      </c>
      <c r="T11" s="165" t="s">
        <v>750</v>
      </c>
      <c r="U11" s="164" t="s">
        <v>328</v>
      </c>
      <c r="V11" s="161" t="s">
        <v>452</v>
      </c>
      <c r="W11" s="162" t="s">
        <v>450</v>
      </c>
      <c r="X11" s="160" t="s">
        <v>341</v>
      </c>
      <c r="Y11" s="160" t="s">
        <v>341</v>
      </c>
      <c r="Z11" s="160" t="s">
        <v>341</v>
      </c>
      <c r="AA11" s="160" t="s">
        <v>341</v>
      </c>
      <c r="AB11" s="159" t="s">
        <v>749</v>
      </c>
      <c r="AC11" s="160"/>
      <c r="AD11" s="160"/>
      <c r="AE11" s="160"/>
      <c r="AF11" s="160"/>
      <c r="AG11" s="160"/>
      <c r="AH11" s="160"/>
      <c r="AI11" s="160"/>
      <c r="AJ11" s="160"/>
      <c r="AK11" s="159" t="s">
        <v>745</v>
      </c>
      <c r="AL11" s="159" t="s">
        <v>746</v>
      </c>
    </row>
    <row r="12" spans="1:38" ht="30" customHeight="1">
      <c r="A12" s="152"/>
      <c r="B12" s="159" t="s">
        <v>454</v>
      </c>
      <c r="C12" s="160" t="s">
        <v>341</v>
      </c>
      <c r="D12" s="160" t="s">
        <v>1</v>
      </c>
      <c r="E12" s="160" t="s">
        <v>65</v>
      </c>
      <c r="F12" s="163"/>
      <c r="G12" s="163"/>
      <c r="H12" s="163"/>
      <c r="I12" s="160" t="s">
        <v>744</v>
      </c>
      <c r="J12" s="163"/>
      <c r="K12" s="165" t="s">
        <v>499</v>
      </c>
      <c r="L12" s="164" t="s">
        <v>342</v>
      </c>
      <c r="M12" s="163"/>
      <c r="N12" s="163"/>
      <c r="O12" s="163"/>
      <c r="P12" s="163"/>
      <c r="Q12" s="163"/>
      <c r="R12" s="163"/>
      <c r="S12" s="163" t="s">
        <v>754</v>
      </c>
      <c r="T12" s="165" t="s">
        <v>750</v>
      </c>
      <c r="U12" s="164" t="s">
        <v>328</v>
      </c>
      <c r="V12" s="161" t="s">
        <v>452</v>
      </c>
      <c r="W12" s="162" t="s">
        <v>450</v>
      </c>
      <c r="X12" s="160" t="s">
        <v>341</v>
      </c>
      <c r="Y12" s="160" t="s">
        <v>341</v>
      </c>
      <c r="Z12" s="160" t="s">
        <v>341</v>
      </c>
      <c r="AA12" s="160" t="s">
        <v>341</v>
      </c>
      <c r="AB12" s="159" t="s">
        <v>910</v>
      </c>
      <c r="AC12" s="160"/>
      <c r="AD12" s="160"/>
      <c r="AE12" s="160"/>
      <c r="AF12" s="160"/>
      <c r="AG12" s="160"/>
      <c r="AH12" s="160"/>
      <c r="AI12" s="160"/>
      <c r="AJ12" s="160"/>
      <c r="AK12" s="159" t="s">
        <v>745</v>
      </c>
      <c r="AL12" s="159" t="s">
        <v>746</v>
      </c>
    </row>
    <row r="13" spans="1:38" ht="30" customHeight="1">
      <c r="A13" s="137"/>
      <c r="B13" s="159" t="s">
        <v>454</v>
      </c>
      <c r="C13" s="160" t="s">
        <v>580</v>
      </c>
      <c r="D13" s="160" t="s">
        <v>12</v>
      </c>
      <c r="E13" s="160" t="s">
        <v>36</v>
      </c>
      <c r="F13" s="160" t="s">
        <v>851</v>
      </c>
      <c r="G13" s="161" t="s">
        <v>497</v>
      </c>
      <c r="H13" s="163" t="s">
        <v>498</v>
      </c>
      <c r="I13" s="160" t="s">
        <v>744</v>
      </c>
      <c r="J13" s="161" t="s">
        <v>492</v>
      </c>
      <c r="K13" s="162" t="s">
        <v>493</v>
      </c>
      <c r="L13" s="160"/>
      <c r="M13" s="160"/>
      <c r="N13" s="163"/>
      <c r="O13" s="163"/>
      <c r="P13" s="163"/>
      <c r="Q13" s="160"/>
      <c r="R13" s="160"/>
      <c r="S13" s="160"/>
      <c r="T13" s="160"/>
      <c r="U13" s="160"/>
      <c r="V13" s="160"/>
      <c r="W13" s="160"/>
      <c r="X13" s="160" t="s">
        <v>698</v>
      </c>
      <c r="Y13" s="160">
        <v>2</v>
      </c>
      <c r="Z13" s="162">
        <v>21</v>
      </c>
      <c r="AA13" s="160"/>
      <c r="AB13" s="159" t="s">
        <v>578</v>
      </c>
      <c r="AC13" s="160" t="s">
        <v>341</v>
      </c>
      <c r="AD13" s="160" t="s">
        <v>341</v>
      </c>
      <c r="AE13" s="160" t="s">
        <v>341</v>
      </c>
      <c r="AF13" s="160" t="s">
        <v>341</v>
      </c>
      <c r="AG13" s="160" t="s">
        <v>341</v>
      </c>
      <c r="AH13" s="160" t="s">
        <v>341</v>
      </c>
      <c r="AI13" s="160" t="s">
        <v>341</v>
      </c>
      <c r="AJ13" s="160" t="s">
        <v>341</v>
      </c>
      <c r="AK13" s="159" t="s">
        <v>743</v>
      </c>
      <c r="AL13" s="159" t="s">
        <v>55</v>
      </c>
    </row>
    <row r="14" spans="1:38" ht="30" customHeight="1">
      <c r="A14" s="137"/>
      <c r="B14" s="236" t="s">
        <v>456</v>
      </c>
      <c r="C14" s="237" t="s">
        <v>609</v>
      </c>
      <c r="D14" s="237" t="s">
        <v>12</v>
      </c>
      <c r="E14" s="237" t="s">
        <v>36</v>
      </c>
      <c r="F14" s="237" t="s">
        <v>514</v>
      </c>
      <c r="G14" s="237" t="s">
        <v>491</v>
      </c>
      <c r="H14" s="237" t="s">
        <v>340</v>
      </c>
      <c r="I14" s="237" t="s">
        <v>726</v>
      </c>
      <c r="J14" s="237" t="s">
        <v>492</v>
      </c>
      <c r="K14" s="237" t="s">
        <v>493</v>
      </c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 t="s">
        <v>698</v>
      </c>
      <c r="Y14" s="237">
        <v>1</v>
      </c>
      <c r="Z14" s="237">
        <v>11</v>
      </c>
      <c r="AA14" s="237"/>
      <c r="AB14" s="236" t="s">
        <v>610</v>
      </c>
      <c r="AC14" s="237" t="s">
        <v>341</v>
      </c>
      <c r="AD14" s="237" t="s">
        <v>341</v>
      </c>
      <c r="AE14" s="237" t="s">
        <v>341</v>
      </c>
      <c r="AF14" s="237" t="s">
        <v>341</v>
      </c>
      <c r="AG14" s="237" t="s">
        <v>341</v>
      </c>
      <c r="AH14" s="237" t="s">
        <v>341</v>
      </c>
      <c r="AI14" s="237" t="s">
        <v>341</v>
      </c>
      <c r="AJ14" s="237" t="s">
        <v>341</v>
      </c>
      <c r="AK14" s="236" t="s">
        <v>303</v>
      </c>
      <c r="AL14" s="236" t="s">
        <v>64</v>
      </c>
    </row>
    <row r="15" spans="1:38" ht="30" customHeight="1">
      <c r="A15" s="137"/>
      <c r="B15" s="159" t="s">
        <v>456</v>
      </c>
      <c r="C15" s="160" t="s">
        <v>600</v>
      </c>
      <c r="D15" s="160" t="s">
        <v>12</v>
      </c>
      <c r="E15" s="160" t="s">
        <v>36</v>
      </c>
      <c r="F15" s="160" t="s">
        <v>514</v>
      </c>
      <c r="G15" s="161" t="s">
        <v>338</v>
      </c>
      <c r="H15" s="163" t="s">
        <v>339</v>
      </c>
      <c r="I15" s="160" t="s">
        <v>726</v>
      </c>
      <c r="J15" s="161" t="s">
        <v>494</v>
      </c>
      <c r="K15" s="162" t="s">
        <v>346</v>
      </c>
      <c r="L15" s="160"/>
      <c r="M15" s="160"/>
      <c r="N15" s="163"/>
      <c r="O15" s="163"/>
      <c r="P15" s="163"/>
      <c r="Q15" s="160"/>
      <c r="R15" s="160"/>
      <c r="S15" s="160"/>
      <c r="T15" s="160"/>
      <c r="U15" s="160"/>
      <c r="V15" s="160"/>
      <c r="W15" s="160"/>
      <c r="X15" s="160" t="s">
        <v>697</v>
      </c>
      <c r="Y15" s="160">
        <v>6</v>
      </c>
      <c r="Z15" s="162">
        <v>23</v>
      </c>
      <c r="AA15" s="160"/>
      <c r="AB15" s="159" t="s">
        <v>604</v>
      </c>
      <c r="AC15" s="160" t="s">
        <v>341</v>
      </c>
      <c r="AD15" s="160" t="s">
        <v>341</v>
      </c>
      <c r="AE15" s="160" t="s">
        <v>341</v>
      </c>
      <c r="AF15" s="160" t="s">
        <v>341</v>
      </c>
      <c r="AG15" s="160" t="s">
        <v>341</v>
      </c>
      <c r="AH15" s="160" t="s">
        <v>341</v>
      </c>
      <c r="AI15" s="160" t="s">
        <v>341</v>
      </c>
      <c r="AJ15" s="160" t="s">
        <v>341</v>
      </c>
      <c r="AK15" s="159" t="s">
        <v>303</v>
      </c>
      <c r="AL15" s="159" t="s">
        <v>52</v>
      </c>
    </row>
    <row r="16" spans="1:38" ht="30" customHeight="1">
      <c r="A16" s="137"/>
      <c r="B16" s="159" t="s">
        <v>456</v>
      </c>
      <c r="C16" s="160" t="s">
        <v>996</v>
      </c>
      <c r="D16" s="160" t="s">
        <v>12</v>
      </c>
      <c r="E16" s="160" t="s">
        <v>36</v>
      </c>
      <c r="F16" s="160" t="s">
        <v>514</v>
      </c>
      <c r="G16" s="161" t="s">
        <v>344</v>
      </c>
      <c r="H16" s="163" t="s">
        <v>345</v>
      </c>
      <c r="I16" s="160" t="s">
        <v>726</v>
      </c>
      <c r="J16" s="161" t="s">
        <v>495</v>
      </c>
      <c r="K16" s="162" t="s">
        <v>496</v>
      </c>
      <c r="L16" s="160"/>
      <c r="M16" s="160"/>
      <c r="N16" s="163"/>
      <c r="O16" s="163"/>
      <c r="P16" s="163"/>
      <c r="Q16" s="160"/>
      <c r="R16" s="160"/>
      <c r="S16" s="160"/>
      <c r="T16" s="160"/>
      <c r="U16" s="160"/>
      <c r="V16" s="160"/>
      <c r="W16" s="160"/>
      <c r="X16" s="160" t="s">
        <v>697</v>
      </c>
      <c r="Y16" s="160">
        <v>7</v>
      </c>
      <c r="Z16" s="162">
        <v>14</v>
      </c>
      <c r="AA16" s="160"/>
      <c r="AB16" s="159" t="s">
        <v>606</v>
      </c>
      <c r="AC16" s="160" t="s">
        <v>341</v>
      </c>
      <c r="AD16" s="160" t="s">
        <v>341</v>
      </c>
      <c r="AE16" s="160" t="s">
        <v>341</v>
      </c>
      <c r="AF16" s="160" t="s">
        <v>341</v>
      </c>
      <c r="AG16" s="160" t="s">
        <v>341</v>
      </c>
      <c r="AH16" s="160" t="s">
        <v>341</v>
      </c>
      <c r="AI16" s="160" t="s">
        <v>341</v>
      </c>
      <c r="AJ16" s="160" t="s">
        <v>341</v>
      </c>
      <c r="AK16" s="159" t="s">
        <v>303</v>
      </c>
      <c r="AL16" s="159" t="s">
        <v>289</v>
      </c>
    </row>
    <row r="17" spans="1:38" ht="30" customHeight="1">
      <c r="A17" s="137"/>
      <c r="B17" s="159" t="s">
        <v>456</v>
      </c>
      <c r="C17" s="160" t="s">
        <v>602</v>
      </c>
      <c r="D17" s="160" t="s">
        <v>12</v>
      </c>
      <c r="E17" s="160" t="s">
        <v>36</v>
      </c>
      <c r="F17" s="160" t="s">
        <v>514</v>
      </c>
      <c r="G17" s="161" t="s">
        <v>492</v>
      </c>
      <c r="H17" s="163" t="s">
        <v>493</v>
      </c>
      <c r="I17" s="160" t="s">
        <v>726</v>
      </c>
      <c r="J17" s="161" t="s">
        <v>497</v>
      </c>
      <c r="K17" s="162" t="s">
        <v>498</v>
      </c>
      <c r="L17" s="160"/>
      <c r="M17" s="160"/>
      <c r="N17" s="163"/>
      <c r="O17" s="163"/>
      <c r="P17" s="163"/>
      <c r="Q17" s="160"/>
      <c r="R17" s="160"/>
      <c r="S17" s="160"/>
      <c r="T17" s="160"/>
      <c r="U17" s="160"/>
      <c r="V17" s="160"/>
      <c r="W17" s="160"/>
      <c r="X17" s="160" t="s">
        <v>697</v>
      </c>
      <c r="Y17" s="160">
        <v>8</v>
      </c>
      <c r="Z17" s="162">
        <v>24</v>
      </c>
      <c r="AA17" s="160"/>
      <c r="AB17" s="159" t="s">
        <v>608</v>
      </c>
      <c r="AC17" s="160" t="s">
        <v>341</v>
      </c>
      <c r="AD17" s="160" t="s">
        <v>341</v>
      </c>
      <c r="AE17" s="160" t="s">
        <v>341</v>
      </c>
      <c r="AF17" s="160" t="s">
        <v>341</v>
      </c>
      <c r="AG17" s="160" t="s">
        <v>341</v>
      </c>
      <c r="AH17" s="160" t="s">
        <v>341</v>
      </c>
      <c r="AI17" s="160" t="s">
        <v>341</v>
      </c>
      <c r="AJ17" s="160" t="s">
        <v>341</v>
      </c>
      <c r="AK17" s="159" t="s">
        <v>303</v>
      </c>
      <c r="AL17" s="159" t="s">
        <v>53</v>
      </c>
    </row>
    <row r="18" spans="1:38" ht="30" customHeight="1">
      <c r="A18" s="137"/>
      <c r="B18" s="159" t="s">
        <v>456</v>
      </c>
      <c r="C18" s="160" t="s">
        <v>590</v>
      </c>
      <c r="D18" s="160" t="s">
        <v>1</v>
      </c>
      <c r="E18" s="160" t="s">
        <v>27</v>
      </c>
      <c r="F18" s="160" t="s">
        <v>514</v>
      </c>
      <c r="G18" s="160" t="s">
        <v>494</v>
      </c>
      <c r="H18" s="162" t="s">
        <v>346</v>
      </c>
      <c r="I18" s="160" t="s">
        <v>726</v>
      </c>
      <c r="J18" s="160"/>
      <c r="K18" s="161" t="s">
        <v>499</v>
      </c>
      <c r="L18" s="165" t="s">
        <v>342</v>
      </c>
      <c r="M18" s="160"/>
      <c r="N18" s="163"/>
      <c r="O18" s="163"/>
      <c r="P18" s="163"/>
      <c r="Q18" s="160"/>
      <c r="R18" s="160"/>
      <c r="S18" s="160" t="s">
        <v>860</v>
      </c>
      <c r="T18" s="161" t="s">
        <v>27</v>
      </c>
      <c r="U18" s="165" t="s">
        <v>451</v>
      </c>
      <c r="V18" s="164" t="s">
        <v>452</v>
      </c>
      <c r="W18" s="162" t="s">
        <v>450</v>
      </c>
      <c r="X18" s="160" t="s">
        <v>700</v>
      </c>
      <c r="Y18" s="160">
        <v>1</v>
      </c>
      <c r="Z18" s="164">
        <v>11</v>
      </c>
      <c r="AA18" s="160"/>
      <c r="AB18" s="159" t="s">
        <v>594</v>
      </c>
      <c r="AC18" s="160" t="s">
        <v>341</v>
      </c>
      <c r="AD18" s="160" t="s">
        <v>341</v>
      </c>
      <c r="AE18" s="160" t="s">
        <v>341</v>
      </c>
      <c r="AF18" s="160" t="s">
        <v>341</v>
      </c>
      <c r="AG18" s="160" t="s">
        <v>341</v>
      </c>
      <c r="AH18" s="160" t="s">
        <v>341</v>
      </c>
      <c r="AI18" s="160" t="s">
        <v>341</v>
      </c>
      <c r="AJ18" s="160" t="s">
        <v>341</v>
      </c>
      <c r="AK18" s="159" t="s">
        <v>220</v>
      </c>
      <c r="AL18" s="159" t="s">
        <v>232</v>
      </c>
    </row>
    <row r="19" spans="1:38" ht="30" customHeight="1">
      <c r="A19" s="137"/>
      <c r="B19" s="159" t="s">
        <v>456</v>
      </c>
      <c r="C19" s="160" t="s">
        <v>997</v>
      </c>
      <c r="D19" s="160" t="s">
        <v>1</v>
      </c>
      <c r="E19" s="160" t="s">
        <v>27</v>
      </c>
      <c r="F19" s="160" t="s">
        <v>514</v>
      </c>
      <c r="G19" s="160" t="s">
        <v>495</v>
      </c>
      <c r="H19" s="162" t="s">
        <v>496</v>
      </c>
      <c r="I19" s="160" t="s">
        <v>726</v>
      </c>
      <c r="J19" s="160"/>
      <c r="K19" s="161" t="s">
        <v>502</v>
      </c>
      <c r="L19" s="165" t="s">
        <v>503</v>
      </c>
      <c r="M19" s="160"/>
      <c r="N19" s="163"/>
      <c r="O19" s="163"/>
      <c r="P19" s="163"/>
      <c r="Q19" s="160"/>
      <c r="R19" s="160"/>
      <c r="S19" s="160" t="s">
        <v>861</v>
      </c>
      <c r="T19" s="161" t="s">
        <v>27</v>
      </c>
      <c r="U19" s="165" t="s">
        <v>451</v>
      </c>
      <c r="V19" s="164" t="s">
        <v>452</v>
      </c>
      <c r="W19" s="162" t="s">
        <v>450</v>
      </c>
      <c r="X19" s="160" t="s">
        <v>700</v>
      </c>
      <c r="Y19" s="160">
        <v>2</v>
      </c>
      <c r="Z19" s="164">
        <v>21</v>
      </c>
      <c r="AA19" s="160"/>
      <c r="AB19" s="159" t="s">
        <v>595</v>
      </c>
      <c r="AC19" s="160" t="s">
        <v>341</v>
      </c>
      <c r="AD19" s="160" t="s">
        <v>341</v>
      </c>
      <c r="AE19" s="160" t="s">
        <v>341</v>
      </c>
      <c r="AF19" s="160" t="s">
        <v>341</v>
      </c>
      <c r="AG19" s="160" t="s">
        <v>341</v>
      </c>
      <c r="AH19" s="160" t="s">
        <v>341</v>
      </c>
      <c r="AI19" s="160" t="s">
        <v>341</v>
      </c>
      <c r="AJ19" s="160" t="s">
        <v>341</v>
      </c>
      <c r="AK19" s="159" t="s">
        <v>220</v>
      </c>
      <c r="AL19" s="159" t="s">
        <v>233</v>
      </c>
    </row>
    <row r="20" spans="1:38" ht="30" customHeight="1">
      <c r="A20" s="137"/>
      <c r="B20" s="159" t="s">
        <v>456</v>
      </c>
      <c r="C20" s="160" t="s">
        <v>592</v>
      </c>
      <c r="D20" s="160" t="s">
        <v>1</v>
      </c>
      <c r="E20" s="160" t="s">
        <v>27</v>
      </c>
      <c r="F20" s="160" t="s">
        <v>514</v>
      </c>
      <c r="G20" s="160" t="s">
        <v>497</v>
      </c>
      <c r="H20" s="162" t="s">
        <v>498</v>
      </c>
      <c r="I20" s="160" t="s">
        <v>726</v>
      </c>
      <c r="J20" s="160"/>
      <c r="K20" s="161" t="s">
        <v>504</v>
      </c>
      <c r="L20" s="165" t="s">
        <v>473</v>
      </c>
      <c r="M20" s="160"/>
      <c r="N20" s="163"/>
      <c r="O20" s="163"/>
      <c r="P20" s="163"/>
      <c r="Q20" s="160"/>
      <c r="R20" s="160"/>
      <c r="S20" s="160" t="s">
        <v>862</v>
      </c>
      <c r="T20" s="161" t="s">
        <v>27</v>
      </c>
      <c r="U20" s="165" t="s">
        <v>451</v>
      </c>
      <c r="V20" s="164" t="s">
        <v>452</v>
      </c>
      <c r="W20" s="162" t="s">
        <v>450</v>
      </c>
      <c r="X20" s="160" t="s">
        <v>699</v>
      </c>
      <c r="Y20" s="160">
        <v>3</v>
      </c>
      <c r="Z20" s="164">
        <v>12</v>
      </c>
      <c r="AA20" s="160"/>
      <c r="AB20" s="159" t="s">
        <v>597</v>
      </c>
      <c r="AC20" s="160" t="s">
        <v>341</v>
      </c>
      <c r="AD20" s="160" t="s">
        <v>341</v>
      </c>
      <c r="AE20" s="160" t="s">
        <v>341</v>
      </c>
      <c r="AF20" s="160" t="s">
        <v>341</v>
      </c>
      <c r="AG20" s="160" t="s">
        <v>341</v>
      </c>
      <c r="AH20" s="160" t="s">
        <v>341</v>
      </c>
      <c r="AI20" s="160" t="s">
        <v>341</v>
      </c>
      <c r="AJ20" s="160" t="s">
        <v>341</v>
      </c>
      <c r="AK20" s="159" t="s">
        <v>220</v>
      </c>
      <c r="AL20" s="159" t="s">
        <v>234</v>
      </c>
    </row>
    <row r="21" spans="1:38" ht="30" customHeight="1">
      <c r="A21" s="137"/>
      <c r="B21" s="159" t="s">
        <v>456</v>
      </c>
      <c r="C21" s="160" t="s">
        <v>598</v>
      </c>
      <c r="D21" s="160" t="s">
        <v>1</v>
      </c>
      <c r="E21" s="160" t="s">
        <v>27</v>
      </c>
      <c r="F21" s="160" t="s">
        <v>514</v>
      </c>
      <c r="G21" s="160" t="s">
        <v>499</v>
      </c>
      <c r="H21" s="162" t="s">
        <v>342</v>
      </c>
      <c r="I21" s="160" t="s">
        <v>726</v>
      </c>
      <c r="J21" s="160"/>
      <c r="K21" s="161" t="s">
        <v>505</v>
      </c>
      <c r="L21" s="165" t="s">
        <v>506</v>
      </c>
      <c r="M21" s="160"/>
      <c r="N21" s="163"/>
      <c r="O21" s="163"/>
      <c r="P21" s="163"/>
      <c r="Q21" s="160"/>
      <c r="R21" s="160"/>
      <c r="S21" s="160" t="s">
        <v>863</v>
      </c>
      <c r="T21" s="161" t="s">
        <v>27</v>
      </c>
      <c r="U21" s="165" t="s">
        <v>451</v>
      </c>
      <c r="V21" s="164" t="s">
        <v>452</v>
      </c>
      <c r="W21" s="162" t="s">
        <v>450</v>
      </c>
      <c r="X21" s="160" t="s">
        <v>699</v>
      </c>
      <c r="Y21" s="160">
        <v>4</v>
      </c>
      <c r="Z21" s="164">
        <v>22</v>
      </c>
      <c r="AA21" s="160"/>
      <c r="AB21" s="159" t="s">
        <v>599</v>
      </c>
      <c r="AC21" s="160" t="s">
        <v>341</v>
      </c>
      <c r="AD21" s="160" t="s">
        <v>341</v>
      </c>
      <c r="AE21" s="160" t="s">
        <v>341</v>
      </c>
      <c r="AF21" s="160" t="s">
        <v>341</v>
      </c>
      <c r="AG21" s="160" t="s">
        <v>341</v>
      </c>
      <c r="AH21" s="160" t="s">
        <v>341</v>
      </c>
      <c r="AI21" s="160" t="s">
        <v>341</v>
      </c>
      <c r="AJ21" s="160" t="s">
        <v>341</v>
      </c>
      <c r="AK21" s="159" t="s">
        <v>220</v>
      </c>
      <c r="AL21" s="159" t="s">
        <v>314</v>
      </c>
    </row>
    <row r="22" spans="1:38" ht="30" customHeight="1">
      <c r="A22" s="137"/>
      <c r="B22" s="159" t="s">
        <v>458</v>
      </c>
      <c r="C22" s="160" t="s">
        <v>661</v>
      </c>
      <c r="D22" s="160" t="s">
        <v>12</v>
      </c>
      <c r="E22" s="160" t="s">
        <v>65</v>
      </c>
      <c r="F22" s="160" t="s">
        <v>516</v>
      </c>
      <c r="G22" s="161" t="s">
        <v>491</v>
      </c>
      <c r="H22" s="160" t="s">
        <v>340</v>
      </c>
      <c r="I22" s="160" t="s">
        <v>727</v>
      </c>
      <c r="J22" s="161" t="s">
        <v>491</v>
      </c>
      <c r="K22" s="162" t="s">
        <v>340</v>
      </c>
      <c r="L22" s="160"/>
      <c r="M22" s="160"/>
      <c r="N22" s="163"/>
      <c r="O22" s="163"/>
      <c r="P22" s="163"/>
      <c r="Q22" s="160"/>
      <c r="R22" s="160"/>
      <c r="S22" s="160"/>
      <c r="T22" s="160"/>
      <c r="U22" s="160"/>
      <c r="V22" s="160"/>
      <c r="W22" s="160"/>
      <c r="X22" s="160" t="s">
        <v>697</v>
      </c>
      <c r="Y22" s="160">
        <v>13</v>
      </c>
      <c r="Z22" s="162">
        <v>17</v>
      </c>
      <c r="AA22" s="160"/>
      <c r="AB22" s="159" t="s">
        <v>892</v>
      </c>
      <c r="AC22" s="160" t="s">
        <v>341</v>
      </c>
      <c r="AD22" s="160" t="s">
        <v>341</v>
      </c>
      <c r="AE22" s="160" t="s">
        <v>341</v>
      </c>
      <c r="AF22" s="160" t="s">
        <v>341</v>
      </c>
      <c r="AG22" s="160" t="s">
        <v>341</v>
      </c>
      <c r="AH22" s="160" t="s">
        <v>341</v>
      </c>
      <c r="AI22" s="160" t="s">
        <v>341</v>
      </c>
      <c r="AJ22" s="160" t="s">
        <v>341</v>
      </c>
      <c r="AK22" s="159" t="s">
        <v>312</v>
      </c>
      <c r="AL22" s="159" t="s">
        <v>459</v>
      </c>
    </row>
    <row r="23" spans="1:38" ht="30" customHeight="1">
      <c r="A23" s="137"/>
      <c r="B23" s="159" t="s">
        <v>458</v>
      </c>
      <c r="C23" s="160" t="s">
        <v>652</v>
      </c>
      <c r="D23" s="160" t="s">
        <v>1</v>
      </c>
      <c r="E23" s="160" t="s">
        <v>27</v>
      </c>
      <c r="F23" s="160" t="s">
        <v>516</v>
      </c>
      <c r="G23" s="163" t="s">
        <v>338</v>
      </c>
      <c r="H23" s="162" t="s">
        <v>339</v>
      </c>
      <c r="I23" s="160" t="s">
        <v>727</v>
      </c>
      <c r="J23" s="161" t="s">
        <v>338</v>
      </c>
      <c r="K23" s="163"/>
      <c r="L23" s="163"/>
      <c r="M23" s="165" t="s">
        <v>339</v>
      </c>
      <c r="N23" s="163" t="s">
        <v>740</v>
      </c>
      <c r="O23" s="161" t="s">
        <v>491</v>
      </c>
      <c r="P23" s="165" t="s">
        <v>340</v>
      </c>
      <c r="Q23" s="160"/>
      <c r="R23" s="160"/>
      <c r="S23" s="160" t="s">
        <v>864</v>
      </c>
      <c r="T23" s="161" t="s">
        <v>27</v>
      </c>
      <c r="U23" s="165" t="s">
        <v>451</v>
      </c>
      <c r="V23" s="164" t="s">
        <v>452</v>
      </c>
      <c r="W23" s="162" t="s">
        <v>450</v>
      </c>
      <c r="X23" s="160" t="s">
        <v>699</v>
      </c>
      <c r="Y23" s="160">
        <v>5</v>
      </c>
      <c r="Z23" s="164">
        <v>13</v>
      </c>
      <c r="AA23" s="160"/>
      <c r="AB23" s="159" t="s">
        <v>620</v>
      </c>
      <c r="AC23" s="160" t="s">
        <v>341</v>
      </c>
      <c r="AD23" s="160" t="s">
        <v>341</v>
      </c>
      <c r="AE23" s="160" t="s">
        <v>341</v>
      </c>
      <c r="AF23" s="160" t="s">
        <v>341</v>
      </c>
      <c r="AG23" s="160" t="s">
        <v>341</v>
      </c>
      <c r="AH23" s="160" t="s">
        <v>341</v>
      </c>
      <c r="AI23" s="160" t="s">
        <v>341</v>
      </c>
      <c r="AJ23" s="160" t="s">
        <v>341</v>
      </c>
      <c r="AK23" s="159" t="s">
        <v>313</v>
      </c>
      <c r="AL23" s="159" t="s">
        <v>58</v>
      </c>
    </row>
    <row r="24" spans="1:38" ht="30" customHeight="1">
      <c r="A24" s="137"/>
      <c r="B24" s="159" t="s">
        <v>458</v>
      </c>
      <c r="C24" s="160" t="s">
        <v>653</v>
      </c>
      <c r="D24" s="160" t="s">
        <v>1</v>
      </c>
      <c r="E24" s="160" t="s">
        <v>27</v>
      </c>
      <c r="F24" s="160" t="s">
        <v>516</v>
      </c>
      <c r="G24" s="163" t="s">
        <v>344</v>
      </c>
      <c r="H24" s="162" t="s">
        <v>345</v>
      </c>
      <c r="I24" s="160" t="s">
        <v>727</v>
      </c>
      <c r="J24" s="161" t="s">
        <v>344</v>
      </c>
      <c r="K24" s="163"/>
      <c r="L24" s="163"/>
      <c r="M24" s="165" t="s">
        <v>345</v>
      </c>
      <c r="N24" s="163" t="s">
        <v>740</v>
      </c>
      <c r="O24" s="161" t="s">
        <v>338</v>
      </c>
      <c r="P24" s="165" t="s">
        <v>339</v>
      </c>
      <c r="Q24" s="160"/>
      <c r="R24" s="160"/>
      <c r="S24" s="160" t="s">
        <v>867</v>
      </c>
      <c r="T24" s="161" t="s">
        <v>27</v>
      </c>
      <c r="U24" s="165" t="s">
        <v>451</v>
      </c>
      <c r="V24" s="164" t="s">
        <v>452</v>
      </c>
      <c r="W24" s="162" t="s">
        <v>450</v>
      </c>
      <c r="X24" s="160" t="s">
        <v>699</v>
      </c>
      <c r="Y24" s="160">
        <v>6</v>
      </c>
      <c r="Z24" s="164">
        <v>23</v>
      </c>
      <c r="AA24" s="160"/>
      <c r="AB24" s="159" t="s">
        <v>621</v>
      </c>
      <c r="AC24" s="160" t="s">
        <v>341</v>
      </c>
      <c r="AD24" s="160" t="s">
        <v>341</v>
      </c>
      <c r="AE24" s="160" t="s">
        <v>341</v>
      </c>
      <c r="AF24" s="160" t="s">
        <v>341</v>
      </c>
      <c r="AG24" s="160" t="s">
        <v>341</v>
      </c>
      <c r="AH24" s="160" t="s">
        <v>341</v>
      </c>
      <c r="AI24" s="160" t="s">
        <v>341</v>
      </c>
      <c r="AJ24" s="160" t="s">
        <v>341</v>
      </c>
      <c r="AK24" s="159" t="s">
        <v>313</v>
      </c>
      <c r="AL24" s="159" t="s">
        <v>58</v>
      </c>
    </row>
    <row r="25" spans="1:38" ht="30" customHeight="1">
      <c r="A25" s="137"/>
      <c r="B25" s="159" t="s">
        <v>458</v>
      </c>
      <c r="C25" s="160" t="s">
        <v>654</v>
      </c>
      <c r="D25" s="160" t="s">
        <v>1</v>
      </c>
      <c r="E25" s="160" t="s">
        <v>27</v>
      </c>
      <c r="F25" s="160" t="s">
        <v>516</v>
      </c>
      <c r="G25" s="163" t="s">
        <v>492</v>
      </c>
      <c r="H25" s="162" t="s">
        <v>493</v>
      </c>
      <c r="I25" s="160" t="s">
        <v>727</v>
      </c>
      <c r="J25" s="161" t="s">
        <v>492</v>
      </c>
      <c r="K25" s="163"/>
      <c r="L25" s="163"/>
      <c r="M25" s="165" t="s">
        <v>493</v>
      </c>
      <c r="N25" s="163" t="s">
        <v>740</v>
      </c>
      <c r="O25" s="161" t="s">
        <v>344</v>
      </c>
      <c r="P25" s="165" t="s">
        <v>345</v>
      </c>
      <c r="Q25" s="160"/>
      <c r="R25" s="160"/>
      <c r="S25" s="160" t="s">
        <v>865</v>
      </c>
      <c r="T25" s="161" t="s">
        <v>27</v>
      </c>
      <c r="U25" s="165" t="s">
        <v>451</v>
      </c>
      <c r="V25" s="164" t="s">
        <v>452</v>
      </c>
      <c r="W25" s="162" t="s">
        <v>450</v>
      </c>
      <c r="X25" s="160" t="s">
        <v>699</v>
      </c>
      <c r="Y25" s="160">
        <v>7</v>
      </c>
      <c r="Z25" s="164">
        <v>14</v>
      </c>
      <c r="AA25" s="160"/>
      <c r="AB25" s="159" t="s">
        <v>893</v>
      </c>
      <c r="AC25" s="160" t="s">
        <v>341</v>
      </c>
      <c r="AD25" s="160" t="s">
        <v>341</v>
      </c>
      <c r="AE25" s="160" t="s">
        <v>341</v>
      </c>
      <c r="AF25" s="160" t="s">
        <v>341</v>
      </c>
      <c r="AG25" s="160" t="s">
        <v>341</v>
      </c>
      <c r="AH25" s="160" t="s">
        <v>341</v>
      </c>
      <c r="AI25" s="160" t="s">
        <v>341</v>
      </c>
      <c r="AJ25" s="160" t="s">
        <v>341</v>
      </c>
      <c r="AK25" s="159" t="s">
        <v>313</v>
      </c>
      <c r="AL25" s="159" t="s">
        <v>58</v>
      </c>
    </row>
    <row r="26" spans="1:38" ht="30" customHeight="1">
      <c r="A26" s="137"/>
      <c r="B26" s="159" t="s">
        <v>458</v>
      </c>
      <c r="C26" s="160" t="s">
        <v>655</v>
      </c>
      <c r="D26" s="160" t="s">
        <v>1</v>
      </c>
      <c r="E26" s="160" t="s">
        <v>27</v>
      </c>
      <c r="F26" s="160" t="s">
        <v>516</v>
      </c>
      <c r="G26" s="163" t="s">
        <v>494</v>
      </c>
      <c r="H26" s="162" t="s">
        <v>346</v>
      </c>
      <c r="I26" s="160" t="s">
        <v>727</v>
      </c>
      <c r="J26" s="161" t="s">
        <v>494</v>
      </c>
      <c r="K26" s="163"/>
      <c r="L26" s="163"/>
      <c r="M26" s="165" t="s">
        <v>346</v>
      </c>
      <c r="N26" s="163" t="s">
        <v>740</v>
      </c>
      <c r="O26" s="161" t="s">
        <v>492</v>
      </c>
      <c r="P26" s="165" t="s">
        <v>493</v>
      </c>
      <c r="Q26" s="160"/>
      <c r="R26" s="160"/>
      <c r="S26" s="160" t="s">
        <v>868</v>
      </c>
      <c r="T26" s="161" t="s">
        <v>27</v>
      </c>
      <c r="U26" s="165" t="s">
        <v>451</v>
      </c>
      <c r="V26" s="164" t="s">
        <v>452</v>
      </c>
      <c r="W26" s="162" t="s">
        <v>450</v>
      </c>
      <c r="X26" s="160" t="s">
        <v>699</v>
      </c>
      <c r="Y26" s="160">
        <v>8</v>
      </c>
      <c r="Z26" s="164">
        <v>24</v>
      </c>
      <c r="AA26" s="160"/>
      <c r="AB26" s="159" t="s">
        <v>894</v>
      </c>
      <c r="AC26" s="160" t="s">
        <v>341</v>
      </c>
      <c r="AD26" s="160" t="s">
        <v>341</v>
      </c>
      <c r="AE26" s="160" t="s">
        <v>341</v>
      </c>
      <c r="AF26" s="160" t="s">
        <v>341</v>
      </c>
      <c r="AG26" s="160" t="s">
        <v>341</v>
      </c>
      <c r="AH26" s="160" t="s">
        <v>341</v>
      </c>
      <c r="AI26" s="160" t="s">
        <v>341</v>
      </c>
      <c r="AJ26" s="160" t="s">
        <v>341</v>
      </c>
      <c r="AK26" s="159" t="s">
        <v>313</v>
      </c>
      <c r="AL26" s="159" t="s">
        <v>58</v>
      </c>
    </row>
    <row r="27" spans="1:38" ht="30" customHeight="1">
      <c r="A27" s="137"/>
      <c r="B27" s="159" t="s">
        <v>458</v>
      </c>
      <c r="C27" s="160" t="s">
        <v>656</v>
      </c>
      <c r="D27" s="160" t="s">
        <v>1</v>
      </c>
      <c r="E27" s="160" t="s">
        <v>27</v>
      </c>
      <c r="F27" s="160" t="s">
        <v>516</v>
      </c>
      <c r="G27" s="163" t="s">
        <v>495</v>
      </c>
      <c r="H27" s="162" t="s">
        <v>496</v>
      </c>
      <c r="I27" s="160" t="s">
        <v>727</v>
      </c>
      <c r="J27" s="161" t="s">
        <v>495</v>
      </c>
      <c r="K27" s="163"/>
      <c r="L27" s="163"/>
      <c r="M27" s="165" t="s">
        <v>496</v>
      </c>
      <c r="N27" s="163" t="s">
        <v>740</v>
      </c>
      <c r="O27" s="161" t="s">
        <v>494</v>
      </c>
      <c r="P27" s="165" t="s">
        <v>346</v>
      </c>
      <c r="Q27" s="160"/>
      <c r="R27" s="160"/>
      <c r="S27" s="160" t="s">
        <v>866</v>
      </c>
      <c r="T27" s="161" t="s">
        <v>27</v>
      </c>
      <c r="U27" s="165" t="s">
        <v>451</v>
      </c>
      <c r="V27" s="164" t="s">
        <v>452</v>
      </c>
      <c r="W27" s="162" t="s">
        <v>450</v>
      </c>
      <c r="X27" s="160" t="s">
        <v>699</v>
      </c>
      <c r="Y27" s="160">
        <v>9</v>
      </c>
      <c r="Z27" s="164">
        <v>15</v>
      </c>
      <c r="AA27" s="160"/>
      <c r="AB27" s="159" t="s">
        <v>895</v>
      </c>
      <c r="AC27" s="160" t="s">
        <v>341</v>
      </c>
      <c r="AD27" s="160" t="s">
        <v>341</v>
      </c>
      <c r="AE27" s="160" t="s">
        <v>341</v>
      </c>
      <c r="AF27" s="160" t="s">
        <v>341</v>
      </c>
      <c r="AG27" s="160" t="s">
        <v>341</v>
      </c>
      <c r="AH27" s="160" t="s">
        <v>341</v>
      </c>
      <c r="AI27" s="160" t="s">
        <v>341</v>
      </c>
      <c r="AJ27" s="160" t="s">
        <v>341</v>
      </c>
      <c r="AK27" s="159" t="s">
        <v>313</v>
      </c>
      <c r="AL27" s="159" t="s">
        <v>58</v>
      </c>
    </row>
    <row r="28" spans="1:38" ht="30" customHeight="1">
      <c r="A28" s="137"/>
      <c r="B28" s="159" t="s">
        <v>458</v>
      </c>
      <c r="C28" s="160" t="s">
        <v>666</v>
      </c>
      <c r="D28" s="160" t="s">
        <v>388</v>
      </c>
      <c r="E28" s="160"/>
      <c r="F28" s="160" t="s">
        <v>516</v>
      </c>
      <c r="G28" s="163" t="s">
        <v>497</v>
      </c>
      <c r="H28" s="163" t="s">
        <v>498</v>
      </c>
      <c r="I28" s="160" t="s">
        <v>727</v>
      </c>
      <c r="J28" s="161" t="s">
        <v>497</v>
      </c>
      <c r="K28" s="163"/>
      <c r="L28" s="163"/>
      <c r="M28" s="165" t="s">
        <v>498</v>
      </c>
      <c r="N28" s="163" t="s">
        <v>740</v>
      </c>
      <c r="O28" s="161" t="s">
        <v>495</v>
      </c>
      <c r="P28" s="165" t="s">
        <v>496</v>
      </c>
      <c r="Q28" s="160"/>
      <c r="R28" s="160"/>
      <c r="S28" s="160"/>
      <c r="T28" s="163"/>
      <c r="U28" s="163"/>
      <c r="V28" s="163"/>
      <c r="W28" s="163"/>
      <c r="X28" s="160" t="s">
        <v>341</v>
      </c>
      <c r="Y28" s="160" t="s">
        <v>341</v>
      </c>
      <c r="Z28" s="160" t="s">
        <v>341</v>
      </c>
      <c r="AA28" s="160" t="s">
        <v>341</v>
      </c>
      <c r="AB28" s="159" t="s">
        <v>896</v>
      </c>
      <c r="AC28" s="160" t="s">
        <v>341</v>
      </c>
      <c r="AD28" s="160" t="s">
        <v>341</v>
      </c>
      <c r="AE28" s="160" t="s">
        <v>341</v>
      </c>
      <c r="AF28" s="160" t="s">
        <v>341</v>
      </c>
      <c r="AG28" s="160" t="s">
        <v>341</v>
      </c>
      <c r="AH28" s="160" t="s">
        <v>341</v>
      </c>
      <c r="AI28" s="160" t="s">
        <v>341</v>
      </c>
      <c r="AJ28" s="160" t="s">
        <v>341</v>
      </c>
      <c r="AK28" s="159" t="s">
        <v>313</v>
      </c>
      <c r="AL28" s="159"/>
    </row>
    <row r="29" spans="1:38" ht="30" customHeight="1">
      <c r="A29" s="137"/>
      <c r="B29" s="159" t="s">
        <v>458</v>
      </c>
      <c r="C29" s="160" t="s">
        <v>668</v>
      </c>
      <c r="D29" s="160" t="s">
        <v>388</v>
      </c>
      <c r="E29" s="160"/>
      <c r="F29" s="160" t="s">
        <v>516</v>
      </c>
      <c r="G29" s="163" t="s">
        <v>499</v>
      </c>
      <c r="H29" s="163" t="s">
        <v>342</v>
      </c>
      <c r="I29" s="160" t="s">
        <v>727</v>
      </c>
      <c r="J29" s="161" t="s">
        <v>499</v>
      </c>
      <c r="K29" s="163"/>
      <c r="L29" s="163"/>
      <c r="M29" s="165" t="s">
        <v>342</v>
      </c>
      <c r="N29" s="163" t="s">
        <v>740</v>
      </c>
      <c r="O29" s="161" t="s">
        <v>497</v>
      </c>
      <c r="P29" s="165" t="s">
        <v>498</v>
      </c>
      <c r="Q29" s="160"/>
      <c r="R29" s="160"/>
      <c r="S29" s="160"/>
      <c r="T29" s="163"/>
      <c r="U29" s="163"/>
      <c r="V29" s="163"/>
      <c r="W29" s="163"/>
      <c r="X29" s="160" t="s">
        <v>341</v>
      </c>
      <c r="Y29" s="160" t="s">
        <v>341</v>
      </c>
      <c r="Z29" s="160" t="s">
        <v>341</v>
      </c>
      <c r="AA29" s="160" t="s">
        <v>341</v>
      </c>
      <c r="AB29" s="159" t="s">
        <v>897</v>
      </c>
      <c r="AC29" s="160" t="s">
        <v>341</v>
      </c>
      <c r="AD29" s="160" t="s">
        <v>341</v>
      </c>
      <c r="AE29" s="160" t="s">
        <v>341</v>
      </c>
      <c r="AF29" s="160" t="s">
        <v>341</v>
      </c>
      <c r="AG29" s="160" t="s">
        <v>341</v>
      </c>
      <c r="AH29" s="160" t="s">
        <v>341</v>
      </c>
      <c r="AI29" s="160" t="s">
        <v>341</v>
      </c>
      <c r="AJ29" s="160" t="s">
        <v>341</v>
      </c>
      <c r="AK29" s="159" t="s">
        <v>313</v>
      </c>
      <c r="AL29" s="159"/>
    </row>
    <row r="30" spans="1:38" ht="30" customHeight="1">
      <c r="A30" s="137"/>
      <c r="B30" s="159" t="s">
        <v>458</v>
      </c>
      <c r="C30" s="160" t="s">
        <v>657</v>
      </c>
      <c r="D30" s="160" t="s">
        <v>13</v>
      </c>
      <c r="E30" s="160" t="s">
        <v>442</v>
      </c>
      <c r="F30" s="160" t="s">
        <v>516</v>
      </c>
      <c r="G30" s="161" t="s">
        <v>502</v>
      </c>
      <c r="H30" s="162" t="s">
        <v>503</v>
      </c>
      <c r="I30" s="160" t="s">
        <v>727</v>
      </c>
      <c r="J30" s="161" t="s">
        <v>502</v>
      </c>
      <c r="K30" s="165" t="s">
        <v>503</v>
      </c>
      <c r="L30" s="160"/>
      <c r="M30" s="163"/>
      <c r="N30" s="163"/>
      <c r="O30" s="163"/>
      <c r="P30" s="163"/>
      <c r="Q30" s="160" t="s">
        <v>873</v>
      </c>
      <c r="R30" s="166" t="s">
        <v>500</v>
      </c>
      <c r="S30" s="160"/>
      <c r="T30" s="160"/>
      <c r="U30" s="160"/>
      <c r="V30" s="160"/>
      <c r="W30" s="160"/>
      <c r="X30" s="160" t="s">
        <v>742</v>
      </c>
      <c r="Y30" s="160">
        <v>1</v>
      </c>
      <c r="Z30" s="167">
        <v>11</v>
      </c>
      <c r="AA30" s="168">
        <v>21</v>
      </c>
      <c r="AB30" s="159" t="s">
        <v>625</v>
      </c>
      <c r="AC30" s="160" t="s">
        <v>343</v>
      </c>
      <c r="AD30" s="160" t="s">
        <v>346</v>
      </c>
      <c r="AE30" s="160" t="s">
        <v>351</v>
      </c>
      <c r="AF30" s="160">
        <v>3.5</v>
      </c>
      <c r="AG30" s="160">
        <v>4</v>
      </c>
      <c r="AH30" s="160"/>
      <c r="AI30" s="160"/>
      <c r="AJ30" s="160">
        <v>5</v>
      </c>
      <c r="AK30" s="159" t="s">
        <v>312</v>
      </c>
      <c r="AL30" s="159"/>
    </row>
    <row r="31" spans="1:38" ht="30" customHeight="1">
      <c r="A31" s="137"/>
      <c r="B31" s="159" t="s">
        <v>458</v>
      </c>
      <c r="C31" s="160" t="s">
        <v>659</v>
      </c>
      <c r="D31" s="160" t="s">
        <v>13</v>
      </c>
      <c r="E31" s="160" t="s">
        <v>442</v>
      </c>
      <c r="F31" s="160" t="s">
        <v>516</v>
      </c>
      <c r="G31" s="161" t="s">
        <v>504</v>
      </c>
      <c r="H31" s="162" t="s">
        <v>473</v>
      </c>
      <c r="I31" s="160" t="s">
        <v>727</v>
      </c>
      <c r="J31" s="161" t="s">
        <v>504</v>
      </c>
      <c r="K31" s="165" t="s">
        <v>473</v>
      </c>
      <c r="L31" s="160"/>
      <c r="M31" s="163"/>
      <c r="N31" s="163"/>
      <c r="O31" s="163"/>
      <c r="P31" s="163"/>
      <c r="Q31" s="160" t="s">
        <v>874</v>
      </c>
      <c r="R31" s="166" t="s">
        <v>500</v>
      </c>
      <c r="S31" s="160"/>
      <c r="T31" s="160"/>
      <c r="U31" s="160"/>
      <c r="V31" s="160"/>
      <c r="W31" s="160"/>
      <c r="X31" s="160" t="s">
        <v>742</v>
      </c>
      <c r="Y31" s="160">
        <v>2</v>
      </c>
      <c r="Z31" s="167">
        <v>12</v>
      </c>
      <c r="AA31" s="168">
        <v>22</v>
      </c>
      <c r="AB31" s="159" t="s">
        <v>627</v>
      </c>
      <c r="AC31" s="160" t="s">
        <v>343</v>
      </c>
      <c r="AD31" s="160" t="s">
        <v>346</v>
      </c>
      <c r="AE31" s="160" t="s">
        <v>351</v>
      </c>
      <c r="AF31" s="160">
        <v>1</v>
      </c>
      <c r="AG31" s="160">
        <v>3</v>
      </c>
      <c r="AH31" s="160"/>
      <c r="AI31" s="160"/>
      <c r="AJ31" s="160">
        <v>5</v>
      </c>
      <c r="AK31" s="159" t="s">
        <v>312</v>
      </c>
      <c r="AL31" s="159"/>
    </row>
    <row r="32" spans="1:38" ht="30" customHeight="1">
      <c r="A32" s="137"/>
      <c r="B32" s="159" t="s">
        <v>458</v>
      </c>
      <c r="C32" s="160" t="s">
        <v>662</v>
      </c>
      <c r="D32" s="160" t="s">
        <v>13</v>
      </c>
      <c r="E32" s="160" t="s">
        <v>442</v>
      </c>
      <c r="F32" s="160" t="s">
        <v>516</v>
      </c>
      <c r="G32" s="161" t="s">
        <v>505</v>
      </c>
      <c r="H32" s="162" t="s">
        <v>506</v>
      </c>
      <c r="I32" s="160" t="s">
        <v>727</v>
      </c>
      <c r="J32" s="161" t="s">
        <v>505</v>
      </c>
      <c r="K32" s="165" t="s">
        <v>506</v>
      </c>
      <c r="L32" s="160"/>
      <c r="M32" s="163"/>
      <c r="N32" s="163"/>
      <c r="O32" s="163"/>
      <c r="P32" s="163"/>
      <c r="Q32" s="160" t="s">
        <v>875</v>
      </c>
      <c r="R32" s="166" t="s">
        <v>500</v>
      </c>
      <c r="S32" s="160"/>
      <c r="T32" s="160"/>
      <c r="U32" s="160"/>
      <c r="V32" s="160"/>
      <c r="W32" s="160"/>
      <c r="X32" s="160" t="s">
        <v>742</v>
      </c>
      <c r="Y32" s="160">
        <v>3</v>
      </c>
      <c r="Z32" s="167">
        <v>13</v>
      </c>
      <c r="AA32" s="168">
        <v>23</v>
      </c>
      <c r="AB32" s="159" t="s">
        <v>887</v>
      </c>
      <c r="AC32" s="160">
        <v>0</v>
      </c>
      <c r="AD32" s="160">
        <v>16</v>
      </c>
      <c r="AE32" s="160" t="s">
        <v>351</v>
      </c>
      <c r="AF32" s="160">
        <v>4</v>
      </c>
      <c r="AG32" s="160">
        <v>5</v>
      </c>
      <c r="AH32" s="160">
        <v>10</v>
      </c>
      <c r="AI32" s="160">
        <v>11</v>
      </c>
      <c r="AJ32" s="160">
        <v>1</v>
      </c>
      <c r="AK32" s="159" t="s">
        <v>312</v>
      </c>
      <c r="AL32" s="159"/>
    </row>
    <row r="33" spans="1:38" ht="30" customHeight="1">
      <c r="A33" s="137"/>
      <c r="B33" s="159" t="s">
        <v>458</v>
      </c>
      <c r="C33" s="160" t="s">
        <v>664</v>
      </c>
      <c r="D33" s="160" t="s">
        <v>13</v>
      </c>
      <c r="E33" s="160" t="s">
        <v>442</v>
      </c>
      <c r="F33" s="160" t="s">
        <v>516</v>
      </c>
      <c r="G33" s="161" t="s">
        <v>501</v>
      </c>
      <c r="H33" s="162" t="s">
        <v>474</v>
      </c>
      <c r="I33" s="160" t="s">
        <v>727</v>
      </c>
      <c r="J33" s="161" t="s">
        <v>501</v>
      </c>
      <c r="K33" s="165" t="s">
        <v>474</v>
      </c>
      <c r="L33" s="160"/>
      <c r="M33" s="163"/>
      <c r="N33" s="163"/>
      <c r="O33" s="163"/>
      <c r="P33" s="163"/>
      <c r="Q33" s="160" t="s">
        <v>876</v>
      </c>
      <c r="R33" s="166" t="s">
        <v>500</v>
      </c>
      <c r="S33" s="160"/>
      <c r="T33" s="160"/>
      <c r="U33" s="160"/>
      <c r="V33" s="160"/>
      <c r="W33" s="160"/>
      <c r="X33" s="160" t="s">
        <v>742</v>
      </c>
      <c r="Y33" s="160">
        <v>4</v>
      </c>
      <c r="Z33" s="167">
        <v>14</v>
      </c>
      <c r="AA33" s="168">
        <v>24</v>
      </c>
      <c r="AB33" s="159" t="s">
        <v>888</v>
      </c>
      <c r="AC33" s="160">
        <v>0</v>
      </c>
      <c r="AD33" s="160">
        <v>16</v>
      </c>
      <c r="AE33" s="160" t="s">
        <v>351</v>
      </c>
      <c r="AF33" s="160">
        <v>4</v>
      </c>
      <c r="AG33" s="160">
        <v>5</v>
      </c>
      <c r="AH33" s="160"/>
      <c r="AI33" s="160"/>
      <c r="AJ33" s="160">
        <v>5</v>
      </c>
      <c r="AK33" s="159" t="s">
        <v>312</v>
      </c>
      <c r="AL33" s="159"/>
    </row>
    <row r="34" spans="1:38" ht="30" customHeight="1">
      <c r="A34" s="137"/>
      <c r="B34" s="159" t="s">
        <v>458</v>
      </c>
      <c r="C34" s="160" t="s">
        <v>667</v>
      </c>
      <c r="D34" s="160" t="s">
        <v>13</v>
      </c>
      <c r="E34" s="160" t="s">
        <v>442</v>
      </c>
      <c r="F34" s="163"/>
      <c r="G34" s="163"/>
      <c r="H34" s="163"/>
      <c r="I34" s="160" t="s">
        <v>727</v>
      </c>
      <c r="J34" s="161" t="s">
        <v>507</v>
      </c>
      <c r="K34" s="165" t="s">
        <v>508</v>
      </c>
      <c r="L34" s="160"/>
      <c r="M34" s="163"/>
      <c r="N34" s="163"/>
      <c r="O34" s="163"/>
      <c r="P34" s="163"/>
      <c r="Q34" s="160" t="s">
        <v>877</v>
      </c>
      <c r="R34" s="166" t="s">
        <v>500</v>
      </c>
      <c r="S34" s="160"/>
      <c r="T34" s="160"/>
      <c r="U34" s="160"/>
      <c r="V34" s="160"/>
      <c r="W34" s="160"/>
      <c r="X34" s="160" t="s">
        <v>742</v>
      </c>
      <c r="Y34" s="160">
        <v>5</v>
      </c>
      <c r="Z34" s="167">
        <v>15</v>
      </c>
      <c r="AA34" s="168">
        <v>25</v>
      </c>
      <c r="AB34" s="159" t="s">
        <v>889</v>
      </c>
      <c r="AC34" s="160">
        <v>0</v>
      </c>
      <c r="AD34" s="160">
        <v>100</v>
      </c>
      <c r="AE34" s="160" t="s">
        <v>488</v>
      </c>
      <c r="AF34" s="160"/>
      <c r="AG34" s="160"/>
      <c r="AH34" s="160" t="s">
        <v>489</v>
      </c>
      <c r="AI34" s="160" t="s">
        <v>490</v>
      </c>
      <c r="AJ34" s="160" t="s">
        <v>346</v>
      </c>
      <c r="AK34" s="159" t="s">
        <v>312</v>
      </c>
      <c r="AL34" s="159"/>
    </row>
    <row r="35" spans="1:38" ht="30" customHeight="1">
      <c r="A35" s="137"/>
      <c r="B35" s="159" t="s">
        <v>458</v>
      </c>
      <c r="C35" s="160" t="s">
        <v>671</v>
      </c>
      <c r="D35" s="160" t="s">
        <v>13</v>
      </c>
      <c r="E35" s="160" t="s">
        <v>442</v>
      </c>
      <c r="F35" s="160" t="s">
        <v>516</v>
      </c>
      <c r="G35" s="161" t="s">
        <v>509</v>
      </c>
      <c r="H35" s="162" t="s">
        <v>510</v>
      </c>
      <c r="I35" s="160" t="s">
        <v>727</v>
      </c>
      <c r="J35" s="161" t="s">
        <v>509</v>
      </c>
      <c r="K35" s="165" t="s">
        <v>510</v>
      </c>
      <c r="L35" s="160"/>
      <c r="M35" s="163"/>
      <c r="N35" s="163"/>
      <c r="O35" s="163"/>
      <c r="P35" s="163"/>
      <c r="Q35" s="160" t="s">
        <v>878</v>
      </c>
      <c r="R35" s="166" t="s">
        <v>500</v>
      </c>
      <c r="S35" s="160"/>
      <c r="T35" s="160"/>
      <c r="U35" s="160"/>
      <c r="V35" s="160"/>
      <c r="W35" s="160"/>
      <c r="X35" s="160" t="s">
        <v>742</v>
      </c>
      <c r="Y35" s="160">
        <v>6</v>
      </c>
      <c r="Z35" s="167">
        <v>16</v>
      </c>
      <c r="AA35" s="168">
        <v>26</v>
      </c>
      <c r="AB35" s="159" t="s">
        <v>890</v>
      </c>
      <c r="AC35" s="160">
        <v>0</v>
      </c>
      <c r="AD35" s="160">
        <v>16</v>
      </c>
      <c r="AE35" s="160" t="s">
        <v>351</v>
      </c>
      <c r="AF35" s="160">
        <v>0.5</v>
      </c>
      <c r="AG35" s="160">
        <v>1</v>
      </c>
      <c r="AH35" s="160"/>
      <c r="AI35" s="160"/>
      <c r="AJ35" s="160">
        <v>5</v>
      </c>
      <c r="AK35" s="159" t="s">
        <v>312</v>
      </c>
      <c r="AL35" s="159"/>
    </row>
    <row r="36" spans="1:38" ht="30" customHeight="1">
      <c r="A36" s="137"/>
      <c r="B36" s="159" t="s">
        <v>458</v>
      </c>
      <c r="C36" s="160" t="s">
        <v>669</v>
      </c>
      <c r="D36" s="160" t="s">
        <v>15</v>
      </c>
      <c r="E36" s="160" t="s">
        <v>442</v>
      </c>
      <c r="F36" s="160" t="s">
        <v>516</v>
      </c>
      <c r="G36" s="163"/>
      <c r="H36" s="163"/>
      <c r="I36" s="160" t="s">
        <v>727</v>
      </c>
      <c r="J36" s="161" t="s">
        <v>511</v>
      </c>
      <c r="K36" s="165" t="s">
        <v>512</v>
      </c>
      <c r="L36" s="160"/>
      <c r="M36" s="163"/>
      <c r="N36" s="160"/>
      <c r="O36" s="160"/>
      <c r="P36" s="160"/>
      <c r="Q36" s="160" t="s">
        <v>898</v>
      </c>
      <c r="R36" s="166" t="s">
        <v>500</v>
      </c>
      <c r="S36" s="160"/>
      <c r="T36" s="160"/>
      <c r="U36" s="160"/>
      <c r="V36" s="160"/>
      <c r="W36" s="160"/>
      <c r="X36" s="160" t="s">
        <v>705</v>
      </c>
      <c r="Y36" s="160">
        <v>1</v>
      </c>
      <c r="Z36" s="161" t="s">
        <v>496</v>
      </c>
      <c r="AA36" s="162" t="s">
        <v>497</v>
      </c>
      <c r="AB36" s="159" t="s">
        <v>891</v>
      </c>
      <c r="AC36" s="160" t="s">
        <v>343</v>
      </c>
      <c r="AD36" s="160" t="s">
        <v>471</v>
      </c>
      <c r="AE36" s="160" t="s">
        <v>487</v>
      </c>
      <c r="AF36" s="160"/>
      <c r="AG36" s="160"/>
      <c r="AH36" s="160"/>
      <c r="AI36" s="160"/>
      <c r="AJ36" s="160"/>
      <c r="AK36" s="159" t="s">
        <v>313</v>
      </c>
      <c r="AL36" s="159"/>
    </row>
    <row r="37" spans="1:38" ht="30" customHeight="1">
      <c r="A37" s="137"/>
      <c r="B37" s="159" t="s">
        <v>211</v>
      </c>
      <c r="C37" s="160" t="s">
        <v>673</v>
      </c>
      <c r="D37" s="160" t="s">
        <v>1</v>
      </c>
      <c r="E37" s="160" t="s">
        <v>65</v>
      </c>
      <c r="F37" s="160" t="s">
        <v>518</v>
      </c>
      <c r="G37" s="163" t="s">
        <v>491</v>
      </c>
      <c r="H37" s="162" t="s">
        <v>340</v>
      </c>
      <c r="I37" s="160" t="s">
        <v>728</v>
      </c>
      <c r="J37" s="161" t="s">
        <v>491</v>
      </c>
      <c r="K37" s="165" t="s">
        <v>340</v>
      </c>
      <c r="L37" s="163"/>
      <c r="M37" s="163"/>
      <c r="N37" s="163" t="s">
        <v>740</v>
      </c>
      <c r="O37" s="161" t="s">
        <v>499</v>
      </c>
      <c r="P37" s="165" t="s">
        <v>342</v>
      </c>
      <c r="Q37" s="160"/>
      <c r="R37" s="160"/>
      <c r="S37" s="160" t="s">
        <v>870</v>
      </c>
      <c r="T37" s="161" t="s">
        <v>27</v>
      </c>
      <c r="U37" s="165" t="s">
        <v>451</v>
      </c>
      <c r="V37" s="164" t="s">
        <v>452</v>
      </c>
      <c r="W37" s="162" t="s">
        <v>450</v>
      </c>
      <c r="X37" s="160" t="s">
        <v>699</v>
      </c>
      <c r="Y37" s="160">
        <v>10</v>
      </c>
      <c r="Z37" s="164">
        <v>25</v>
      </c>
      <c r="AA37" s="160"/>
      <c r="AB37" s="159" t="s">
        <v>648</v>
      </c>
      <c r="AC37" s="160" t="s">
        <v>341</v>
      </c>
      <c r="AD37" s="160" t="s">
        <v>341</v>
      </c>
      <c r="AE37" s="160" t="s">
        <v>341</v>
      </c>
      <c r="AF37" s="160" t="s">
        <v>341</v>
      </c>
      <c r="AG37" s="160" t="s">
        <v>341</v>
      </c>
      <c r="AH37" s="160" t="s">
        <v>341</v>
      </c>
      <c r="AI37" s="160" t="s">
        <v>341</v>
      </c>
      <c r="AJ37" s="160" t="s">
        <v>341</v>
      </c>
      <c r="AK37" s="159" t="s">
        <v>299</v>
      </c>
      <c r="AL37" s="159" t="s">
        <v>460</v>
      </c>
    </row>
    <row r="38" spans="1:38" ht="30" customHeight="1">
      <c r="A38" s="137"/>
      <c r="B38" s="159" t="s">
        <v>211</v>
      </c>
      <c r="C38" s="160" t="s">
        <v>674</v>
      </c>
      <c r="D38" s="160" t="s">
        <v>12</v>
      </c>
      <c r="E38" s="160" t="s">
        <v>36</v>
      </c>
      <c r="F38" s="160" t="s">
        <v>518</v>
      </c>
      <c r="G38" s="161" t="s">
        <v>338</v>
      </c>
      <c r="H38" s="160" t="s">
        <v>339</v>
      </c>
      <c r="I38" s="160" t="s">
        <v>728</v>
      </c>
      <c r="J38" s="161" t="s">
        <v>338</v>
      </c>
      <c r="K38" s="162" t="s">
        <v>339</v>
      </c>
      <c r="L38" s="160"/>
      <c r="M38" s="160"/>
      <c r="N38" s="163"/>
      <c r="O38" s="163"/>
      <c r="P38" s="163"/>
      <c r="Q38" s="160"/>
      <c r="R38" s="160"/>
      <c r="S38" s="160"/>
      <c r="T38" s="160"/>
      <c r="U38" s="160"/>
      <c r="V38" s="160"/>
      <c r="W38" s="160"/>
      <c r="X38" s="160" t="s">
        <v>697</v>
      </c>
      <c r="Y38" s="160">
        <v>9</v>
      </c>
      <c r="Z38" s="162">
        <v>15</v>
      </c>
      <c r="AA38" s="160"/>
      <c r="AB38" s="159" t="s">
        <v>649</v>
      </c>
      <c r="AC38" s="160" t="s">
        <v>341</v>
      </c>
      <c r="AD38" s="160" t="s">
        <v>341</v>
      </c>
      <c r="AE38" s="160" t="s">
        <v>341</v>
      </c>
      <c r="AF38" s="160" t="s">
        <v>341</v>
      </c>
      <c r="AG38" s="160" t="s">
        <v>341</v>
      </c>
      <c r="AH38" s="160" t="s">
        <v>341</v>
      </c>
      <c r="AI38" s="160" t="s">
        <v>341</v>
      </c>
      <c r="AJ38" s="160" t="s">
        <v>341</v>
      </c>
      <c r="AK38" s="159" t="s">
        <v>311</v>
      </c>
      <c r="AL38" s="159" t="s">
        <v>58</v>
      </c>
    </row>
    <row r="39" spans="1:38" ht="30" customHeight="1">
      <c r="A39" s="137"/>
      <c r="B39" s="159" t="s">
        <v>211</v>
      </c>
      <c r="C39" s="160" t="s">
        <v>675</v>
      </c>
      <c r="D39" s="160" t="s">
        <v>12</v>
      </c>
      <c r="E39" s="160" t="s">
        <v>36</v>
      </c>
      <c r="F39" s="160" t="s">
        <v>518</v>
      </c>
      <c r="G39" s="161" t="s">
        <v>344</v>
      </c>
      <c r="H39" s="160" t="s">
        <v>345</v>
      </c>
      <c r="I39" s="160" t="s">
        <v>728</v>
      </c>
      <c r="J39" s="161" t="s">
        <v>344</v>
      </c>
      <c r="K39" s="162" t="s">
        <v>345</v>
      </c>
      <c r="L39" s="160"/>
      <c r="M39" s="160"/>
      <c r="N39" s="163"/>
      <c r="O39" s="163"/>
      <c r="P39" s="163"/>
      <c r="Q39" s="160"/>
      <c r="R39" s="160"/>
      <c r="S39" s="160"/>
      <c r="T39" s="160"/>
      <c r="U39" s="160"/>
      <c r="V39" s="160"/>
      <c r="W39" s="160"/>
      <c r="X39" s="160" t="s">
        <v>697</v>
      </c>
      <c r="Y39" s="160">
        <v>10</v>
      </c>
      <c r="Z39" s="162">
        <v>25</v>
      </c>
      <c r="AA39" s="160"/>
      <c r="AB39" s="159" t="s">
        <v>650</v>
      </c>
      <c r="AC39" s="160" t="s">
        <v>341</v>
      </c>
      <c r="AD39" s="160" t="s">
        <v>341</v>
      </c>
      <c r="AE39" s="160" t="s">
        <v>341</v>
      </c>
      <c r="AF39" s="160" t="s">
        <v>341</v>
      </c>
      <c r="AG39" s="160" t="s">
        <v>341</v>
      </c>
      <c r="AH39" s="160" t="s">
        <v>341</v>
      </c>
      <c r="AI39" s="160" t="s">
        <v>341</v>
      </c>
      <c r="AJ39" s="160" t="s">
        <v>341</v>
      </c>
      <c r="AK39" s="159" t="s">
        <v>311</v>
      </c>
      <c r="AL39" s="159" t="s">
        <v>62</v>
      </c>
    </row>
    <row r="40" spans="1:38" ht="30" customHeight="1">
      <c r="A40" s="137"/>
      <c r="B40" s="159" t="s">
        <v>212</v>
      </c>
      <c r="C40" s="160" t="s">
        <v>676</v>
      </c>
      <c r="D40" s="160" t="s">
        <v>1</v>
      </c>
      <c r="E40" s="160" t="s">
        <v>65</v>
      </c>
      <c r="F40" s="160" t="s">
        <v>518</v>
      </c>
      <c r="G40" s="163" t="s">
        <v>494</v>
      </c>
      <c r="H40" s="162" t="s">
        <v>346</v>
      </c>
      <c r="I40" s="160" t="s">
        <v>729</v>
      </c>
      <c r="J40" s="161" t="s">
        <v>491</v>
      </c>
      <c r="K40" s="165" t="s">
        <v>340</v>
      </c>
      <c r="L40" s="163"/>
      <c r="M40" s="163"/>
      <c r="N40" s="163" t="s">
        <v>740</v>
      </c>
      <c r="O40" s="161" t="s">
        <v>502</v>
      </c>
      <c r="P40" s="165" t="s">
        <v>503</v>
      </c>
      <c r="Q40" s="160"/>
      <c r="R40" s="160"/>
      <c r="S40" s="160" t="s">
        <v>871</v>
      </c>
      <c r="T40" s="161" t="s">
        <v>27</v>
      </c>
      <c r="U40" s="165" t="s">
        <v>451</v>
      </c>
      <c r="V40" s="164" t="s">
        <v>452</v>
      </c>
      <c r="W40" s="162" t="s">
        <v>450</v>
      </c>
      <c r="X40" s="160" t="s">
        <v>699</v>
      </c>
      <c r="Y40" s="160">
        <v>11</v>
      </c>
      <c r="Z40" s="164">
        <v>16</v>
      </c>
      <c r="AA40" s="160"/>
      <c r="AB40" s="159" t="s">
        <v>645</v>
      </c>
      <c r="AC40" s="160" t="s">
        <v>341</v>
      </c>
      <c r="AD40" s="160" t="s">
        <v>341</v>
      </c>
      <c r="AE40" s="160" t="s">
        <v>341</v>
      </c>
      <c r="AF40" s="160" t="s">
        <v>341</v>
      </c>
      <c r="AG40" s="160" t="s">
        <v>341</v>
      </c>
      <c r="AH40" s="160" t="s">
        <v>341</v>
      </c>
      <c r="AI40" s="160" t="s">
        <v>341</v>
      </c>
      <c r="AJ40" s="160" t="s">
        <v>341</v>
      </c>
      <c r="AK40" s="159" t="s">
        <v>300</v>
      </c>
      <c r="AL40" s="159" t="s">
        <v>460</v>
      </c>
    </row>
    <row r="41" spans="1:38" ht="30" customHeight="1">
      <c r="A41" s="137"/>
      <c r="B41" s="159" t="s">
        <v>212</v>
      </c>
      <c r="C41" s="160" t="s">
        <v>677</v>
      </c>
      <c r="D41" s="160" t="s">
        <v>12</v>
      </c>
      <c r="E41" s="160" t="s">
        <v>36</v>
      </c>
      <c r="F41" s="160" t="s">
        <v>518</v>
      </c>
      <c r="G41" s="161" t="s">
        <v>495</v>
      </c>
      <c r="H41" s="160" t="s">
        <v>496</v>
      </c>
      <c r="I41" s="160" t="s">
        <v>729</v>
      </c>
      <c r="J41" s="161" t="s">
        <v>338</v>
      </c>
      <c r="K41" s="162" t="s">
        <v>339</v>
      </c>
      <c r="L41" s="160"/>
      <c r="M41" s="160"/>
      <c r="N41" s="163"/>
      <c r="O41" s="163"/>
      <c r="P41" s="163"/>
      <c r="Q41" s="160"/>
      <c r="R41" s="160"/>
      <c r="S41" s="160"/>
      <c r="T41" s="160"/>
      <c r="U41" s="160"/>
      <c r="V41" s="160"/>
      <c r="W41" s="160"/>
      <c r="X41" s="160" t="s">
        <v>697</v>
      </c>
      <c r="Y41" s="160">
        <v>11</v>
      </c>
      <c r="Z41" s="162">
        <v>16</v>
      </c>
      <c r="AA41" s="160"/>
      <c r="AB41" s="159" t="s">
        <v>646</v>
      </c>
      <c r="AC41" s="160" t="s">
        <v>341</v>
      </c>
      <c r="AD41" s="160" t="s">
        <v>341</v>
      </c>
      <c r="AE41" s="160" t="s">
        <v>341</v>
      </c>
      <c r="AF41" s="160" t="s">
        <v>341</v>
      </c>
      <c r="AG41" s="160" t="s">
        <v>341</v>
      </c>
      <c r="AH41" s="160" t="s">
        <v>341</v>
      </c>
      <c r="AI41" s="160" t="s">
        <v>341</v>
      </c>
      <c r="AJ41" s="160" t="s">
        <v>341</v>
      </c>
      <c r="AK41" s="159" t="s">
        <v>302</v>
      </c>
      <c r="AL41" s="159" t="s">
        <v>58</v>
      </c>
    </row>
    <row r="42" spans="1:38" ht="30" customHeight="1">
      <c r="A42" s="137"/>
      <c r="B42" s="159" t="s">
        <v>212</v>
      </c>
      <c r="C42" s="160" t="s">
        <v>678</v>
      </c>
      <c r="D42" s="160" t="s">
        <v>12</v>
      </c>
      <c r="E42" s="160" t="s">
        <v>36</v>
      </c>
      <c r="F42" s="160" t="s">
        <v>518</v>
      </c>
      <c r="G42" s="161" t="s">
        <v>497</v>
      </c>
      <c r="H42" s="160" t="s">
        <v>498</v>
      </c>
      <c r="I42" s="160" t="s">
        <v>729</v>
      </c>
      <c r="J42" s="161" t="s">
        <v>344</v>
      </c>
      <c r="K42" s="162" t="s">
        <v>345</v>
      </c>
      <c r="L42" s="160"/>
      <c r="M42" s="160"/>
      <c r="N42" s="163"/>
      <c r="O42" s="163"/>
      <c r="P42" s="163"/>
      <c r="Q42" s="160"/>
      <c r="R42" s="160"/>
      <c r="S42" s="160"/>
      <c r="T42" s="160"/>
      <c r="U42" s="160"/>
      <c r="V42" s="160"/>
      <c r="W42" s="160"/>
      <c r="X42" s="160" t="s">
        <v>697</v>
      </c>
      <c r="Y42" s="160">
        <v>12</v>
      </c>
      <c r="Z42" s="162">
        <v>26</v>
      </c>
      <c r="AA42" s="160"/>
      <c r="AB42" s="159" t="s">
        <v>647</v>
      </c>
      <c r="AC42" s="160" t="s">
        <v>341</v>
      </c>
      <c r="AD42" s="160" t="s">
        <v>341</v>
      </c>
      <c r="AE42" s="160" t="s">
        <v>341</v>
      </c>
      <c r="AF42" s="160" t="s">
        <v>341</v>
      </c>
      <c r="AG42" s="160" t="s">
        <v>341</v>
      </c>
      <c r="AH42" s="160" t="s">
        <v>341</v>
      </c>
      <c r="AI42" s="160" t="s">
        <v>341</v>
      </c>
      <c r="AJ42" s="160" t="s">
        <v>341</v>
      </c>
      <c r="AK42" s="159" t="s">
        <v>301</v>
      </c>
      <c r="AL42" s="159" t="s">
        <v>62</v>
      </c>
    </row>
    <row r="43" spans="1:38" ht="30" customHeight="1">
      <c r="A43" s="137"/>
      <c r="B43" s="159" t="s">
        <v>213</v>
      </c>
      <c r="C43" s="160" t="s">
        <v>680</v>
      </c>
      <c r="D43" s="160" t="s">
        <v>15</v>
      </c>
      <c r="E43" s="160" t="s">
        <v>442</v>
      </c>
      <c r="F43" s="160" t="s">
        <v>518</v>
      </c>
      <c r="G43" s="163"/>
      <c r="H43" s="163"/>
      <c r="I43" s="160" t="s">
        <v>730</v>
      </c>
      <c r="J43" s="161" t="s">
        <v>491</v>
      </c>
      <c r="K43" s="165" t="s">
        <v>340</v>
      </c>
      <c r="L43" s="160"/>
      <c r="M43" s="160"/>
      <c r="N43" s="160"/>
      <c r="O43" s="160"/>
      <c r="P43" s="160"/>
      <c r="Q43" s="160" t="s">
        <v>879</v>
      </c>
      <c r="R43" s="166" t="s">
        <v>500</v>
      </c>
      <c r="S43" s="160"/>
      <c r="T43" s="160"/>
      <c r="U43" s="160"/>
      <c r="V43" s="160"/>
      <c r="W43" s="160"/>
      <c r="X43" s="160" t="s">
        <v>705</v>
      </c>
      <c r="Y43" s="160">
        <v>2</v>
      </c>
      <c r="Z43" s="161" t="s">
        <v>506</v>
      </c>
      <c r="AA43" s="162" t="s">
        <v>501</v>
      </c>
      <c r="AB43" s="159" t="s">
        <v>641</v>
      </c>
      <c r="AC43" s="160" t="s">
        <v>343</v>
      </c>
      <c r="AD43" s="160" t="s">
        <v>471</v>
      </c>
      <c r="AE43" s="160" t="s">
        <v>487</v>
      </c>
      <c r="AF43" s="160"/>
      <c r="AG43" s="160"/>
      <c r="AH43" s="160"/>
      <c r="AI43" s="160"/>
      <c r="AJ43" s="160"/>
      <c r="AK43" s="159" t="s">
        <v>298</v>
      </c>
      <c r="AL43" s="159"/>
    </row>
    <row r="44" spans="1:38" ht="30" customHeight="1">
      <c r="A44" s="137"/>
      <c r="B44" s="159" t="s">
        <v>213</v>
      </c>
      <c r="C44" s="160" t="s">
        <v>681</v>
      </c>
      <c r="D44" s="160" t="s">
        <v>13</v>
      </c>
      <c r="E44" s="160" t="s">
        <v>442</v>
      </c>
      <c r="F44" s="160" t="s">
        <v>518</v>
      </c>
      <c r="G44" s="161" t="s">
        <v>502</v>
      </c>
      <c r="H44" s="162" t="s">
        <v>503</v>
      </c>
      <c r="I44" s="160" t="s">
        <v>730</v>
      </c>
      <c r="J44" s="161" t="s">
        <v>338</v>
      </c>
      <c r="K44" s="165" t="s">
        <v>339</v>
      </c>
      <c r="L44" s="160"/>
      <c r="M44" s="160"/>
      <c r="N44" s="163"/>
      <c r="O44" s="163"/>
      <c r="P44" s="163"/>
      <c r="Q44" s="160" t="s">
        <v>880</v>
      </c>
      <c r="R44" s="166" t="s">
        <v>500</v>
      </c>
      <c r="S44" s="160"/>
      <c r="T44" s="160"/>
      <c r="U44" s="160"/>
      <c r="V44" s="160"/>
      <c r="W44" s="160"/>
      <c r="X44" s="160" t="s">
        <v>703</v>
      </c>
      <c r="Y44" s="160" t="s">
        <v>338</v>
      </c>
      <c r="Z44" s="167">
        <v>13</v>
      </c>
      <c r="AA44" s="168">
        <v>23</v>
      </c>
      <c r="AB44" s="159" t="s">
        <v>642</v>
      </c>
      <c r="AC44" s="160">
        <v>0</v>
      </c>
      <c r="AD44" s="160">
        <v>100</v>
      </c>
      <c r="AE44" s="160" t="s">
        <v>487</v>
      </c>
      <c r="AF44" s="160"/>
      <c r="AG44" s="160"/>
      <c r="AH44" s="160"/>
      <c r="AI44" s="160" t="s">
        <v>346</v>
      </c>
      <c r="AJ44" s="160" t="s">
        <v>475</v>
      </c>
      <c r="AK44" s="159" t="s">
        <v>297</v>
      </c>
      <c r="AL44" s="159"/>
    </row>
    <row r="45" spans="1:38" ht="30" customHeight="1">
      <c r="A45" s="137"/>
      <c r="B45" s="159" t="s">
        <v>213</v>
      </c>
      <c r="C45" s="160" t="s">
        <v>682</v>
      </c>
      <c r="D45" s="160" t="s">
        <v>13</v>
      </c>
      <c r="E45" s="160" t="s">
        <v>442</v>
      </c>
      <c r="F45" s="160" t="s">
        <v>518</v>
      </c>
      <c r="G45" s="161" t="s">
        <v>504</v>
      </c>
      <c r="H45" s="162" t="s">
        <v>473</v>
      </c>
      <c r="I45" s="160" t="s">
        <v>730</v>
      </c>
      <c r="J45" s="161" t="s">
        <v>344</v>
      </c>
      <c r="K45" s="165" t="s">
        <v>345</v>
      </c>
      <c r="L45" s="160"/>
      <c r="M45" s="160"/>
      <c r="N45" s="163"/>
      <c r="O45" s="163"/>
      <c r="P45" s="163"/>
      <c r="Q45" s="160" t="s">
        <v>911</v>
      </c>
      <c r="R45" s="166" t="s">
        <v>500</v>
      </c>
      <c r="S45" s="160"/>
      <c r="T45" s="160"/>
      <c r="U45" s="160"/>
      <c r="V45" s="160"/>
      <c r="W45" s="160"/>
      <c r="X45" s="160" t="s">
        <v>913</v>
      </c>
      <c r="Y45" s="160">
        <v>2</v>
      </c>
      <c r="Z45" s="167">
        <v>12</v>
      </c>
      <c r="AA45" s="168">
        <v>22</v>
      </c>
      <c r="AB45" s="159" t="s">
        <v>912</v>
      </c>
      <c r="AC45" s="160" t="s">
        <v>343</v>
      </c>
      <c r="AD45" s="160" t="s">
        <v>471</v>
      </c>
      <c r="AE45" s="160" t="s">
        <v>472</v>
      </c>
      <c r="AF45" s="160"/>
      <c r="AG45" s="160" t="s">
        <v>338</v>
      </c>
      <c r="AH45" s="160" t="s">
        <v>476</v>
      </c>
      <c r="AI45" s="160" t="s">
        <v>477</v>
      </c>
      <c r="AJ45" s="160" t="s">
        <v>475</v>
      </c>
      <c r="AK45" s="159" t="s">
        <v>292</v>
      </c>
      <c r="AL45" s="159"/>
    </row>
    <row r="46" spans="1:38" ht="30" customHeight="1">
      <c r="A46" s="152"/>
      <c r="B46" s="159" t="s">
        <v>907</v>
      </c>
      <c r="C46" s="160" t="s">
        <v>901</v>
      </c>
      <c r="D46" s="160" t="s">
        <v>1</v>
      </c>
      <c r="E46" s="160" t="s">
        <v>65</v>
      </c>
      <c r="F46" s="160" t="s">
        <v>518</v>
      </c>
      <c r="G46" s="163"/>
      <c r="H46" s="162"/>
      <c r="I46" s="160" t="s">
        <v>731</v>
      </c>
      <c r="J46" s="161" t="s">
        <v>491</v>
      </c>
      <c r="K46" s="165" t="s">
        <v>340</v>
      </c>
      <c r="L46" s="163"/>
      <c r="M46" s="163"/>
      <c r="N46" s="163" t="s">
        <v>740</v>
      </c>
      <c r="O46" s="161" t="s">
        <v>505</v>
      </c>
      <c r="P46" s="165" t="s">
        <v>506</v>
      </c>
      <c r="Q46" s="160"/>
      <c r="R46" s="160"/>
      <c r="S46" s="160" t="s">
        <v>908</v>
      </c>
      <c r="T46" s="161" t="s">
        <v>27</v>
      </c>
      <c r="U46" s="165" t="s">
        <v>451</v>
      </c>
      <c r="V46" s="164" t="s">
        <v>452</v>
      </c>
      <c r="W46" s="162" t="s">
        <v>450</v>
      </c>
      <c r="X46" s="160" t="s">
        <v>699</v>
      </c>
      <c r="Y46" s="160" t="s">
        <v>497</v>
      </c>
      <c r="Z46" s="164" t="s">
        <v>502</v>
      </c>
      <c r="AA46" s="160"/>
      <c r="AB46" s="159" t="s">
        <v>906</v>
      </c>
      <c r="AC46" s="160" t="s">
        <v>341</v>
      </c>
      <c r="AD46" s="160" t="s">
        <v>341</v>
      </c>
      <c r="AE46" s="160" t="s">
        <v>341</v>
      </c>
      <c r="AF46" s="160" t="s">
        <v>341</v>
      </c>
      <c r="AG46" s="160" t="s">
        <v>341</v>
      </c>
      <c r="AH46" s="160" t="s">
        <v>341</v>
      </c>
      <c r="AI46" s="160" t="s">
        <v>341</v>
      </c>
      <c r="AJ46" s="160" t="s">
        <v>341</v>
      </c>
      <c r="AK46" s="159" t="s">
        <v>300</v>
      </c>
      <c r="AL46" s="159" t="s">
        <v>460</v>
      </c>
    </row>
    <row r="47" spans="1:38" ht="30" customHeight="1">
      <c r="A47" s="152"/>
      <c r="B47" s="159" t="s">
        <v>907</v>
      </c>
      <c r="C47" s="160" t="s">
        <v>902</v>
      </c>
      <c r="D47" s="160" t="s">
        <v>12</v>
      </c>
      <c r="E47" s="160" t="s">
        <v>36</v>
      </c>
      <c r="F47" s="160" t="s">
        <v>518</v>
      </c>
      <c r="G47" s="161"/>
      <c r="H47" s="160"/>
      <c r="I47" s="160" t="s">
        <v>731</v>
      </c>
      <c r="J47" s="161" t="s">
        <v>338</v>
      </c>
      <c r="K47" s="162" t="s">
        <v>339</v>
      </c>
      <c r="L47" s="160"/>
      <c r="M47" s="160"/>
      <c r="N47" s="163"/>
      <c r="O47" s="163"/>
      <c r="P47" s="163"/>
      <c r="Q47" s="160"/>
      <c r="R47" s="160"/>
      <c r="S47" s="160"/>
      <c r="T47" s="160"/>
      <c r="U47" s="160"/>
      <c r="V47" s="160"/>
      <c r="W47" s="160"/>
      <c r="X47" s="160" t="s">
        <v>697</v>
      </c>
      <c r="Y47" s="160" t="s">
        <v>498</v>
      </c>
      <c r="Z47" s="162" t="s">
        <v>509</v>
      </c>
      <c r="AA47" s="160"/>
      <c r="AB47" s="159" t="s">
        <v>905</v>
      </c>
      <c r="AC47" s="160" t="s">
        <v>341</v>
      </c>
      <c r="AD47" s="160" t="s">
        <v>341</v>
      </c>
      <c r="AE47" s="160" t="s">
        <v>341</v>
      </c>
      <c r="AF47" s="160" t="s">
        <v>341</v>
      </c>
      <c r="AG47" s="160" t="s">
        <v>341</v>
      </c>
      <c r="AH47" s="160" t="s">
        <v>341</v>
      </c>
      <c r="AI47" s="160" t="s">
        <v>341</v>
      </c>
      <c r="AJ47" s="160" t="s">
        <v>341</v>
      </c>
      <c r="AK47" s="159" t="s">
        <v>302</v>
      </c>
      <c r="AL47" s="159" t="s">
        <v>58</v>
      </c>
    </row>
    <row r="48" spans="1:38" ht="30" customHeight="1">
      <c r="A48" s="152"/>
      <c r="B48" s="159" t="s">
        <v>907</v>
      </c>
      <c r="C48" s="160" t="s">
        <v>903</v>
      </c>
      <c r="D48" s="160" t="s">
        <v>12</v>
      </c>
      <c r="E48" s="160" t="s">
        <v>36</v>
      </c>
      <c r="F48" s="160" t="s">
        <v>518</v>
      </c>
      <c r="G48" s="161"/>
      <c r="H48" s="160"/>
      <c r="I48" s="160" t="s">
        <v>731</v>
      </c>
      <c r="J48" s="161" t="s">
        <v>344</v>
      </c>
      <c r="K48" s="162" t="s">
        <v>345</v>
      </c>
      <c r="L48" s="160"/>
      <c r="M48" s="160"/>
      <c r="N48" s="163"/>
      <c r="O48" s="163"/>
      <c r="P48" s="163"/>
      <c r="Q48" s="160"/>
      <c r="R48" s="160"/>
      <c r="S48" s="160"/>
      <c r="T48" s="160"/>
      <c r="U48" s="160"/>
      <c r="V48" s="160"/>
      <c r="W48" s="160"/>
      <c r="X48" s="160" t="s">
        <v>697</v>
      </c>
      <c r="Y48" s="160" t="s">
        <v>499</v>
      </c>
      <c r="Z48" s="162" t="s">
        <v>503</v>
      </c>
      <c r="AA48" s="160"/>
      <c r="AB48" s="159" t="s">
        <v>909</v>
      </c>
      <c r="AC48" s="160" t="s">
        <v>341</v>
      </c>
      <c r="AD48" s="160" t="s">
        <v>341</v>
      </c>
      <c r="AE48" s="160" t="s">
        <v>341</v>
      </c>
      <c r="AF48" s="160" t="s">
        <v>341</v>
      </c>
      <c r="AG48" s="160" t="s">
        <v>341</v>
      </c>
      <c r="AH48" s="160" t="s">
        <v>341</v>
      </c>
      <c r="AI48" s="160" t="s">
        <v>341</v>
      </c>
      <c r="AJ48" s="160" t="s">
        <v>341</v>
      </c>
      <c r="AK48" s="159" t="s">
        <v>301</v>
      </c>
      <c r="AL48" s="159" t="s">
        <v>62</v>
      </c>
    </row>
    <row r="49" spans="1:38" ht="30" customHeight="1">
      <c r="A49" s="137"/>
      <c r="B49" s="159" t="s">
        <v>461</v>
      </c>
      <c r="C49" s="160" t="s">
        <v>683</v>
      </c>
      <c r="D49" s="160" t="s">
        <v>1</v>
      </c>
      <c r="E49" s="160" t="s">
        <v>27</v>
      </c>
      <c r="F49" s="160" t="s">
        <v>520</v>
      </c>
      <c r="G49" s="163" t="s">
        <v>491</v>
      </c>
      <c r="H49" s="162" t="s">
        <v>340</v>
      </c>
      <c r="I49" s="160" t="s">
        <v>732</v>
      </c>
      <c r="J49" s="161" t="s">
        <v>491</v>
      </c>
      <c r="K49" s="165" t="s">
        <v>340</v>
      </c>
      <c r="L49" s="163"/>
      <c r="M49" s="163"/>
      <c r="N49" s="163" t="s">
        <v>740</v>
      </c>
      <c r="O49" s="161" t="s">
        <v>504</v>
      </c>
      <c r="P49" s="165" t="s">
        <v>473</v>
      </c>
      <c r="Q49" s="160"/>
      <c r="R49" s="160"/>
      <c r="S49" s="160" t="s">
        <v>869</v>
      </c>
      <c r="T49" s="161" t="s">
        <v>27</v>
      </c>
      <c r="U49" s="165" t="s">
        <v>451</v>
      </c>
      <c r="V49" s="164" t="s">
        <v>452</v>
      </c>
      <c r="W49" s="162" t="s">
        <v>450</v>
      </c>
      <c r="X49" s="160" t="s">
        <v>699</v>
      </c>
      <c r="Y49" s="160">
        <v>12</v>
      </c>
      <c r="Z49" s="164">
        <v>26</v>
      </c>
      <c r="AA49" s="160"/>
      <c r="AB49" s="159" t="s">
        <v>651</v>
      </c>
      <c r="AC49" s="160" t="s">
        <v>341</v>
      </c>
      <c r="AD49" s="160" t="s">
        <v>341</v>
      </c>
      <c r="AE49" s="160" t="s">
        <v>341</v>
      </c>
      <c r="AF49" s="160" t="s">
        <v>341</v>
      </c>
      <c r="AG49" s="160" t="s">
        <v>341</v>
      </c>
      <c r="AH49" s="160" t="s">
        <v>341</v>
      </c>
      <c r="AI49" s="160" t="s">
        <v>341</v>
      </c>
      <c r="AJ49" s="160" t="s">
        <v>341</v>
      </c>
      <c r="AK49" s="159" t="s">
        <v>66</v>
      </c>
      <c r="AL49" s="159" t="s">
        <v>58</v>
      </c>
    </row>
    <row r="50" spans="1:38" ht="30" customHeight="1">
      <c r="A50" s="137"/>
      <c r="B50" s="159" t="s">
        <v>461</v>
      </c>
      <c r="C50" s="160" t="s">
        <v>998</v>
      </c>
      <c r="D50" s="160" t="s">
        <v>13</v>
      </c>
      <c r="E50" s="160" t="s">
        <v>442</v>
      </c>
      <c r="F50" s="160" t="s">
        <v>520</v>
      </c>
      <c r="G50" s="161" t="s">
        <v>338</v>
      </c>
      <c r="H50" s="162" t="s">
        <v>339</v>
      </c>
      <c r="I50" s="160" t="s">
        <v>732</v>
      </c>
      <c r="J50" s="161" t="s">
        <v>338</v>
      </c>
      <c r="K50" s="165" t="s">
        <v>339</v>
      </c>
      <c r="L50" s="160"/>
      <c r="M50" s="160"/>
      <c r="N50" s="163"/>
      <c r="O50" s="163"/>
      <c r="P50" s="163"/>
      <c r="Q50" s="160" t="s">
        <v>881</v>
      </c>
      <c r="R50" s="166" t="s">
        <v>500</v>
      </c>
      <c r="S50" s="160"/>
      <c r="T50" s="160"/>
      <c r="U50" s="160"/>
      <c r="V50" s="160"/>
      <c r="W50" s="160"/>
      <c r="X50" s="160" t="s">
        <v>701</v>
      </c>
      <c r="Y50" s="160" t="s">
        <v>345</v>
      </c>
      <c r="Z50" s="167">
        <v>16</v>
      </c>
      <c r="AA50" s="168">
        <v>26</v>
      </c>
      <c r="AB50" s="159" t="s">
        <v>900</v>
      </c>
      <c r="AC50" s="160">
        <v>0</v>
      </c>
      <c r="AD50" s="160">
        <v>16</v>
      </c>
      <c r="AE50" s="160" t="s">
        <v>351</v>
      </c>
      <c r="AF50" s="160">
        <v>3.5</v>
      </c>
      <c r="AG50" s="160">
        <v>4</v>
      </c>
      <c r="AH50" s="160">
        <v>7.5</v>
      </c>
      <c r="AI50" s="160">
        <v>8</v>
      </c>
      <c r="AJ50" s="160">
        <v>5</v>
      </c>
      <c r="AK50" s="159" t="s">
        <v>290</v>
      </c>
      <c r="AL50" s="159"/>
    </row>
    <row r="51" spans="1:38" ht="30" customHeight="1">
      <c r="A51" s="137"/>
      <c r="B51" s="159" t="s">
        <v>955</v>
      </c>
      <c r="C51" s="160" t="s">
        <v>686</v>
      </c>
      <c r="D51" s="160" t="s">
        <v>13</v>
      </c>
      <c r="E51" s="160" t="s">
        <v>442</v>
      </c>
      <c r="F51" s="160" t="s">
        <v>520</v>
      </c>
      <c r="G51" s="161" t="s">
        <v>344</v>
      </c>
      <c r="H51" s="162" t="s">
        <v>345</v>
      </c>
      <c r="I51" s="160" t="s">
        <v>904</v>
      </c>
      <c r="J51" s="161" t="s">
        <v>491</v>
      </c>
      <c r="K51" s="165" t="s">
        <v>340</v>
      </c>
      <c r="L51" s="160"/>
      <c r="M51" s="160"/>
      <c r="N51" s="163"/>
      <c r="O51" s="163"/>
      <c r="P51" s="163"/>
      <c r="Q51" s="160" t="s">
        <v>882</v>
      </c>
      <c r="R51" s="166" t="s">
        <v>500</v>
      </c>
      <c r="S51" s="160"/>
      <c r="T51" s="160"/>
      <c r="U51" s="160"/>
      <c r="V51" s="160"/>
      <c r="W51" s="160"/>
      <c r="X51" s="160" t="s">
        <v>701</v>
      </c>
      <c r="Y51" s="160" t="s">
        <v>491</v>
      </c>
      <c r="Z51" s="167">
        <v>11</v>
      </c>
      <c r="AA51" s="168">
        <v>21</v>
      </c>
      <c r="AB51" s="159" t="s">
        <v>954</v>
      </c>
      <c r="AC51" s="160" t="s">
        <v>343</v>
      </c>
      <c r="AD51" s="160" t="s">
        <v>478</v>
      </c>
      <c r="AE51" s="160" t="s">
        <v>479</v>
      </c>
      <c r="AF51" s="160"/>
      <c r="AG51" s="160"/>
      <c r="AH51" s="160"/>
      <c r="AI51" s="160"/>
      <c r="AJ51" s="160"/>
      <c r="AK51" s="159" t="s">
        <v>293</v>
      </c>
      <c r="AL51" s="159"/>
    </row>
    <row r="52" spans="1:38" ht="30" customHeight="1">
      <c r="A52" s="137"/>
      <c r="B52" s="159" t="s">
        <v>956</v>
      </c>
      <c r="C52" s="160" t="s">
        <v>689</v>
      </c>
      <c r="D52" s="160" t="s">
        <v>13</v>
      </c>
      <c r="E52" s="160" t="s">
        <v>442</v>
      </c>
      <c r="F52" s="160" t="s">
        <v>520</v>
      </c>
      <c r="G52" s="161" t="s">
        <v>492</v>
      </c>
      <c r="H52" s="162" t="s">
        <v>493</v>
      </c>
      <c r="I52" s="160" t="s">
        <v>904</v>
      </c>
      <c r="J52" s="161" t="s">
        <v>338</v>
      </c>
      <c r="K52" s="165" t="s">
        <v>339</v>
      </c>
      <c r="L52" s="160"/>
      <c r="M52" s="160"/>
      <c r="N52" s="163"/>
      <c r="O52" s="163"/>
      <c r="P52" s="163"/>
      <c r="Q52" s="160" t="s">
        <v>883</v>
      </c>
      <c r="R52" s="166" t="s">
        <v>500</v>
      </c>
      <c r="S52" s="160"/>
      <c r="T52" s="160"/>
      <c r="U52" s="160"/>
      <c r="V52" s="160"/>
      <c r="W52" s="160"/>
      <c r="X52" s="160" t="s">
        <v>701</v>
      </c>
      <c r="Y52" s="160" t="s">
        <v>340</v>
      </c>
      <c r="Z52" s="167">
        <v>12</v>
      </c>
      <c r="AA52" s="168">
        <v>22</v>
      </c>
      <c r="AB52" s="159" t="s">
        <v>694</v>
      </c>
      <c r="AC52" s="160" t="s">
        <v>343</v>
      </c>
      <c r="AD52" s="160" t="s">
        <v>480</v>
      </c>
      <c r="AE52" s="160" t="s">
        <v>479</v>
      </c>
      <c r="AF52" s="160" t="s">
        <v>481</v>
      </c>
      <c r="AG52" s="160" t="s">
        <v>482</v>
      </c>
      <c r="AH52" s="160" t="s">
        <v>483</v>
      </c>
      <c r="AI52" s="160" t="s">
        <v>484</v>
      </c>
      <c r="AJ52" s="160" t="s">
        <v>475</v>
      </c>
      <c r="AK52" s="159" t="s">
        <v>294</v>
      </c>
      <c r="AL52" s="159"/>
    </row>
    <row r="53" spans="1:38" ht="30" customHeight="1">
      <c r="A53" s="137"/>
      <c r="B53" s="159" t="s">
        <v>956</v>
      </c>
      <c r="C53" s="160" t="s">
        <v>690</v>
      </c>
      <c r="D53" s="160" t="s">
        <v>13</v>
      </c>
      <c r="E53" s="160" t="s">
        <v>442</v>
      </c>
      <c r="F53" s="160" t="s">
        <v>520</v>
      </c>
      <c r="G53" s="161" t="s">
        <v>494</v>
      </c>
      <c r="H53" s="162" t="s">
        <v>346</v>
      </c>
      <c r="I53" s="160" t="s">
        <v>904</v>
      </c>
      <c r="J53" s="161" t="s">
        <v>344</v>
      </c>
      <c r="K53" s="165" t="s">
        <v>345</v>
      </c>
      <c r="L53" s="160"/>
      <c r="M53" s="160"/>
      <c r="N53" s="163"/>
      <c r="O53" s="163"/>
      <c r="P53" s="163"/>
      <c r="Q53" s="160" t="s">
        <v>884</v>
      </c>
      <c r="R53" s="166" t="s">
        <v>500</v>
      </c>
      <c r="S53" s="160"/>
      <c r="T53" s="160"/>
      <c r="U53" s="160"/>
      <c r="V53" s="160"/>
      <c r="W53" s="160"/>
      <c r="X53" s="160" t="s">
        <v>701</v>
      </c>
      <c r="Y53" s="160" t="s">
        <v>338</v>
      </c>
      <c r="Z53" s="167">
        <v>13</v>
      </c>
      <c r="AA53" s="168">
        <v>23</v>
      </c>
      <c r="AB53" s="159" t="s">
        <v>695</v>
      </c>
      <c r="AC53" s="160" t="s">
        <v>343</v>
      </c>
      <c r="AD53" s="160" t="s">
        <v>480</v>
      </c>
      <c r="AE53" s="160" t="s">
        <v>479</v>
      </c>
      <c r="AF53" s="160" t="s">
        <v>481</v>
      </c>
      <c r="AG53" s="160" t="s">
        <v>482</v>
      </c>
      <c r="AH53" s="160" t="s">
        <v>484</v>
      </c>
      <c r="AI53" s="160" t="s">
        <v>485</v>
      </c>
      <c r="AJ53" s="160" t="s">
        <v>475</v>
      </c>
      <c r="AK53" s="159" t="s">
        <v>295</v>
      </c>
      <c r="AL53" s="159"/>
    </row>
    <row r="54" spans="1:38" ht="30" customHeight="1">
      <c r="A54" s="137"/>
      <c r="B54" s="159" t="s">
        <v>956</v>
      </c>
      <c r="C54" s="160" t="s">
        <v>691</v>
      </c>
      <c r="D54" s="160" t="s">
        <v>13</v>
      </c>
      <c r="E54" s="160" t="s">
        <v>442</v>
      </c>
      <c r="F54" s="160" t="s">
        <v>520</v>
      </c>
      <c r="G54" s="161" t="s">
        <v>495</v>
      </c>
      <c r="H54" s="162" t="s">
        <v>496</v>
      </c>
      <c r="I54" s="160" t="s">
        <v>904</v>
      </c>
      <c r="J54" s="161" t="s">
        <v>492</v>
      </c>
      <c r="K54" s="165" t="s">
        <v>493</v>
      </c>
      <c r="L54" s="160"/>
      <c r="M54" s="160"/>
      <c r="N54" s="163"/>
      <c r="O54" s="163"/>
      <c r="P54" s="163"/>
      <c r="Q54" s="160" t="s">
        <v>885</v>
      </c>
      <c r="R54" s="166" t="s">
        <v>500</v>
      </c>
      <c r="S54" s="160"/>
      <c r="T54" s="160"/>
      <c r="U54" s="160"/>
      <c r="V54" s="160"/>
      <c r="W54" s="160"/>
      <c r="X54" s="160" t="s">
        <v>701</v>
      </c>
      <c r="Y54" s="160" t="s">
        <v>339</v>
      </c>
      <c r="Z54" s="167">
        <v>14</v>
      </c>
      <c r="AA54" s="168">
        <v>24</v>
      </c>
      <c r="AB54" s="159" t="s">
        <v>693</v>
      </c>
      <c r="AC54" s="160" t="s">
        <v>343</v>
      </c>
      <c r="AD54" s="160" t="s">
        <v>480</v>
      </c>
      <c r="AE54" s="160" t="s">
        <v>479</v>
      </c>
      <c r="AF54" s="160" t="s">
        <v>481</v>
      </c>
      <c r="AG54" s="160" t="s">
        <v>482</v>
      </c>
      <c r="AH54" s="160" t="s">
        <v>486</v>
      </c>
      <c r="AI54" s="160" t="s">
        <v>478</v>
      </c>
      <c r="AJ54" s="160" t="s">
        <v>475</v>
      </c>
      <c r="AK54" s="159" t="s">
        <v>296</v>
      </c>
      <c r="AL54" s="159"/>
    </row>
    <row r="55" spans="1:38" ht="30" customHeight="1">
      <c r="A55" s="137"/>
      <c r="B55" s="159" t="s">
        <v>956</v>
      </c>
      <c r="C55" s="160" t="s">
        <v>688</v>
      </c>
      <c r="D55" s="160" t="s">
        <v>13</v>
      </c>
      <c r="E55" s="160" t="s">
        <v>442</v>
      </c>
      <c r="F55" s="160" t="s">
        <v>520</v>
      </c>
      <c r="G55" s="161" t="s">
        <v>497</v>
      </c>
      <c r="H55" s="162" t="s">
        <v>498</v>
      </c>
      <c r="I55" s="160" t="s">
        <v>904</v>
      </c>
      <c r="J55" s="161" t="s">
        <v>494</v>
      </c>
      <c r="K55" s="165" t="s">
        <v>346</v>
      </c>
      <c r="L55" s="160"/>
      <c r="M55" s="160"/>
      <c r="N55" s="163"/>
      <c r="O55" s="163"/>
      <c r="P55" s="163"/>
      <c r="Q55" s="160" t="s">
        <v>886</v>
      </c>
      <c r="R55" s="166" t="s">
        <v>500</v>
      </c>
      <c r="S55" s="160"/>
      <c r="T55" s="160"/>
      <c r="U55" s="160"/>
      <c r="V55" s="160"/>
      <c r="W55" s="160"/>
      <c r="X55" s="160" t="s">
        <v>701</v>
      </c>
      <c r="Y55" s="160" t="s">
        <v>344</v>
      </c>
      <c r="Z55" s="167">
        <v>15</v>
      </c>
      <c r="AA55" s="168">
        <v>25</v>
      </c>
      <c r="AB55" s="159" t="s">
        <v>899</v>
      </c>
      <c r="AC55" s="160" t="s">
        <v>343</v>
      </c>
      <c r="AD55" s="160" t="s">
        <v>471</v>
      </c>
      <c r="AE55" s="160" t="s">
        <v>472</v>
      </c>
      <c r="AF55" s="160"/>
      <c r="AG55" s="160" t="s">
        <v>473</v>
      </c>
      <c r="AH55" s="160" t="s">
        <v>473</v>
      </c>
      <c r="AI55" s="160" t="s">
        <v>474</v>
      </c>
      <c r="AJ55" s="160" t="s">
        <v>475</v>
      </c>
      <c r="AK55" s="159" t="s">
        <v>291</v>
      </c>
      <c r="AL55" s="159"/>
    </row>
    <row r="56" spans="1:38" ht="30" customHeight="1">
      <c r="A56" s="152"/>
      <c r="B56" s="159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59"/>
      <c r="AC56" s="160"/>
      <c r="AD56" s="160"/>
      <c r="AE56" s="160"/>
      <c r="AF56" s="160"/>
      <c r="AG56" s="160"/>
      <c r="AH56" s="160"/>
      <c r="AI56" s="160"/>
      <c r="AJ56" s="160"/>
      <c r="AK56" s="159"/>
      <c r="AL56" s="159"/>
    </row>
    <row r="57" spans="1:38" ht="30" customHeight="1">
      <c r="A57" s="152"/>
      <c r="B57" s="159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59"/>
      <c r="AC57" s="160"/>
      <c r="AD57" s="160"/>
      <c r="AE57" s="160"/>
      <c r="AF57" s="160"/>
      <c r="AG57" s="160"/>
      <c r="AH57" s="160"/>
      <c r="AI57" s="160"/>
      <c r="AJ57" s="160"/>
      <c r="AK57" s="159"/>
      <c r="AL57" s="159"/>
    </row>
    <row r="58" spans="1:38"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</row>
    <row r="59" spans="1:38"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</row>
    <row r="60" spans="1:38">
      <c r="F60" s="140"/>
      <c r="G60" s="139"/>
      <c r="H60" s="139"/>
      <c r="I60" s="139"/>
      <c r="J60" s="139"/>
      <c r="K60" s="139"/>
      <c r="L60" s="139"/>
      <c r="M60" s="139"/>
      <c r="N60" s="140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</row>
    <row r="61" spans="1:38">
      <c r="F61" s="140"/>
      <c r="G61" s="139"/>
      <c r="H61" s="139"/>
      <c r="I61" s="139"/>
      <c r="J61" s="139"/>
      <c r="K61" s="139"/>
      <c r="L61" s="139"/>
      <c r="M61" s="139"/>
      <c r="N61" s="140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</row>
    <row r="62" spans="1:38">
      <c r="F62" s="140"/>
      <c r="G62" s="139"/>
      <c r="H62" s="139"/>
      <c r="I62" s="139"/>
      <c r="J62" s="139"/>
      <c r="K62" s="139"/>
      <c r="L62" s="139"/>
      <c r="M62" s="139"/>
      <c r="N62" s="140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</row>
    <row r="63" spans="1:38">
      <c r="F63" s="140"/>
      <c r="G63" s="139"/>
      <c r="H63" s="139"/>
      <c r="I63" s="139"/>
      <c r="J63" s="139"/>
      <c r="K63" s="139"/>
      <c r="L63" s="139"/>
      <c r="M63" s="139"/>
      <c r="N63" s="140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</row>
    <row r="64" spans="1:38">
      <c r="F64" s="140"/>
      <c r="G64" s="139"/>
      <c r="H64" s="139"/>
      <c r="I64" s="139"/>
      <c r="J64" s="139"/>
      <c r="K64" s="139"/>
      <c r="L64" s="139"/>
      <c r="M64" s="139"/>
      <c r="N64" s="140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</row>
    <row r="65" spans="6:27"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</row>
    <row r="66" spans="6:27"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</row>
    <row r="67" spans="6:27">
      <c r="F67" s="139"/>
      <c r="G67" s="139"/>
      <c r="H67" s="139"/>
      <c r="N67" s="139"/>
      <c r="O67" s="139"/>
      <c r="P67" s="139"/>
    </row>
    <row r="68" spans="6:27">
      <c r="F68" s="139"/>
      <c r="G68" s="139"/>
      <c r="H68" s="139"/>
      <c r="N68" s="139"/>
      <c r="O68" s="139"/>
      <c r="P68" s="139"/>
    </row>
    <row r="69" spans="6:27">
      <c r="F69" s="139"/>
      <c r="G69" s="139"/>
      <c r="H69" s="139"/>
      <c r="N69" s="139"/>
      <c r="O69" s="139"/>
      <c r="P69" s="139"/>
    </row>
    <row r="70" spans="6:27">
      <c r="F70" s="139"/>
      <c r="G70" s="139"/>
      <c r="H70" s="139"/>
      <c r="N70" s="139"/>
      <c r="O70" s="139"/>
      <c r="P70" s="139"/>
    </row>
    <row r="71" spans="6:27">
      <c r="F71" s="139"/>
      <c r="G71" s="139"/>
      <c r="H71" s="139"/>
      <c r="N71" s="139"/>
      <c r="O71" s="139"/>
      <c r="P71" s="139"/>
    </row>
    <row r="72" spans="6:27">
      <c r="F72" s="139"/>
      <c r="G72" s="139"/>
      <c r="H72" s="139"/>
      <c r="N72" s="139"/>
      <c r="O72" s="139"/>
      <c r="P72" s="139"/>
    </row>
    <row r="73" spans="6:27">
      <c r="F73" s="139"/>
      <c r="G73" s="139"/>
      <c r="H73" s="139"/>
      <c r="N73" s="139"/>
      <c r="O73" s="139"/>
      <c r="P73" s="139"/>
    </row>
    <row r="74" spans="6:27">
      <c r="F74" s="139"/>
      <c r="G74" s="139"/>
      <c r="H74" s="139"/>
      <c r="N74" s="139"/>
      <c r="O74" s="139"/>
      <c r="P74" s="139"/>
    </row>
    <row r="75" spans="6:27">
      <c r="F75" s="139"/>
      <c r="G75" s="139"/>
      <c r="H75" s="139"/>
      <c r="N75" s="139"/>
      <c r="O75" s="139"/>
      <c r="P75" s="139"/>
    </row>
  </sheetData>
  <autoFilter ref="A2:AL57" xr:uid="{00000000-0009-0000-0000-000007000000}"/>
  <mergeCells count="8">
    <mergeCell ref="AF1:AJ1"/>
    <mergeCell ref="D1:E1"/>
    <mergeCell ref="F1:H1"/>
    <mergeCell ref="I1:M1"/>
    <mergeCell ref="S1:W1"/>
    <mergeCell ref="X1:AA1"/>
    <mergeCell ref="AC1:AE1"/>
    <mergeCell ref="N1:P1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1:U40"/>
  <sheetViews>
    <sheetView zoomScaleNormal="100" workbookViewId="0"/>
  </sheetViews>
  <sheetFormatPr defaultRowHeight="17.399999999999999"/>
  <cols>
    <col min="3" max="9" width="11.09765625" customWidth="1"/>
    <col min="13" max="19" width="11.09765625" customWidth="1"/>
  </cols>
  <sheetData>
    <row r="1" spans="2:21" ht="18" thickBot="1"/>
    <row r="2" spans="2:21">
      <c r="B2" s="31"/>
      <c r="C2" s="32"/>
      <c r="D2" s="32"/>
      <c r="E2" s="32"/>
      <c r="F2" s="32"/>
      <c r="G2" s="32"/>
      <c r="H2" s="32"/>
      <c r="I2" s="32"/>
      <c r="J2" s="33"/>
      <c r="L2" s="31"/>
      <c r="M2" s="32"/>
      <c r="N2" s="32"/>
      <c r="O2" s="32"/>
      <c r="P2" s="32"/>
      <c r="Q2" s="32"/>
      <c r="R2" s="32"/>
      <c r="S2" s="32"/>
      <c r="T2" s="33"/>
    </row>
    <row r="3" spans="2:21" ht="21">
      <c r="B3" s="34"/>
      <c r="C3" s="53" t="s">
        <v>187</v>
      </c>
      <c r="D3" s="35"/>
      <c r="E3" s="35"/>
      <c r="F3" s="35"/>
      <c r="G3" s="35"/>
      <c r="H3" s="35"/>
      <c r="I3" s="35"/>
      <c r="J3" s="36"/>
      <c r="L3" s="34"/>
      <c r="M3" s="53" t="s">
        <v>188</v>
      </c>
      <c r="N3" s="35"/>
      <c r="O3" s="35"/>
      <c r="P3" s="35"/>
      <c r="Q3" s="35"/>
      <c r="R3" s="35"/>
      <c r="S3" s="35"/>
      <c r="T3" s="36"/>
    </row>
    <row r="4" spans="2:21">
      <c r="B4" s="34"/>
      <c r="C4" s="35"/>
      <c r="D4" s="35"/>
      <c r="E4" s="35"/>
      <c r="F4" s="35"/>
      <c r="G4" s="35"/>
      <c r="H4" s="35"/>
      <c r="I4" s="35"/>
      <c r="J4" s="36"/>
      <c r="L4" s="34"/>
      <c r="M4" s="35"/>
      <c r="N4" s="35"/>
      <c r="O4" s="35"/>
      <c r="P4" s="35"/>
      <c r="Q4" s="35"/>
      <c r="R4" s="35"/>
      <c r="S4" s="35"/>
      <c r="T4" s="36"/>
    </row>
    <row r="5" spans="2:21">
      <c r="B5" s="34"/>
      <c r="C5" s="37" t="s">
        <v>106</v>
      </c>
      <c r="D5" s="38" t="s">
        <v>107</v>
      </c>
      <c r="E5" s="38" t="s">
        <v>108</v>
      </c>
      <c r="F5" s="38"/>
      <c r="G5" s="38" t="s">
        <v>109</v>
      </c>
      <c r="H5" s="38" t="s">
        <v>110</v>
      </c>
      <c r="I5" s="38" t="s">
        <v>111</v>
      </c>
      <c r="J5" s="36"/>
      <c r="L5" s="34"/>
      <c r="M5" s="37" t="s">
        <v>106</v>
      </c>
      <c r="N5" s="38" t="s">
        <v>107</v>
      </c>
      <c r="O5" s="38" t="s">
        <v>108</v>
      </c>
      <c r="P5" s="38" t="s">
        <v>109</v>
      </c>
      <c r="Q5" s="38" t="s">
        <v>110</v>
      </c>
      <c r="R5" s="38"/>
      <c r="S5" s="38" t="s">
        <v>111</v>
      </c>
      <c r="T5" s="44"/>
      <c r="U5" s="30"/>
    </row>
    <row r="6" spans="2:21">
      <c r="B6" s="34"/>
      <c r="C6" s="39" t="s">
        <v>79</v>
      </c>
      <c r="D6" s="39" t="s">
        <v>80</v>
      </c>
      <c r="E6" s="39" t="s">
        <v>81</v>
      </c>
      <c r="F6" s="39"/>
      <c r="G6" s="39" t="s">
        <v>82</v>
      </c>
      <c r="H6" s="39" t="s">
        <v>83</v>
      </c>
      <c r="I6" s="39" t="s">
        <v>84</v>
      </c>
      <c r="J6" s="36"/>
      <c r="L6" s="34"/>
      <c r="M6" s="39" t="s">
        <v>124</v>
      </c>
      <c r="N6" s="39" t="s">
        <v>125</v>
      </c>
      <c r="O6" s="39" t="s">
        <v>126</v>
      </c>
      <c r="P6" s="39" t="s">
        <v>84</v>
      </c>
      <c r="Q6" s="39" t="s">
        <v>127</v>
      </c>
      <c r="R6" s="39"/>
      <c r="S6" s="39" t="s">
        <v>167</v>
      </c>
      <c r="T6" s="45"/>
      <c r="U6" s="30"/>
    </row>
    <row r="7" spans="2:21">
      <c r="B7" s="34"/>
      <c r="C7" s="49" t="s">
        <v>78</v>
      </c>
      <c r="D7" s="50">
        <v>1</v>
      </c>
      <c r="E7" s="50">
        <v>0</v>
      </c>
      <c r="F7" s="50" t="s">
        <v>69</v>
      </c>
      <c r="G7" s="50">
        <v>2</v>
      </c>
      <c r="H7" s="50">
        <v>2</v>
      </c>
      <c r="I7" s="50">
        <v>1</v>
      </c>
      <c r="J7" s="36"/>
      <c r="L7" s="34"/>
      <c r="M7" s="49" t="s">
        <v>164</v>
      </c>
      <c r="N7" s="50">
        <v>1</v>
      </c>
      <c r="O7" s="51" t="s">
        <v>165</v>
      </c>
      <c r="P7" s="50">
        <v>1</v>
      </c>
      <c r="Q7" s="51" t="s">
        <v>166</v>
      </c>
      <c r="R7" s="50" t="s">
        <v>69</v>
      </c>
      <c r="S7" s="51">
        <v>1</v>
      </c>
      <c r="T7" s="45"/>
      <c r="U7" s="30"/>
    </row>
    <row r="8" spans="2:21">
      <c r="B8" s="34"/>
      <c r="C8" s="35"/>
      <c r="D8" s="35"/>
      <c r="E8" s="35"/>
      <c r="F8" s="35"/>
      <c r="G8" s="35"/>
      <c r="H8" s="35"/>
      <c r="I8" s="35"/>
      <c r="J8" s="36"/>
      <c r="L8" s="34"/>
      <c r="M8" s="35"/>
      <c r="N8" s="35"/>
      <c r="O8" s="35"/>
      <c r="P8" s="35"/>
      <c r="Q8" s="35"/>
      <c r="R8" s="35"/>
      <c r="S8" s="35"/>
      <c r="T8" s="36"/>
    </row>
    <row r="9" spans="2:21">
      <c r="B9" s="34"/>
      <c r="C9" s="47" t="s">
        <v>85</v>
      </c>
      <c r="D9" s="35"/>
      <c r="E9" s="35"/>
      <c r="F9" s="35"/>
      <c r="G9" s="35"/>
      <c r="H9" s="47" t="s">
        <v>112</v>
      </c>
      <c r="I9" s="35"/>
      <c r="J9" s="36"/>
      <c r="L9" s="34"/>
      <c r="M9" s="47" t="s">
        <v>128</v>
      </c>
      <c r="N9" s="35"/>
      <c r="O9" s="35"/>
      <c r="P9" s="47" t="s">
        <v>155</v>
      </c>
      <c r="Q9" s="35"/>
      <c r="R9" s="35"/>
      <c r="S9" s="35"/>
      <c r="T9" s="36"/>
    </row>
    <row r="10" spans="2:21">
      <c r="B10" s="34"/>
      <c r="C10" s="35" t="s">
        <v>86</v>
      </c>
      <c r="D10" s="35"/>
      <c r="E10" s="35"/>
      <c r="F10" s="35"/>
      <c r="G10" s="35"/>
      <c r="H10" s="40" t="s">
        <v>113</v>
      </c>
      <c r="I10" s="35"/>
      <c r="J10" s="36"/>
      <c r="L10" s="34"/>
      <c r="M10" s="40" t="s">
        <v>129</v>
      </c>
      <c r="N10" s="35"/>
      <c r="O10" s="35"/>
      <c r="P10" s="35" t="s">
        <v>156</v>
      </c>
      <c r="Q10" s="35"/>
      <c r="R10" s="35"/>
      <c r="S10" s="35"/>
      <c r="T10" s="46"/>
    </row>
    <row r="11" spans="2:21">
      <c r="B11" s="34"/>
      <c r="C11" s="35" t="s">
        <v>87</v>
      </c>
      <c r="D11" s="35"/>
      <c r="E11" s="35"/>
      <c r="F11" s="35"/>
      <c r="G11" s="35"/>
      <c r="H11" s="40" t="s">
        <v>114</v>
      </c>
      <c r="I11" s="35"/>
      <c r="J11" s="36"/>
      <c r="L11" s="34"/>
      <c r="M11" s="40" t="s">
        <v>130</v>
      </c>
      <c r="N11" s="35"/>
      <c r="O11" s="35"/>
      <c r="P11" s="35" t="s">
        <v>157</v>
      </c>
      <c r="Q11" s="35"/>
      <c r="R11" s="35"/>
      <c r="S11" s="35"/>
      <c r="T11" s="46"/>
    </row>
    <row r="12" spans="2:21">
      <c r="B12" s="34"/>
      <c r="C12" s="35" t="s">
        <v>178</v>
      </c>
      <c r="D12" s="35"/>
      <c r="E12" s="35"/>
      <c r="F12" s="35"/>
      <c r="G12" s="35"/>
      <c r="H12" s="40" t="s">
        <v>115</v>
      </c>
      <c r="I12" s="35"/>
      <c r="J12" s="36"/>
      <c r="L12" s="34"/>
      <c r="M12" s="35" t="s">
        <v>132</v>
      </c>
      <c r="N12" s="35"/>
      <c r="O12" s="35"/>
      <c r="P12" s="35" t="s">
        <v>158</v>
      </c>
      <c r="Q12" s="35"/>
      <c r="R12" s="35"/>
      <c r="S12" s="35"/>
      <c r="T12" s="46"/>
    </row>
    <row r="13" spans="2:21">
      <c r="B13" s="34"/>
      <c r="C13" s="35" t="s">
        <v>179</v>
      </c>
      <c r="D13" s="35"/>
      <c r="E13" s="35"/>
      <c r="F13" s="35"/>
      <c r="G13" s="35"/>
      <c r="H13" s="40" t="s">
        <v>99</v>
      </c>
      <c r="I13" s="35"/>
      <c r="J13" s="36"/>
      <c r="L13" s="34"/>
      <c r="M13" s="35" t="s">
        <v>131</v>
      </c>
      <c r="N13" s="35"/>
      <c r="O13" s="35"/>
      <c r="P13" s="35" t="s">
        <v>162</v>
      </c>
      <c r="Q13" s="35"/>
      <c r="R13" s="35"/>
      <c r="S13" s="35"/>
      <c r="T13" s="46"/>
    </row>
    <row r="14" spans="2:21">
      <c r="B14" s="34"/>
      <c r="C14" s="35" t="s">
        <v>180</v>
      </c>
      <c r="D14" s="35"/>
      <c r="E14" s="35"/>
      <c r="F14" s="35"/>
      <c r="G14" s="35"/>
      <c r="H14" s="40" t="s">
        <v>116</v>
      </c>
      <c r="I14" s="35"/>
      <c r="J14" s="36"/>
      <c r="L14" s="34"/>
      <c r="M14" s="35" t="s">
        <v>133</v>
      </c>
      <c r="N14" s="35"/>
      <c r="O14" s="35"/>
      <c r="P14" s="35" t="s">
        <v>169</v>
      </c>
      <c r="Q14" s="35"/>
      <c r="R14" s="35"/>
      <c r="S14" s="35"/>
      <c r="T14" s="46"/>
    </row>
    <row r="15" spans="2:21">
      <c r="B15" s="34"/>
      <c r="C15" s="35" t="s">
        <v>88</v>
      </c>
      <c r="D15" s="35"/>
      <c r="E15" s="35"/>
      <c r="F15" s="35"/>
      <c r="G15" s="35"/>
      <c r="H15" s="40" t="s">
        <v>101</v>
      </c>
      <c r="I15" s="35"/>
      <c r="J15" s="36"/>
      <c r="L15" s="34"/>
      <c r="M15" s="35" t="s">
        <v>134</v>
      </c>
      <c r="N15" s="35"/>
      <c r="O15" s="35"/>
      <c r="P15" s="35" t="s">
        <v>183</v>
      </c>
      <c r="Q15" s="35"/>
      <c r="R15" s="35"/>
      <c r="S15" s="35"/>
      <c r="T15" s="46"/>
    </row>
    <row r="16" spans="2:21">
      <c r="B16" s="34"/>
      <c r="C16" s="35" t="s">
        <v>181</v>
      </c>
      <c r="D16" s="35"/>
      <c r="E16" s="35"/>
      <c r="F16" s="35"/>
      <c r="G16" s="35"/>
      <c r="H16" s="40" t="s">
        <v>102</v>
      </c>
      <c r="I16" s="35"/>
      <c r="J16" s="36"/>
      <c r="L16" s="34"/>
      <c r="M16" s="35" t="s">
        <v>135</v>
      </c>
      <c r="N16" s="35"/>
      <c r="O16" s="35"/>
      <c r="P16" s="35" t="s">
        <v>182</v>
      </c>
      <c r="Q16" s="35"/>
      <c r="R16" s="35"/>
      <c r="S16" s="35"/>
      <c r="T16" s="46"/>
    </row>
    <row r="17" spans="2:20">
      <c r="B17" s="34"/>
      <c r="C17" s="35" t="s">
        <v>170</v>
      </c>
      <c r="D17" s="35"/>
      <c r="E17" s="35"/>
      <c r="F17" s="35"/>
      <c r="G17" s="35"/>
      <c r="H17" s="40" t="s">
        <v>103</v>
      </c>
      <c r="I17" s="35"/>
      <c r="J17" s="36"/>
      <c r="L17" s="34"/>
      <c r="M17" s="35" t="s">
        <v>136</v>
      </c>
      <c r="N17" s="35"/>
      <c r="O17" s="35"/>
      <c r="P17" s="35" t="s">
        <v>159</v>
      </c>
      <c r="Q17" s="35"/>
      <c r="R17" s="35"/>
      <c r="S17" s="35"/>
      <c r="T17" s="46"/>
    </row>
    <row r="18" spans="2:20">
      <c r="B18" s="34"/>
      <c r="C18" s="35"/>
      <c r="D18" s="35"/>
      <c r="E18" s="35"/>
      <c r="F18" s="35"/>
      <c r="G18" s="35"/>
      <c r="H18" s="40" t="s">
        <v>117</v>
      </c>
      <c r="I18" s="35"/>
      <c r="J18" s="36"/>
      <c r="L18" s="34"/>
      <c r="M18" s="35" t="s">
        <v>138</v>
      </c>
      <c r="N18" s="35"/>
      <c r="O18" s="35"/>
      <c r="P18" s="35" t="s">
        <v>184</v>
      </c>
      <c r="Q18" s="35"/>
      <c r="R18" s="35"/>
      <c r="S18" s="35"/>
      <c r="T18" s="46"/>
    </row>
    <row r="19" spans="2:20">
      <c r="B19" s="34"/>
      <c r="C19" s="47" t="s">
        <v>89</v>
      </c>
      <c r="D19" s="35"/>
      <c r="E19" s="35"/>
      <c r="F19" s="35"/>
      <c r="G19" s="35"/>
      <c r="H19" s="40" t="s">
        <v>118</v>
      </c>
      <c r="I19" s="35"/>
      <c r="J19" s="36"/>
      <c r="L19" s="34"/>
      <c r="M19" s="35" t="s">
        <v>139</v>
      </c>
      <c r="N19" s="35"/>
      <c r="O19" s="35"/>
      <c r="P19" s="35" t="s">
        <v>160</v>
      </c>
      <c r="Q19" s="35"/>
      <c r="R19" s="35"/>
      <c r="S19" s="35"/>
      <c r="T19" s="46"/>
    </row>
    <row r="20" spans="2:20">
      <c r="B20" s="34"/>
      <c r="C20" s="35" t="s">
        <v>90</v>
      </c>
      <c r="D20" s="35"/>
      <c r="E20" s="35"/>
      <c r="F20" s="35"/>
      <c r="G20" s="35"/>
      <c r="H20" s="35"/>
      <c r="I20" s="35"/>
      <c r="J20" s="36"/>
      <c r="L20" s="34"/>
      <c r="M20" s="35" t="s">
        <v>137</v>
      </c>
      <c r="N20" s="35"/>
      <c r="O20" s="35"/>
      <c r="P20" s="35" t="s">
        <v>161</v>
      </c>
      <c r="Q20" s="35"/>
      <c r="R20" s="35"/>
      <c r="S20" s="35"/>
      <c r="T20" s="36"/>
    </row>
    <row r="21" spans="2:20">
      <c r="B21" s="34"/>
      <c r="C21" s="35" t="s">
        <v>91</v>
      </c>
      <c r="D21" s="35"/>
      <c r="E21" s="35"/>
      <c r="F21" s="35"/>
      <c r="G21" s="35"/>
      <c r="H21" s="48" t="s">
        <v>119</v>
      </c>
      <c r="I21" s="35"/>
      <c r="J21" s="36"/>
      <c r="L21" s="34"/>
      <c r="M21" s="35" t="s">
        <v>140</v>
      </c>
      <c r="N21" s="35"/>
      <c r="O21" s="35"/>
      <c r="P21" s="35"/>
      <c r="Q21" s="35"/>
      <c r="R21" s="35"/>
      <c r="S21" s="35"/>
      <c r="T21" s="46"/>
    </row>
    <row r="22" spans="2:20">
      <c r="B22" s="34"/>
      <c r="C22" s="35"/>
      <c r="D22" s="35"/>
      <c r="E22" s="35"/>
      <c r="F22" s="35"/>
      <c r="G22" s="35"/>
      <c r="H22" s="40" t="s">
        <v>120</v>
      </c>
      <c r="I22" s="35"/>
      <c r="J22" s="36"/>
      <c r="L22" s="34"/>
      <c r="M22" s="35" t="s">
        <v>141</v>
      </c>
      <c r="N22" s="35"/>
      <c r="O22" s="35"/>
      <c r="P22" s="47" t="s">
        <v>163</v>
      </c>
      <c r="Q22" s="35"/>
      <c r="R22" s="35"/>
      <c r="S22" s="35"/>
      <c r="T22" s="46"/>
    </row>
    <row r="23" spans="2:20">
      <c r="B23" s="34"/>
      <c r="C23" s="47" t="s">
        <v>92</v>
      </c>
      <c r="D23" s="35"/>
      <c r="E23" s="35"/>
      <c r="F23" s="35"/>
      <c r="G23" s="35"/>
      <c r="H23" s="40" t="s">
        <v>121</v>
      </c>
      <c r="I23" s="35"/>
      <c r="J23" s="36"/>
      <c r="L23" s="34"/>
      <c r="M23" s="35" t="s">
        <v>142</v>
      </c>
      <c r="N23" s="35"/>
      <c r="O23" s="35"/>
      <c r="P23" s="40" t="s">
        <v>120</v>
      </c>
      <c r="Q23" s="35"/>
      <c r="R23" s="35"/>
      <c r="S23" s="35"/>
      <c r="T23" s="46"/>
    </row>
    <row r="24" spans="2:20">
      <c r="B24" s="34"/>
      <c r="C24" s="35" t="s">
        <v>93</v>
      </c>
      <c r="D24" s="35"/>
      <c r="E24" s="35"/>
      <c r="F24" s="35"/>
      <c r="G24" s="35"/>
      <c r="H24" s="40" t="s">
        <v>122</v>
      </c>
      <c r="I24" s="35"/>
      <c r="J24" s="36"/>
      <c r="L24" s="34"/>
      <c r="M24" s="35" t="s">
        <v>143</v>
      </c>
      <c r="N24" s="35"/>
      <c r="O24" s="35"/>
      <c r="P24" s="40" t="s">
        <v>121</v>
      </c>
      <c r="Q24" s="35"/>
      <c r="R24" s="35"/>
      <c r="S24" s="35"/>
      <c r="T24" s="46"/>
    </row>
    <row r="25" spans="2:20">
      <c r="B25" s="34"/>
      <c r="C25" s="35" t="s">
        <v>94</v>
      </c>
      <c r="D25" s="35"/>
      <c r="E25" s="35"/>
      <c r="F25" s="35"/>
      <c r="G25" s="35"/>
      <c r="H25" s="40" t="s">
        <v>123</v>
      </c>
      <c r="I25" s="35"/>
      <c r="J25" s="36"/>
      <c r="L25" s="34"/>
      <c r="M25" s="35" t="s">
        <v>144</v>
      </c>
      <c r="N25" s="35"/>
      <c r="O25" s="35"/>
      <c r="P25" s="40" t="s">
        <v>122</v>
      </c>
      <c r="Q25" s="35"/>
      <c r="R25" s="35"/>
      <c r="S25" s="35"/>
      <c r="T25" s="46"/>
    </row>
    <row r="26" spans="2:20">
      <c r="B26" s="34"/>
      <c r="C26" s="35"/>
      <c r="D26" s="35"/>
      <c r="E26" s="35"/>
      <c r="F26" s="35"/>
      <c r="G26" s="35"/>
      <c r="H26" s="35"/>
      <c r="I26" s="35"/>
      <c r="J26" s="36"/>
      <c r="L26" s="34"/>
      <c r="M26" s="35" t="s">
        <v>151</v>
      </c>
      <c r="N26" s="35"/>
      <c r="O26" s="35"/>
      <c r="P26" s="40" t="s">
        <v>123</v>
      </c>
      <c r="Q26" s="35"/>
      <c r="R26" s="35"/>
      <c r="S26" s="35"/>
      <c r="T26" s="36"/>
    </row>
    <row r="27" spans="2:20">
      <c r="B27" s="34"/>
      <c r="C27" s="47" t="s">
        <v>95</v>
      </c>
      <c r="D27" s="35"/>
      <c r="E27" s="35"/>
      <c r="F27" s="35"/>
      <c r="G27" s="35"/>
      <c r="H27" s="35"/>
      <c r="I27" s="35"/>
      <c r="J27" s="36"/>
      <c r="L27" s="34"/>
      <c r="M27" s="35" t="s">
        <v>150</v>
      </c>
      <c r="N27" s="35"/>
      <c r="O27" s="35"/>
      <c r="P27" s="35"/>
      <c r="Q27" s="35"/>
      <c r="R27" s="35"/>
      <c r="S27" s="35"/>
      <c r="T27" s="36"/>
    </row>
    <row r="28" spans="2:20">
      <c r="B28" s="34"/>
      <c r="C28" s="35" t="s">
        <v>96</v>
      </c>
      <c r="D28" s="35"/>
      <c r="E28" s="35"/>
      <c r="F28" s="35"/>
      <c r="G28" s="35"/>
      <c r="H28" s="35"/>
      <c r="I28" s="35"/>
      <c r="J28" s="36"/>
      <c r="L28" s="34"/>
      <c r="M28" s="35" t="s">
        <v>148</v>
      </c>
      <c r="N28" s="35"/>
      <c r="O28" s="35"/>
      <c r="P28" s="48" t="s">
        <v>174</v>
      </c>
      <c r="Q28" s="35"/>
      <c r="R28" s="35"/>
      <c r="S28" s="35"/>
      <c r="T28" s="36"/>
    </row>
    <row r="29" spans="2:20">
      <c r="B29" s="34"/>
      <c r="C29" s="35" t="s">
        <v>97</v>
      </c>
      <c r="D29" s="35"/>
      <c r="E29" s="35"/>
      <c r="F29" s="35"/>
      <c r="G29" s="35"/>
      <c r="H29" s="35"/>
      <c r="I29" s="35"/>
      <c r="J29" s="36"/>
      <c r="L29" s="34"/>
      <c r="M29" s="35" t="s">
        <v>149</v>
      </c>
      <c r="N29" s="35"/>
      <c r="O29" s="35"/>
      <c r="P29" s="40" t="s">
        <v>173</v>
      </c>
      <c r="Q29" s="35"/>
      <c r="R29" s="35"/>
      <c r="S29" s="35"/>
      <c r="T29" s="36"/>
    </row>
    <row r="30" spans="2:20">
      <c r="B30" s="34"/>
      <c r="C30" s="35" t="s">
        <v>98</v>
      </c>
      <c r="D30" s="35"/>
      <c r="E30" s="35"/>
      <c r="F30" s="35"/>
      <c r="G30" s="35"/>
      <c r="H30" s="35"/>
      <c r="I30" s="35"/>
      <c r="J30" s="36"/>
      <c r="L30" s="34"/>
      <c r="M30" s="35" t="s">
        <v>145</v>
      </c>
      <c r="N30" s="35"/>
      <c r="O30" s="35"/>
      <c r="P30" s="40" t="s">
        <v>175</v>
      </c>
      <c r="Q30" s="35"/>
      <c r="R30" s="35"/>
      <c r="S30" s="35"/>
      <c r="T30" s="36"/>
    </row>
    <row r="31" spans="2:20">
      <c r="B31" s="34"/>
      <c r="C31" s="35" t="s">
        <v>99</v>
      </c>
      <c r="D31" s="35"/>
      <c r="E31" s="35"/>
      <c r="F31" s="35"/>
      <c r="G31" s="35"/>
      <c r="H31" s="35"/>
      <c r="I31" s="35"/>
      <c r="J31" s="36"/>
      <c r="L31" s="34"/>
      <c r="M31" s="35" t="s">
        <v>146</v>
      </c>
      <c r="N31" s="35"/>
      <c r="O31" s="35"/>
      <c r="P31" s="40" t="s">
        <v>176</v>
      </c>
      <c r="Q31" s="35"/>
      <c r="R31" s="35"/>
      <c r="S31" s="35"/>
      <c r="T31" s="36"/>
    </row>
    <row r="32" spans="2:20">
      <c r="B32" s="34"/>
      <c r="C32" s="35" t="s">
        <v>100</v>
      </c>
      <c r="D32" s="35"/>
      <c r="E32" s="35"/>
      <c r="F32" s="35"/>
      <c r="G32" s="35"/>
      <c r="H32" s="35"/>
      <c r="I32" s="35"/>
      <c r="J32" s="36"/>
      <c r="L32" s="34"/>
      <c r="M32" s="35" t="s">
        <v>147</v>
      </c>
      <c r="N32" s="35"/>
      <c r="O32" s="35"/>
      <c r="P32" s="35" t="s">
        <v>177</v>
      </c>
      <c r="Q32" s="35"/>
      <c r="R32" s="35"/>
      <c r="S32" s="35"/>
      <c r="T32" s="36"/>
    </row>
    <row r="33" spans="2:20">
      <c r="B33" s="34"/>
      <c r="C33" s="35" t="s">
        <v>101</v>
      </c>
      <c r="D33" s="35"/>
      <c r="E33" s="35"/>
      <c r="F33" s="35"/>
      <c r="G33" s="35"/>
      <c r="H33" s="35"/>
      <c r="I33" s="35"/>
      <c r="J33" s="36"/>
      <c r="L33" s="34"/>
      <c r="M33" s="35"/>
      <c r="N33" s="35"/>
      <c r="O33" s="35"/>
      <c r="P33" s="35"/>
      <c r="Q33" s="35"/>
      <c r="R33" s="35"/>
      <c r="S33" s="35"/>
      <c r="T33" s="36"/>
    </row>
    <row r="34" spans="2:20">
      <c r="B34" s="34"/>
      <c r="C34" s="35" t="s">
        <v>102</v>
      </c>
      <c r="D34" s="35"/>
      <c r="E34" s="35"/>
      <c r="F34" s="35"/>
      <c r="G34" s="35"/>
      <c r="H34" s="35"/>
      <c r="I34" s="35"/>
      <c r="J34" s="36"/>
      <c r="L34" s="34"/>
      <c r="M34" s="47" t="s">
        <v>152</v>
      </c>
      <c r="N34" s="35"/>
      <c r="O34" s="35"/>
      <c r="P34" s="48" t="s">
        <v>168</v>
      </c>
      <c r="Q34" s="35"/>
      <c r="R34" s="35"/>
      <c r="S34" s="35"/>
      <c r="T34" s="36"/>
    </row>
    <row r="35" spans="2:20">
      <c r="B35" s="34"/>
      <c r="C35" s="35" t="s">
        <v>103</v>
      </c>
      <c r="D35" s="35"/>
      <c r="E35" s="35"/>
      <c r="F35" s="35"/>
      <c r="G35" s="35"/>
      <c r="H35" s="35"/>
      <c r="I35" s="35"/>
      <c r="J35" s="36"/>
      <c r="L35" s="34"/>
      <c r="M35" s="38" t="s">
        <v>153</v>
      </c>
      <c r="N35" s="35"/>
      <c r="O35" s="35"/>
      <c r="P35" s="35" t="s">
        <v>121</v>
      </c>
      <c r="Q35" s="35"/>
      <c r="R35" s="35"/>
      <c r="S35" s="35"/>
      <c r="T35" s="36"/>
    </row>
    <row r="36" spans="2:20">
      <c r="B36" s="34"/>
      <c r="C36" s="35" t="s">
        <v>104</v>
      </c>
      <c r="D36" s="35"/>
      <c r="E36" s="35"/>
      <c r="F36" s="35"/>
      <c r="G36" s="35"/>
      <c r="H36" s="35"/>
      <c r="I36" s="35"/>
      <c r="J36" s="36"/>
      <c r="L36" s="34"/>
      <c r="M36" s="38" t="s">
        <v>154</v>
      </c>
      <c r="N36" s="35"/>
      <c r="O36" s="35"/>
      <c r="P36" s="35" t="s">
        <v>122</v>
      </c>
      <c r="Q36" s="35"/>
      <c r="R36" s="35"/>
      <c r="S36" s="35"/>
      <c r="T36" s="36"/>
    </row>
    <row r="37" spans="2:20">
      <c r="B37" s="34"/>
      <c r="C37" s="35" t="s">
        <v>105</v>
      </c>
      <c r="D37" s="35"/>
      <c r="E37" s="35"/>
      <c r="F37" s="35"/>
      <c r="G37" s="35"/>
      <c r="H37" s="35"/>
      <c r="I37" s="35"/>
      <c r="J37" s="36"/>
      <c r="L37" s="34"/>
      <c r="M37" s="35"/>
      <c r="N37" s="35"/>
      <c r="O37" s="35"/>
      <c r="P37" s="35" t="s">
        <v>123</v>
      </c>
      <c r="Q37" s="35"/>
      <c r="R37" s="35"/>
      <c r="S37" s="35"/>
      <c r="T37" s="36"/>
    </row>
    <row r="38" spans="2:20">
      <c r="B38" s="34"/>
      <c r="C38" s="35"/>
      <c r="D38" s="35"/>
      <c r="E38" s="35"/>
      <c r="F38" s="35"/>
      <c r="G38" s="35"/>
      <c r="H38" s="35"/>
      <c r="I38" s="35"/>
      <c r="J38" s="36"/>
      <c r="L38" s="34"/>
      <c r="M38" s="35"/>
      <c r="N38" s="35"/>
      <c r="O38" s="35"/>
      <c r="P38" s="35"/>
      <c r="Q38" s="35"/>
      <c r="R38" s="35"/>
      <c r="S38" s="35"/>
      <c r="T38" s="36"/>
    </row>
    <row r="39" spans="2:20">
      <c r="B39" s="34"/>
      <c r="C39" s="35"/>
      <c r="D39" s="35"/>
      <c r="E39" s="35"/>
      <c r="F39" s="35"/>
      <c r="G39" s="35"/>
      <c r="H39" s="35"/>
      <c r="I39" s="35"/>
      <c r="J39" s="36"/>
      <c r="L39" s="34"/>
      <c r="M39" s="35"/>
      <c r="N39" s="35"/>
      <c r="O39" s="35"/>
      <c r="P39" s="35"/>
      <c r="Q39" s="35"/>
      <c r="R39" s="35"/>
      <c r="S39" s="35"/>
      <c r="T39" s="36"/>
    </row>
    <row r="40" spans="2:20" ht="18" thickBot="1">
      <c r="B40" s="41"/>
      <c r="C40" s="42"/>
      <c r="D40" s="42"/>
      <c r="E40" s="42"/>
      <c r="F40" s="42"/>
      <c r="G40" s="42"/>
      <c r="H40" s="42"/>
      <c r="I40" s="42"/>
      <c r="J40" s="43"/>
      <c r="L40" s="41"/>
      <c r="M40" s="42"/>
      <c r="N40" s="42"/>
      <c r="O40" s="42"/>
      <c r="P40" s="42"/>
      <c r="Q40" s="42"/>
      <c r="R40" s="42"/>
      <c r="S40" s="42"/>
      <c r="T40" s="4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2:F93"/>
  <sheetViews>
    <sheetView topLeftCell="A25" zoomScale="115" zoomScaleNormal="115" workbookViewId="0"/>
  </sheetViews>
  <sheetFormatPr defaultRowHeight="17.399999999999999"/>
  <cols>
    <col min="2" max="2" width="10.19921875" customWidth="1"/>
    <col min="3" max="3" width="12.69921875" customWidth="1"/>
    <col min="4" max="4" width="42.19921875" bestFit="1" customWidth="1"/>
    <col min="5" max="6" width="28.59765625" customWidth="1"/>
  </cols>
  <sheetData>
    <row r="2" spans="2:6">
      <c r="B2" s="54" t="s">
        <v>189</v>
      </c>
    </row>
    <row r="4" spans="2:6">
      <c r="B4" s="55" t="s">
        <v>79</v>
      </c>
      <c r="C4" s="55" t="s">
        <v>8</v>
      </c>
      <c r="D4" s="55" t="s">
        <v>34</v>
      </c>
      <c r="E4" s="55" t="s">
        <v>190</v>
      </c>
      <c r="F4" s="55" t="s">
        <v>191</v>
      </c>
    </row>
    <row r="5" spans="2:6">
      <c r="B5" s="52" t="s">
        <v>78</v>
      </c>
      <c r="C5" s="52" t="s">
        <v>587</v>
      </c>
      <c r="D5" s="52" t="s">
        <v>309</v>
      </c>
      <c r="E5" s="52" t="s">
        <v>579</v>
      </c>
      <c r="F5" s="52" t="s">
        <v>192</v>
      </c>
    </row>
    <row r="6" spans="2:6">
      <c r="B6" s="52" t="s">
        <v>78</v>
      </c>
      <c r="C6" s="52" t="s">
        <v>580</v>
      </c>
      <c r="D6" s="52" t="s">
        <v>578</v>
      </c>
      <c r="E6" s="52" t="s">
        <v>579</v>
      </c>
      <c r="F6" s="52" t="s">
        <v>192</v>
      </c>
    </row>
    <row r="7" spans="2:6">
      <c r="B7" s="52" t="s">
        <v>78</v>
      </c>
      <c r="C7" s="52" t="s">
        <v>70</v>
      </c>
      <c r="D7" s="52" t="s">
        <v>283</v>
      </c>
      <c r="E7" s="52" t="s">
        <v>579</v>
      </c>
      <c r="F7" s="52" t="s">
        <v>192</v>
      </c>
    </row>
    <row r="8" spans="2:6">
      <c r="B8" s="52" t="s">
        <v>78</v>
      </c>
      <c r="C8" s="52" t="s">
        <v>571</v>
      </c>
      <c r="D8" s="52" t="s">
        <v>588</v>
      </c>
      <c r="E8" s="52" t="s">
        <v>589</v>
      </c>
      <c r="F8" s="52" t="s">
        <v>193</v>
      </c>
    </row>
    <row r="9" spans="2:6">
      <c r="B9" s="52" t="s">
        <v>78</v>
      </c>
      <c r="C9" s="52" t="s">
        <v>572</v>
      </c>
      <c r="D9" s="52" t="s">
        <v>565</v>
      </c>
      <c r="E9" s="52" t="s">
        <v>589</v>
      </c>
      <c r="F9" s="52" t="s">
        <v>192</v>
      </c>
    </row>
    <row r="10" spans="2:6">
      <c r="B10" s="52" t="s">
        <v>78</v>
      </c>
      <c r="C10" s="52" t="s">
        <v>573</v>
      </c>
      <c r="D10" s="52" t="s">
        <v>564</v>
      </c>
      <c r="E10" s="52" t="s">
        <v>589</v>
      </c>
      <c r="F10" s="52" t="s">
        <v>192</v>
      </c>
    </row>
    <row r="11" spans="2:6">
      <c r="B11" s="52" t="s">
        <v>78</v>
      </c>
      <c r="C11" s="52" t="s">
        <v>574</v>
      </c>
      <c r="D11" s="52" t="s">
        <v>566</v>
      </c>
      <c r="E11" s="52" t="s">
        <v>589</v>
      </c>
      <c r="F11" s="52" t="s">
        <v>192</v>
      </c>
    </row>
    <row r="12" spans="2:6">
      <c r="B12" s="52" t="s">
        <v>78</v>
      </c>
      <c r="C12" s="52" t="s">
        <v>575</v>
      </c>
      <c r="D12" s="52" t="s">
        <v>567</v>
      </c>
      <c r="E12" s="52" t="s">
        <v>589</v>
      </c>
      <c r="F12" s="52" t="s">
        <v>192</v>
      </c>
    </row>
    <row r="13" spans="2:6">
      <c r="B13" s="52" t="s">
        <v>78</v>
      </c>
      <c r="C13" s="52" t="s">
        <v>576</v>
      </c>
      <c r="D13" s="52" t="s">
        <v>568</v>
      </c>
      <c r="E13" s="52" t="s">
        <v>589</v>
      </c>
      <c r="F13" s="52" t="s">
        <v>192</v>
      </c>
    </row>
    <row r="14" spans="2:6">
      <c r="B14" s="52" t="s">
        <v>78</v>
      </c>
      <c r="C14" s="52" t="s">
        <v>581</v>
      </c>
      <c r="D14" s="52" t="s">
        <v>584</v>
      </c>
      <c r="E14" s="52" t="s">
        <v>579</v>
      </c>
      <c r="F14" s="52" t="s">
        <v>192</v>
      </c>
    </row>
    <row r="15" spans="2:6">
      <c r="B15" s="52" t="s">
        <v>78</v>
      </c>
      <c r="C15" s="52" t="s">
        <v>582</v>
      </c>
      <c r="D15" s="52" t="s">
        <v>585</v>
      </c>
      <c r="E15" s="52" t="s">
        <v>193</v>
      </c>
      <c r="F15" s="52" t="s">
        <v>192</v>
      </c>
    </row>
    <row r="16" spans="2:6">
      <c r="B16" s="52" t="s">
        <v>78</v>
      </c>
      <c r="C16" s="52" t="s">
        <v>583</v>
      </c>
      <c r="D16" s="52" t="s">
        <v>586</v>
      </c>
      <c r="E16" s="52" t="s">
        <v>193</v>
      </c>
      <c r="F16" s="52" t="s">
        <v>192</v>
      </c>
    </row>
    <row r="17" spans="2:6">
      <c r="B17" s="52" t="s">
        <v>78</v>
      </c>
      <c r="C17" s="52" t="s">
        <v>77</v>
      </c>
      <c r="D17" s="52" t="s">
        <v>282</v>
      </c>
      <c r="E17" s="52" t="s">
        <v>192</v>
      </c>
      <c r="F17" s="52" t="s">
        <v>579</v>
      </c>
    </row>
    <row r="18" spans="2:6">
      <c r="B18" s="52" t="s">
        <v>78</v>
      </c>
      <c r="C18" s="52" t="s">
        <v>286</v>
      </c>
      <c r="D18" s="52" t="s">
        <v>287</v>
      </c>
      <c r="E18" s="52" t="s">
        <v>192</v>
      </c>
      <c r="F18" s="52" t="s">
        <v>579</v>
      </c>
    </row>
    <row r="19" spans="2:6">
      <c r="B19" s="52" t="s">
        <v>78</v>
      </c>
      <c r="C19" s="52" t="s">
        <v>600</v>
      </c>
      <c r="D19" s="52" t="s">
        <v>604</v>
      </c>
      <c r="E19" s="52" t="s">
        <v>193</v>
      </c>
      <c r="F19" s="52" t="s">
        <v>192</v>
      </c>
    </row>
    <row r="20" spans="2:6">
      <c r="B20" s="52" t="s">
        <v>78</v>
      </c>
      <c r="C20" s="52" t="s">
        <v>601</v>
      </c>
      <c r="D20" s="52" t="s">
        <v>606</v>
      </c>
      <c r="E20" s="52" t="s">
        <v>193</v>
      </c>
      <c r="F20" s="52" t="s">
        <v>192</v>
      </c>
    </row>
    <row r="21" spans="2:6">
      <c r="B21" s="52" t="s">
        <v>78</v>
      </c>
      <c r="C21" s="52" t="s">
        <v>602</v>
      </c>
      <c r="D21" s="52" t="s">
        <v>608</v>
      </c>
      <c r="E21" s="52" t="s">
        <v>193</v>
      </c>
      <c r="F21" s="52" t="s">
        <v>192</v>
      </c>
    </row>
    <row r="22" spans="2:6">
      <c r="B22" s="52" t="s">
        <v>78</v>
      </c>
      <c r="C22" s="52" t="s">
        <v>590</v>
      </c>
      <c r="D22" s="52" t="s">
        <v>594</v>
      </c>
      <c r="E22" s="52" t="s">
        <v>192</v>
      </c>
      <c r="F22" s="52" t="s">
        <v>193</v>
      </c>
    </row>
    <row r="23" spans="2:6">
      <c r="B23" s="52" t="s">
        <v>78</v>
      </c>
      <c r="C23" s="52" t="s">
        <v>591</v>
      </c>
      <c r="D23" s="52" t="s">
        <v>595</v>
      </c>
      <c r="E23" s="52" t="s">
        <v>192</v>
      </c>
      <c r="F23" s="52" t="s">
        <v>193</v>
      </c>
    </row>
    <row r="24" spans="2:6">
      <c r="B24" s="52" t="s">
        <v>78</v>
      </c>
      <c r="C24" s="52" t="s">
        <v>592</v>
      </c>
      <c r="D24" s="52" t="s">
        <v>597</v>
      </c>
      <c r="E24" s="52" t="s">
        <v>192</v>
      </c>
      <c r="F24" s="52" t="s">
        <v>193</v>
      </c>
    </row>
    <row r="25" spans="2:6">
      <c r="B25" s="52" t="s">
        <v>78</v>
      </c>
      <c r="C25" s="52" t="s">
        <v>611</v>
      </c>
      <c r="D25" s="52" t="s">
        <v>612</v>
      </c>
      <c r="E25" s="52" t="s">
        <v>192</v>
      </c>
      <c r="F25" s="52" t="s">
        <v>193</v>
      </c>
    </row>
    <row r="26" spans="2:6">
      <c r="B26" s="52" t="s">
        <v>78</v>
      </c>
      <c r="C26" s="52" t="s">
        <v>598</v>
      </c>
      <c r="D26" s="52" t="s">
        <v>599</v>
      </c>
      <c r="E26" s="52" t="s">
        <v>192</v>
      </c>
      <c r="F26" s="52" t="s">
        <v>193</v>
      </c>
    </row>
    <row r="27" spans="2:6">
      <c r="B27" s="56"/>
      <c r="C27" s="56"/>
      <c r="D27" s="56"/>
      <c r="E27" s="56"/>
      <c r="F27" s="56"/>
    </row>
    <row r="28" spans="2:6">
      <c r="B28" s="52" t="s">
        <v>194</v>
      </c>
      <c r="C28" s="52" t="s">
        <v>609</v>
      </c>
      <c r="D28" s="52" t="s">
        <v>610</v>
      </c>
      <c r="E28" s="52" t="s">
        <v>193</v>
      </c>
      <c r="F28" s="52" t="s">
        <v>192</v>
      </c>
    </row>
    <row r="29" spans="2:6">
      <c r="B29" s="56"/>
      <c r="C29" s="56"/>
      <c r="D29" s="56"/>
      <c r="E29" s="56"/>
      <c r="F29" s="56"/>
    </row>
    <row r="30" spans="2:6">
      <c r="B30" s="52" t="s">
        <v>195</v>
      </c>
      <c r="C30" s="52" t="s">
        <v>71</v>
      </c>
      <c r="D30" s="52" t="s">
        <v>196</v>
      </c>
      <c r="E30" s="52" t="s">
        <v>197</v>
      </c>
      <c r="F30" s="52" t="s">
        <v>192</v>
      </c>
    </row>
    <row r="31" spans="2:6">
      <c r="B31" s="52" t="s">
        <v>195</v>
      </c>
      <c r="C31" s="52" t="s">
        <v>75</v>
      </c>
      <c r="D31" s="52" t="s">
        <v>198</v>
      </c>
      <c r="E31" s="52" t="s">
        <v>197</v>
      </c>
      <c r="F31" s="52" t="s">
        <v>192</v>
      </c>
    </row>
    <row r="32" spans="2:6">
      <c r="B32" s="52" t="s">
        <v>195</v>
      </c>
      <c r="C32" s="52" t="s">
        <v>73</v>
      </c>
      <c r="D32" s="52" t="s">
        <v>199</v>
      </c>
      <c r="E32" s="52" t="s">
        <v>197</v>
      </c>
      <c r="F32" s="52" t="s">
        <v>192</v>
      </c>
    </row>
    <row r="33" spans="2:6">
      <c r="B33" s="52" t="s">
        <v>195</v>
      </c>
      <c r="C33" s="52" t="s">
        <v>171</v>
      </c>
      <c r="D33" s="52" t="s">
        <v>619</v>
      </c>
      <c r="E33" s="52" t="s">
        <v>192</v>
      </c>
      <c r="F33" s="52" t="s">
        <v>197</v>
      </c>
    </row>
    <row r="34" spans="2:6">
      <c r="B34" s="52" t="s">
        <v>195</v>
      </c>
      <c r="C34" s="52" t="s">
        <v>72</v>
      </c>
      <c r="D34" s="52" t="s">
        <v>200</v>
      </c>
      <c r="E34" s="52" t="s">
        <v>201</v>
      </c>
      <c r="F34" s="52" t="s">
        <v>192</v>
      </c>
    </row>
    <row r="35" spans="2:6">
      <c r="B35" s="52" t="s">
        <v>195</v>
      </c>
      <c r="C35" s="52" t="s">
        <v>76</v>
      </c>
      <c r="D35" s="52" t="s">
        <v>202</v>
      </c>
      <c r="E35" s="52" t="s">
        <v>201</v>
      </c>
      <c r="F35" s="52" t="s">
        <v>192</v>
      </c>
    </row>
    <row r="36" spans="2:6">
      <c r="B36" s="52" t="s">
        <v>195</v>
      </c>
      <c r="C36" s="52" t="s">
        <v>74</v>
      </c>
      <c r="D36" s="52" t="s">
        <v>203</v>
      </c>
      <c r="E36" s="52" t="s">
        <v>201</v>
      </c>
      <c r="F36" s="52" t="s">
        <v>192</v>
      </c>
    </row>
    <row r="37" spans="2:6">
      <c r="B37" s="52" t="s">
        <v>195</v>
      </c>
      <c r="C37" s="52" t="s">
        <v>172</v>
      </c>
      <c r="D37" s="52" t="s">
        <v>310</v>
      </c>
      <c r="E37" s="52" t="s">
        <v>192</v>
      </c>
      <c r="F37" s="52" t="s">
        <v>201</v>
      </c>
    </row>
    <row r="40" spans="2:6">
      <c r="B40" s="54" t="s">
        <v>204</v>
      </c>
    </row>
    <row r="42" spans="2:6">
      <c r="B42" s="55" t="s">
        <v>79</v>
      </c>
      <c r="C42" s="55" t="s">
        <v>8</v>
      </c>
      <c r="D42" s="55" t="s">
        <v>34</v>
      </c>
      <c r="E42" s="55" t="s">
        <v>190</v>
      </c>
      <c r="F42" s="55" t="s">
        <v>191</v>
      </c>
    </row>
    <row r="43" spans="2:6">
      <c r="B43" s="52" t="s">
        <v>205</v>
      </c>
      <c r="C43" s="52" t="s">
        <v>206</v>
      </c>
      <c r="D43" s="52" t="s">
        <v>613</v>
      </c>
      <c r="E43" s="52"/>
      <c r="F43" s="52"/>
    </row>
    <row r="44" spans="2:6">
      <c r="B44" s="52" t="s">
        <v>205</v>
      </c>
      <c r="C44" s="52" t="s">
        <v>207</v>
      </c>
      <c r="D44" s="52" t="s">
        <v>614</v>
      </c>
      <c r="E44" s="52"/>
      <c r="F44" s="52"/>
    </row>
    <row r="45" spans="2:6">
      <c r="B45" s="52" t="s">
        <v>205</v>
      </c>
      <c r="C45" s="52" t="s">
        <v>185</v>
      </c>
      <c r="D45" s="52" t="s">
        <v>615</v>
      </c>
      <c r="E45" s="52"/>
      <c r="F45" s="52"/>
    </row>
    <row r="46" spans="2:6">
      <c r="B46" s="52" t="s">
        <v>205</v>
      </c>
      <c r="C46" s="52" t="s">
        <v>208</v>
      </c>
      <c r="D46" s="52" t="s">
        <v>616</v>
      </c>
      <c r="E46" s="52"/>
      <c r="F46" s="52"/>
    </row>
    <row r="47" spans="2:6">
      <c r="B47" s="52" t="s">
        <v>205</v>
      </c>
      <c r="C47" s="52" t="s">
        <v>186</v>
      </c>
      <c r="D47" s="52" t="s">
        <v>617</v>
      </c>
      <c r="E47" s="52"/>
      <c r="F47" s="52"/>
    </row>
    <row r="48" spans="2:6">
      <c r="B48" s="52" t="s">
        <v>205</v>
      </c>
      <c r="C48" s="52" t="s">
        <v>209</v>
      </c>
      <c r="D48" s="52" t="s">
        <v>618</v>
      </c>
      <c r="E48" s="52"/>
      <c r="F48" s="52"/>
    </row>
    <row r="49" spans="2:6">
      <c r="B49" s="56"/>
      <c r="C49" s="56"/>
      <c r="D49" s="56"/>
      <c r="E49" s="56"/>
      <c r="F49" s="56"/>
    </row>
    <row r="50" spans="2:6">
      <c r="B50" s="52" t="s">
        <v>210</v>
      </c>
      <c r="C50" s="52" t="s">
        <v>652</v>
      </c>
      <c r="D50" s="52" t="s">
        <v>620</v>
      </c>
      <c r="E50" s="52"/>
      <c r="F50" s="52"/>
    </row>
    <row r="51" spans="2:6">
      <c r="B51" s="52" t="s">
        <v>210</v>
      </c>
      <c r="C51" s="52" t="s">
        <v>653</v>
      </c>
      <c r="D51" s="52" t="s">
        <v>621</v>
      </c>
      <c r="E51" s="52"/>
      <c r="F51" s="52"/>
    </row>
    <row r="52" spans="2:6">
      <c r="B52" s="52" t="s">
        <v>210</v>
      </c>
      <c r="C52" s="52" t="s">
        <v>654</v>
      </c>
      <c r="D52" s="52" t="s">
        <v>622</v>
      </c>
      <c r="E52" s="52"/>
      <c r="F52" s="52"/>
    </row>
    <row r="53" spans="2:6">
      <c r="B53" s="52" t="s">
        <v>210</v>
      </c>
      <c r="C53" s="52" t="s">
        <v>655</v>
      </c>
      <c r="D53" s="52" t="s">
        <v>623</v>
      </c>
      <c r="E53" s="52"/>
      <c r="F53" s="52"/>
    </row>
    <row r="54" spans="2:6">
      <c r="B54" s="52" t="s">
        <v>210</v>
      </c>
      <c r="C54" s="52" t="s">
        <v>656</v>
      </c>
      <c r="D54" s="52" t="s">
        <v>624</v>
      </c>
      <c r="E54" s="52"/>
      <c r="F54" s="52"/>
    </row>
    <row r="55" spans="2:6">
      <c r="B55" s="52" t="s">
        <v>210</v>
      </c>
      <c r="C55" s="52" t="s">
        <v>657</v>
      </c>
      <c r="D55" s="52" t="s">
        <v>628</v>
      </c>
      <c r="E55" s="52"/>
      <c r="F55" s="52"/>
    </row>
    <row r="56" spans="2:6">
      <c r="B56" s="52" t="s">
        <v>210</v>
      </c>
      <c r="C56" s="52" t="s">
        <v>658</v>
      </c>
      <c r="D56" s="52" t="s">
        <v>630</v>
      </c>
      <c r="E56" s="52"/>
      <c r="F56" s="52"/>
    </row>
    <row r="57" spans="2:6">
      <c r="B57" s="52" t="s">
        <v>210</v>
      </c>
      <c r="C57" s="52" t="s">
        <v>659</v>
      </c>
      <c r="D57" s="52" t="s">
        <v>629</v>
      </c>
      <c r="E57" s="52"/>
      <c r="F57" s="52"/>
    </row>
    <row r="58" spans="2:6">
      <c r="B58" s="52" t="s">
        <v>210</v>
      </c>
      <c r="C58" s="52" t="s">
        <v>660</v>
      </c>
      <c r="D58" s="52" t="s">
        <v>631</v>
      </c>
      <c r="E58" s="52"/>
      <c r="F58" s="52"/>
    </row>
    <row r="59" spans="2:6">
      <c r="B59" s="52" t="s">
        <v>210</v>
      </c>
      <c r="C59" s="52" t="s">
        <v>661</v>
      </c>
      <c r="D59" s="52" t="s">
        <v>626</v>
      </c>
      <c r="E59" s="52"/>
      <c r="F59" s="52"/>
    </row>
    <row r="60" spans="2:6">
      <c r="B60" s="52" t="s">
        <v>210</v>
      </c>
      <c r="C60" s="52" t="s">
        <v>662</v>
      </c>
      <c r="D60" s="52" t="s">
        <v>632</v>
      </c>
      <c r="E60" s="52"/>
      <c r="F60" s="52"/>
    </row>
    <row r="61" spans="2:6">
      <c r="B61" s="52" t="s">
        <v>210</v>
      </c>
      <c r="C61" s="52" t="s">
        <v>663</v>
      </c>
      <c r="D61" s="52" t="s">
        <v>633</v>
      </c>
      <c r="E61" s="52"/>
      <c r="F61" s="52"/>
    </row>
    <row r="62" spans="2:6">
      <c r="B62" s="52" t="s">
        <v>210</v>
      </c>
      <c r="C62" s="52" t="s">
        <v>664</v>
      </c>
      <c r="D62" s="52" t="s">
        <v>696</v>
      </c>
      <c r="E62" s="52"/>
      <c r="F62" s="52"/>
    </row>
    <row r="63" spans="2:6">
      <c r="B63" s="52" t="s">
        <v>210</v>
      </c>
      <c r="C63" s="52" t="s">
        <v>665</v>
      </c>
      <c r="D63" s="52" t="s">
        <v>696</v>
      </c>
      <c r="E63" s="52"/>
      <c r="F63" s="52"/>
    </row>
    <row r="64" spans="2:6">
      <c r="B64" s="52" t="s">
        <v>210</v>
      </c>
      <c r="C64" s="52" t="s">
        <v>666</v>
      </c>
      <c r="D64" s="52" t="s">
        <v>635</v>
      </c>
      <c r="E64" s="52"/>
      <c r="F64" s="52"/>
    </row>
    <row r="65" spans="2:6">
      <c r="B65" s="52" t="s">
        <v>210</v>
      </c>
      <c r="C65" s="52" t="s">
        <v>667</v>
      </c>
      <c r="D65" s="52" t="s">
        <v>634</v>
      </c>
      <c r="E65" s="52"/>
      <c r="F65" s="52"/>
    </row>
    <row r="66" spans="2:6">
      <c r="B66" s="52" t="s">
        <v>210</v>
      </c>
      <c r="C66" s="52" t="s">
        <v>668</v>
      </c>
      <c r="D66" s="52" t="s">
        <v>636</v>
      </c>
      <c r="E66" s="52"/>
      <c r="F66" s="52"/>
    </row>
    <row r="67" spans="2:6">
      <c r="B67" s="52" t="s">
        <v>210</v>
      </c>
      <c r="C67" s="52" t="s">
        <v>669</v>
      </c>
      <c r="D67" s="52" t="s">
        <v>637</v>
      </c>
      <c r="E67" s="52"/>
      <c r="F67" s="52"/>
    </row>
    <row r="68" spans="2:6">
      <c r="B68" s="52" t="s">
        <v>210</v>
      </c>
      <c r="C68" s="52" t="s">
        <v>670</v>
      </c>
      <c r="D68" s="52" t="s">
        <v>638</v>
      </c>
      <c r="E68" s="52"/>
      <c r="F68" s="52"/>
    </row>
    <row r="69" spans="2:6">
      <c r="B69" s="52" t="s">
        <v>210</v>
      </c>
      <c r="C69" s="52" t="s">
        <v>671</v>
      </c>
      <c r="D69" s="52" t="s">
        <v>639</v>
      </c>
      <c r="E69" s="52"/>
      <c r="F69" s="52"/>
    </row>
    <row r="70" spans="2:6">
      <c r="B70" s="52" t="s">
        <v>210</v>
      </c>
      <c r="C70" s="52" t="s">
        <v>672</v>
      </c>
      <c r="D70" s="52" t="s">
        <v>640</v>
      </c>
      <c r="E70" s="52"/>
      <c r="F70" s="52"/>
    </row>
    <row r="71" spans="2:6">
      <c r="B71" s="56"/>
      <c r="C71" s="56"/>
      <c r="D71" s="56"/>
      <c r="E71" s="56"/>
      <c r="F71" s="56"/>
    </row>
    <row r="72" spans="2:6">
      <c r="B72" s="52" t="s">
        <v>211</v>
      </c>
      <c r="C72" s="52" t="s">
        <v>673</v>
      </c>
      <c r="D72" s="52" t="s">
        <v>648</v>
      </c>
      <c r="E72" s="52"/>
      <c r="F72" s="52"/>
    </row>
    <row r="73" spans="2:6">
      <c r="B73" s="52" t="s">
        <v>211</v>
      </c>
      <c r="C73" s="52" t="s">
        <v>674</v>
      </c>
      <c r="D73" s="52" t="s">
        <v>649</v>
      </c>
      <c r="E73" s="52"/>
      <c r="F73" s="52"/>
    </row>
    <row r="74" spans="2:6">
      <c r="B74" s="52" t="s">
        <v>211</v>
      </c>
      <c r="C74" s="52" t="s">
        <v>675</v>
      </c>
      <c r="D74" s="52" t="s">
        <v>650</v>
      </c>
      <c r="E74" s="52"/>
      <c r="F74" s="52"/>
    </row>
    <row r="75" spans="2:6">
      <c r="B75" s="56"/>
      <c r="C75" s="56"/>
      <c r="D75" s="56"/>
      <c r="E75" s="56"/>
      <c r="F75" s="56"/>
    </row>
    <row r="76" spans="2:6">
      <c r="B76" s="52" t="s">
        <v>212</v>
      </c>
      <c r="C76" s="52" t="s">
        <v>676</v>
      </c>
      <c r="D76" s="52" t="s">
        <v>645</v>
      </c>
      <c r="E76" s="52"/>
      <c r="F76" s="52"/>
    </row>
    <row r="77" spans="2:6">
      <c r="B77" s="52" t="s">
        <v>212</v>
      </c>
      <c r="C77" s="52" t="s">
        <v>677</v>
      </c>
      <c r="D77" s="52" t="s">
        <v>646</v>
      </c>
      <c r="E77" s="52"/>
      <c r="F77" s="52"/>
    </row>
    <row r="78" spans="2:6">
      <c r="B78" s="52" t="s">
        <v>212</v>
      </c>
      <c r="C78" s="52" t="s">
        <v>678</v>
      </c>
      <c r="D78" s="52" t="s">
        <v>647</v>
      </c>
      <c r="E78" s="52"/>
      <c r="F78" s="52"/>
    </row>
    <row r="79" spans="2:6">
      <c r="B79" s="52" t="s">
        <v>212</v>
      </c>
      <c r="C79" s="52" t="s">
        <v>679</v>
      </c>
      <c r="D79" s="52" t="s">
        <v>644</v>
      </c>
      <c r="E79" s="52"/>
      <c r="F79" s="52"/>
    </row>
    <row r="80" spans="2:6">
      <c r="B80" s="56"/>
      <c r="C80" s="56"/>
      <c r="D80" s="56"/>
      <c r="E80" s="56"/>
      <c r="F80" s="56"/>
    </row>
    <row r="81" spans="2:6">
      <c r="B81" s="52" t="s">
        <v>213</v>
      </c>
      <c r="C81" s="52" t="s">
        <v>680</v>
      </c>
      <c r="D81" s="52" t="s">
        <v>641</v>
      </c>
      <c r="E81" s="52"/>
      <c r="F81" s="52"/>
    </row>
    <row r="82" spans="2:6">
      <c r="B82" s="52" t="s">
        <v>213</v>
      </c>
      <c r="C82" s="52" t="s">
        <v>681</v>
      </c>
      <c r="D82" s="52" t="s">
        <v>642</v>
      </c>
      <c r="E82" s="52"/>
      <c r="F82" s="52"/>
    </row>
    <row r="83" spans="2:6">
      <c r="B83" s="52" t="s">
        <v>213</v>
      </c>
      <c r="C83" s="52" t="s">
        <v>682</v>
      </c>
      <c r="D83" s="52" t="s">
        <v>643</v>
      </c>
      <c r="E83" s="52"/>
      <c r="F83" s="52"/>
    </row>
    <row r="84" spans="2:6">
      <c r="B84" s="56"/>
      <c r="C84" s="56"/>
      <c r="D84" s="56"/>
      <c r="E84" s="56"/>
      <c r="F84" s="56"/>
    </row>
    <row r="85" spans="2:6">
      <c r="B85" s="52" t="s">
        <v>214</v>
      </c>
      <c r="C85" s="52" t="s">
        <v>683</v>
      </c>
      <c r="D85" s="52" t="s">
        <v>651</v>
      </c>
      <c r="E85" s="52"/>
      <c r="F85" s="52"/>
    </row>
    <row r="86" spans="2:6">
      <c r="B86" s="52" t="s">
        <v>214</v>
      </c>
      <c r="C86" s="52" t="s">
        <v>684</v>
      </c>
      <c r="D86" s="52" t="s">
        <v>685</v>
      </c>
      <c r="E86" s="52"/>
      <c r="F86" s="52"/>
    </row>
    <row r="87" spans="2:6">
      <c r="B87" s="56"/>
      <c r="C87" s="56"/>
      <c r="D87" s="56"/>
      <c r="E87" s="56"/>
      <c r="F87" s="56"/>
    </row>
    <row r="88" spans="2:6">
      <c r="B88" s="52" t="s">
        <v>215</v>
      </c>
      <c r="C88" s="52" t="s">
        <v>686</v>
      </c>
      <c r="D88" s="52" t="s">
        <v>687</v>
      </c>
      <c r="E88" s="52"/>
      <c r="F88" s="52"/>
    </row>
    <row r="89" spans="2:6">
      <c r="B89" s="56"/>
      <c r="C89" s="56"/>
      <c r="D89" s="56"/>
      <c r="E89" s="56"/>
      <c r="F89" s="56"/>
    </row>
    <row r="90" spans="2:6">
      <c r="B90" s="52" t="s">
        <v>216</v>
      </c>
      <c r="C90" s="52" t="s">
        <v>689</v>
      </c>
      <c r="D90" s="52" t="s">
        <v>694</v>
      </c>
      <c r="E90" s="52"/>
      <c r="F90" s="52"/>
    </row>
    <row r="91" spans="2:6">
      <c r="B91" s="52" t="s">
        <v>216</v>
      </c>
      <c r="C91" s="52" t="s">
        <v>690</v>
      </c>
      <c r="D91" s="52" t="s">
        <v>695</v>
      </c>
      <c r="E91" s="52"/>
      <c r="F91" s="52"/>
    </row>
    <row r="92" spans="2:6">
      <c r="B92" s="52" t="s">
        <v>216</v>
      </c>
      <c r="C92" s="52" t="s">
        <v>691</v>
      </c>
      <c r="D92" s="52" t="s">
        <v>693</v>
      </c>
      <c r="E92" s="52"/>
      <c r="F92" s="52"/>
    </row>
    <row r="93" spans="2:6">
      <c r="B93" s="52" t="s">
        <v>216</v>
      </c>
      <c r="C93" s="52" t="s">
        <v>688</v>
      </c>
      <c r="D93" s="52" t="s">
        <v>692</v>
      </c>
      <c r="E93" s="52"/>
      <c r="F93" s="5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5</vt:i4>
      </vt:variant>
    </vt:vector>
  </HeadingPairs>
  <TitlesOfParts>
    <vt:vector size="15" baseType="lpstr">
      <vt:lpstr>History</vt:lpstr>
      <vt:lpstr>LP MOCS 구성</vt:lpstr>
      <vt:lpstr>Module_Arr</vt:lpstr>
      <vt:lpstr>Common module</vt:lpstr>
      <vt:lpstr>No.# Module</vt:lpstr>
      <vt:lpstr>Terminal_Arr</vt:lpstr>
      <vt:lpstr>Common TB</vt:lpstr>
      <vt:lpstr>No.# TB</vt:lpstr>
      <vt:lpstr>Tag numbering</vt:lpstr>
      <vt:lpstr>Reserved Tag</vt:lpstr>
      <vt:lpstr>Module_Arr!BR</vt:lpstr>
      <vt:lpstr>'Common module'!Print_Area</vt:lpstr>
      <vt:lpstr>'No.# Module'!Print_Area</vt:lpstr>
      <vt:lpstr>'Common module'!Print_Titles</vt:lpstr>
      <vt:lpstr>'No.# Module'!Print_Titles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</dc:creator>
  <cp:lastModifiedBy>강혜현(Kang, Hyehyun)/책임연구원/지능제어시스템연구실/HD현대중공업</cp:lastModifiedBy>
  <cp:lastPrinted>2024-02-04T04:35:34Z</cp:lastPrinted>
  <dcterms:created xsi:type="dcterms:W3CDTF">2022-08-22T05:51:55Z</dcterms:created>
  <dcterms:modified xsi:type="dcterms:W3CDTF">2026-05-28T01:54:28Z</dcterms:modified>
</cp:coreProperties>
</file>