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z01_Work\z00_MOCS\MultiMOCS\z02_Documents\Parameter_List\"/>
    </mc:Choice>
  </mc:AlternateContent>
  <xr:revisionPtr revIDLastSave="0" documentId="8_{CD3C8F85-A1BC-44A6-92DD-01F6664E267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rameters" sheetId="13" r:id="rId1"/>
    <sheet name="AS_Struct" sheetId="16" r:id="rId2"/>
    <sheet name="Alarm_Paramters" sheetId="15" state="hidden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187" i="16" l="1"/>
  <c r="V188" i="16"/>
  <c r="V189" i="16"/>
  <c r="V190" i="16"/>
  <c r="V191" i="16"/>
  <c r="V192" i="16"/>
  <c r="V193" i="16"/>
  <c r="V194" i="16"/>
  <c r="V195" i="16"/>
  <c r="V196" i="16"/>
  <c r="V197" i="16"/>
  <c r="V198" i="16"/>
  <c r="V199" i="16"/>
  <c r="V200" i="16"/>
  <c r="V201" i="16"/>
  <c r="V202" i="16"/>
  <c r="V203" i="16"/>
  <c r="V204" i="16"/>
  <c r="V205" i="16"/>
  <c r="V206" i="16"/>
  <c r="V207" i="16"/>
  <c r="V208" i="16"/>
  <c r="V209" i="16"/>
  <c r="V210" i="16"/>
  <c r="V186" i="16"/>
  <c r="X26" i="16"/>
  <c r="X27" i="16"/>
  <c r="X28" i="16"/>
  <c r="X29" i="16"/>
  <c r="X30" i="16"/>
  <c r="X31" i="16"/>
  <c r="X32" i="16"/>
  <c r="X33" i="16"/>
  <c r="X34" i="16"/>
  <c r="X35" i="16"/>
  <c r="X36" i="16"/>
  <c r="X37" i="16"/>
  <c r="X38" i="16"/>
  <c r="X39" i="16"/>
  <c r="X40" i="16"/>
  <c r="X41" i="16"/>
  <c r="X42" i="16"/>
  <c r="X43" i="16"/>
  <c r="X44" i="16"/>
  <c r="X45" i="16"/>
  <c r="X46" i="16"/>
  <c r="X47" i="16"/>
  <c r="X48" i="16"/>
  <c r="X49" i="16"/>
  <c r="X50" i="16"/>
  <c r="X51" i="16"/>
  <c r="X52" i="16"/>
  <c r="X53" i="16"/>
  <c r="X54" i="16"/>
  <c r="X55" i="16"/>
  <c r="X56" i="16"/>
  <c r="X57" i="16"/>
  <c r="X58" i="16"/>
  <c r="X59" i="16"/>
  <c r="X25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8" i="16"/>
  <c r="F119" i="16"/>
  <c r="F120" i="16"/>
  <c r="F121" i="16"/>
  <c r="F122" i="16"/>
  <c r="F123" i="16"/>
  <c r="F124" i="16"/>
  <c r="F125" i="16"/>
  <c r="F126" i="16"/>
  <c r="F127" i="16"/>
  <c r="F128" i="16"/>
  <c r="F129" i="16"/>
  <c r="F130" i="16"/>
  <c r="F131" i="16"/>
  <c r="F132" i="16"/>
  <c r="F133" i="16"/>
  <c r="F134" i="16"/>
  <c r="F135" i="16"/>
  <c r="F136" i="16"/>
  <c r="F137" i="16"/>
  <c r="F138" i="16"/>
  <c r="F139" i="16"/>
  <c r="F140" i="16"/>
  <c r="F141" i="16"/>
  <c r="F142" i="16"/>
  <c r="F143" i="16"/>
  <c r="F144" i="16"/>
  <c r="F145" i="16"/>
  <c r="F146" i="16"/>
  <c r="F147" i="16"/>
  <c r="F148" i="16"/>
  <c r="F149" i="16"/>
  <c r="F150" i="16"/>
  <c r="F151" i="16"/>
  <c r="F152" i="16"/>
  <c r="F153" i="16"/>
  <c r="F154" i="16"/>
  <c r="F155" i="16"/>
  <c r="F156" i="16"/>
  <c r="F157" i="16"/>
  <c r="F158" i="16"/>
  <c r="F159" i="16"/>
  <c r="F160" i="16"/>
  <c r="F161" i="16"/>
  <c r="F162" i="16"/>
  <c r="F163" i="16"/>
  <c r="F164" i="16"/>
  <c r="F165" i="16"/>
  <c r="F166" i="16"/>
  <c r="F167" i="16"/>
  <c r="F168" i="16"/>
  <c r="F169" i="16"/>
  <c r="F170" i="16"/>
  <c r="F171" i="16"/>
  <c r="F172" i="16"/>
  <c r="F173" i="16"/>
  <c r="F174" i="16"/>
  <c r="F175" i="16"/>
  <c r="F176" i="16"/>
  <c r="F177" i="16"/>
  <c r="F178" i="16"/>
  <c r="F179" i="16"/>
  <c r="F180" i="16"/>
  <c r="F181" i="16"/>
  <c r="F182" i="16"/>
  <c r="F183" i="16"/>
  <c r="F184" i="16"/>
  <c r="F185" i="16"/>
  <c r="F186" i="16"/>
  <c r="F187" i="16"/>
  <c r="F188" i="16"/>
  <c r="F189" i="16"/>
  <c r="F190" i="16"/>
  <c r="F191" i="16"/>
  <c r="F192" i="16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D16" i="16" s="1"/>
  <c r="C17" i="16"/>
  <c r="C18" i="16"/>
  <c r="D18" i="16" s="1"/>
  <c r="C19" i="16"/>
  <c r="D19" i="16" s="1"/>
  <c r="C20" i="16"/>
  <c r="C21" i="16"/>
  <c r="D21" i="16" s="1"/>
  <c r="C22" i="16"/>
  <c r="C23" i="16"/>
  <c r="C24" i="16"/>
  <c r="C25" i="16"/>
  <c r="C26" i="16"/>
  <c r="C27" i="16"/>
  <c r="C28" i="16"/>
  <c r="C29" i="16"/>
  <c r="C30" i="16"/>
  <c r="C31" i="16"/>
  <c r="C32" i="16"/>
  <c r="D32" i="16" s="1"/>
  <c r="C33" i="16"/>
  <c r="C34" i="16"/>
  <c r="D34" i="16" s="1"/>
  <c r="C35" i="16"/>
  <c r="D35" i="16" s="1"/>
  <c r="C36" i="16"/>
  <c r="C37" i="16"/>
  <c r="D37" i="16" s="1"/>
  <c r="C38" i="16"/>
  <c r="C39" i="16"/>
  <c r="C40" i="16"/>
  <c r="C41" i="16"/>
  <c r="C42" i="16"/>
  <c r="C43" i="16"/>
  <c r="C44" i="16"/>
  <c r="C45" i="16"/>
  <c r="C46" i="16"/>
  <c r="C47" i="16"/>
  <c r="C48" i="16"/>
  <c r="D48" i="16" s="1"/>
  <c r="C49" i="16"/>
  <c r="C50" i="16"/>
  <c r="D50" i="16" s="1"/>
  <c r="C51" i="16"/>
  <c r="D51" i="16" s="1"/>
  <c r="C52" i="16"/>
  <c r="C53" i="16"/>
  <c r="D53" i="16" s="1"/>
  <c r="C54" i="16"/>
  <c r="C55" i="16"/>
  <c r="C56" i="16"/>
  <c r="C57" i="16"/>
  <c r="C58" i="16"/>
  <c r="C59" i="16"/>
  <c r="C60" i="16"/>
  <c r="C61" i="16"/>
  <c r="C62" i="16"/>
  <c r="C63" i="16"/>
  <c r="C64" i="16"/>
  <c r="D64" i="16" s="1"/>
  <c r="C65" i="16"/>
  <c r="C66" i="16"/>
  <c r="D66" i="16" s="1"/>
  <c r="C67" i="16"/>
  <c r="D67" i="16" s="1"/>
  <c r="C68" i="16"/>
  <c r="C69" i="16"/>
  <c r="D69" i="16" s="1"/>
  <c r="C70" i="16"/>
  <c r="C71" i="16"/>
  <c r="C72" i="16"/>
  <c r="C73" i="16"/>
  <c r="C74" i="16"/>
  <c r="C75" i="16"/>
  <c r="C76" i="16"/>
  <c r="C77" i="16"/>
  <c r="C78" i="16"/>
  <c r="C79" i="16"/>
  <c r="C80" i="16"/>
  <c r="D80" i="16" s="1"/>
  <c r="C81" i="16"/>
  <c r="C82" i="16"/>
  <c r="D82" i="16" s="1"/>
  <c r="C83" i="16"/>
  <c r="D83" i="16" s="1"/>
  <c r="C84" i="16"/>
  <c r="C85" i="16"/>
  <c r="D85" i="16" s="1"/>
  <c r="C86" i="16"/>
  <c r="C87" i="16"/>
  <c r="C88" i="16"/>
  <c r="C89" i="16"/>
  <c r="C90" i="16"/>
  <c r="C91" i="16"/>
  <c r="C92" i="16"/>
  <c r="C93" i="16"/>
  <c r="C94" i="16"/>
  <c r="C95" i="16"/>
  <c r="C96" i="16"/>
  <c r="D96" i="16" s="1"/>
  <c r="C97" i="16"/>
  <c r="C98" i="16"/>
  <c r="D98" i="16" s="1"/>
  <c r="C99" i="16"/>
  <c r="D99" i="16" s="1"/>
  <c r="C100" i="16"/>
  <c r="C101" i="16"/>
  <c r="D101" i="16" s="1"/>
  <c r="C102" i="16"/>
  <c r="C103" i="16"/>
  <c r="C104" i="16"/>
  <c r="C105" i="16"/>
  <c r="C106" i="16"/>
  <c r="C107" i="16"/>
  <c r="C108" i="16"/>
  <c r="C109" i="16"/>
  <c r="C110" i="16"/>
  <c r="C111" i="16"/>
  <c r="C112" i="16"/>
  <c r="D112" i="16" s="1"/>
  <c r="C113" i="16"/>
  <c r="C114" i="16"/>
  <c r="D114" i="16" s="1"/>
  <c r="C115" i="16"/>
  <c r="D115" i="16" s="1"/>
  <c r="C116" i="16"/>
  <c r="C117" i="16"/>
  <c r="D117" i="16" s="1"/>
  <c r="C118" i="16"/>
  <c r="C119" i="16"/>
  <c r="C120" i="16"/>
  <c r="C121" i="16"/>
  <c r="C122" i="16"/>
  <c r="C123" i="16"/>
  <c r="C124" i="16"/>
  <c r="C125" i="16"/>
  <c r="C126" i="16"/>
  <c r="C127" i="16"/>
  <c r="C128" i="16"/>
  <c r="D128" i="16" s="1"/>
  <c r="C129" i="16"/>
  <c r="C130" i="16"/>
  <c r="D130" i="16" s="1"/>
  <c r="C131" i="16"/>
  <c r="D131" i="16" s="1"/>
  <c r="C132" i="16"/>
  <c r="C133" i="16"/>
  <c r="D133" i="16" s="1"/>
  <c r="C134" i="16"/>
  <c r="C135" i="16"/>
  <c r="C136" i="16"/>
  <c r="C137" i="16"/>
  <c r="C138" i="16"/>
  <c r="C139" i="16"/>
  <c r="C140" i="16"/>
  <c r="C141" i="16"/>
  <c r="C142" i="16"/>
  <c r="C143" i="16"/>
  <c r="C144" i="16"/>
  <c r="D144" i="16" s="1"/>
  <c r="C145" i="16"/>
  <c r="C146" i="16"/>
  <c r="D146" i="16" s="1"/>
  <c r="C147" i="16"/>
  <c r="D147" i="16" s="1"/>
  <c r="C148" i="16"/>
  <c r="C149" i="16"/>
  <c r="D149" i="16" s="1"/>
  <c r="C150" i="16"/>
  <c r="C151" i="16"/>
  <c r="C152" i="16"/>
  <c r="C153" i="16"/>
  <c r="C154" i="16"/>
  <c r="C155" i="16"/>
  <c r="C156" i="16"/>
  <c r="C157" i="16"/>
  <c r="C158" i="16"/>
  <c r="C159" i="16"/>
  <c r="C160" i="16"/>
  <c r="D160" i="16" s="1"/>
  <c r="C161" i="16"/>
  <c r="C162" i="16"/>
  <c r="D162" i="16" s="1"/>
  <c r="C163" i="16"/>
  <c r="D163" i="16" s="1"/>
  <c r="C164" i="16"/>
  <c r="C165" i="16"/>
  <c r="D165" i="16" s="1"/>
  <c r="C166" i="16"/>
  <c r="C167" i="16"/>
  <c r="C168" i="16"/>
  <c r="C169" i="16"/>
  <c r="C170" i="16"/>
  <c r="C171" i="16"/>
  <c r="C172" i="16"/>
  <c r="C173" i="16"/>
  <c r="C174" i="16"/>
  <c r="C175" i="16"/>
  <c r="C176" i="16"/>
  <c r="D176" i="16" s="1"/>
  <c r="C177" i="16"/>
  <c r="C178" i="16"/>
  <c r="D178" i="16" s="1"/>
  <c r="C179" i="16"/>
  <c r="D179" i="16" s="1"/>
  <c r="C180" i="16"/>
  <c r="C181" i="16"/>
  <c r="D181" i="16" s="1"/>
  <c r="C182" i="16"/>
  <c r="C183" i="16"/>
  <c r="C184" i="16"/>
  <c r="C185" i="16"/>
  <c r="C186" i="16"/>
  <c r="C187" i="16"/>
  <c r="C188" i="16"/>
  <c r="C189" i="16"/>
  <c r="C190" i="16"/>
  <c r="C191" i="16"/>
  <c r="C192" i="16"/>
  <c r="D192" i="16" s="1"/>
  <c r="A4" i="16"/>
  <c r="A5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64" i="16"/>
  <c r="A65" i="16"/>
  <c r="A66" i="16"/>
  <c r="A67" i="16"/>
  <c r="A68" i="16"/>
  <c r="A69" i="16"/>
  <c r="A70" i="16"/>
  <c r="A71" i="16"/>
  <c r="A72" i="16"/>
  <c r="A73" i="16"/>
  <c r="A74" i="16"/>
  <c r="A75" i="16"/>
  <c r="A76" i="16"/>
  <c r="A77" i="16"/>
  <c r="A78" i="16"/>
  <c r="A79" i="16"/>
  <c r="A80" i="16"/>
  <c r="A81" i="16"/>
  <c r="A82" i="16"/>
  <c r="A83" i="16"/>
  <c r="A84" i="16"/>
  <c r="A85" i="16"/>
  <c r="A86" i="16"/>
  <c r="A87" i="16"/>
  <c r="A88" i="16"/>
  <c r="A89" i="16"/>
  <c r="A90" i="16"/>
  <c r="A91" i="16"/>
  <c r="A92" i="16"/>
  <c r="A93" i="16"/>
  <c r="A94" i="16"/>
  <c r="A95" i="16"/>
  <c r="A96" i="16"/>
  <c r="A97" i="16"/>
  <c r="A98" i="16"/>
  <c r="A99" i="16"/>
  <c r="A100" i="16"/>
  <c r="A101" i="16"/>
  <c r="A102" i="16"/>
  <c r="A103" i="16"/>
  <c r="A104" i="16"/>
  <c r="A105" i="16"/>
  <c r="A106" i="16"/>
  <c r="A107" i="16"/>
  <c r="A108" i="16"/>
  <c r="A109" i="16"/>
  <c r="A110" i="16"/>
  <c r="A111" i="16"/>
  <c r="A112" i="16"/>
  <c r="A113" i="16"/>
  <c r="A114" i="16"/>
  <c r="A115" i="16"/>
  <c r="A116" i="16"/>
  <c r="A117" i="16"/>
  <c r="A118" i="16"/>
  <c r="A119" i="16"/>
  <c r="A120" i="16"/>
  <c r="A121" i="16"/>
  <c r="A122" i="16"/>
  <c r="A123" i="16"/>
  <c r="A124" i="16"/>
  <c r="A125" i="16"/>
  <c r="A126" i="16"/>
  <c r="A127" i="16"/>
  <c r="A128" i="16"/>
  <c r="A129" i="16"/>
  <c r="A130" i="16"/>
  <c r="A131" i="16"/>
  <c r="A132" i="16"/>
  <c r="A133" i="16"/>
  <c r="A134" i="16"/>
  <c r="A135" i="16"/>
  <c r="A136" i="16"/>
  <c r="A137" i="16"/>
  <c r="A138" i="16"/>
  <c r="A139" i="16"/>
  <c r="A140" i="16"/>
  <c r="A141" i="16"/>
  <c r="A142" i="16"/>
  <c r="A143" i="16"/>
  <c r="A144" i="16"/>
  <c r="A145" i="16"/>
  <c r="A146" i="16"/>
  <c r="A147" i="16"/>
  <c r="A148" i="16"/>
  <c r="A149" i="16"/>
  <c r="A150" i="16"/>
  <c r="A151" i="16"/>
  <c r="A152" i="16"/>
  <c r="A153" i="16"/>
  <c r="A154" i="16"/>
  <c r="A155" i="16"/>
  <c r="A156" i="16"/>
  <c r="A157" i="16"/>
  <c r="A158" i="16"/>
  <c r="A159" i="16"/>
  <c r="A160" i="16"/>
  <c r="A161" i="16"/>
  <c r="A162" i="16"/>
  <c r="A163" i="16"/>
  <c r="A164" i="16"/>
  <c r="A165" i="16"/>
  <c r="A166" i="16"/>
  <c r="A167" i="16"/>
  <c r="A168" i="16"/>
  <c r="A169" i="16"/>
  <c r="A170" i="16"/>
  <c r="A171" i="16"/>
  <c r="A172" i="16"/>
  <c r="A173" i="16"/>
  <c r="A174" i="16"/>
  <c r="A175" i="16"/>
  <c r="A176" i="16"/>
  <c r="A177" i="16"/>
  <c r="A178" i="16"/>
  <c r="A179" i="16"/>
  <c r="A180" i="16"/>
  <c r="A181" i="16"/>
  <c r="A182" i="16"/>
  <c r="A183" i="16"/>
  <c r="A184" i="16"/>
  <c r="A185" i="16"/>
  <c r="A186" i="16"/>
  <c r="A187" i="16"/>
  <c r="A188" i="16"/>
  <c r="A189" i="16"/>
  <c r="A190" i="16"/>
  <c r="A191" i="16"/>
  <c r="A192" i="16"/>
  <c r="V48" i="16"/>
  <c r="S4" i="16"/>
  <c r="S5" i="16"/>
  <c r="S6" i="16"/>
  <c r="S7" i="16"/>
  <c r="S8" i="16"/>
  <c r="S9" i="16"/>
  <c r="S10" i="16"/>
  <c r="S11" i="16"/>
  <c r="S12" i="16"/>
  <c r="S13" i="16"/>
  <c r="S14" i="16"/>
  <c r="S15" i="16"/>
  <c r="S16" i="16"/>
  <c r="S17" i="16"/>
  <c r="S20" i="16"/>
  <c r="S21" i="16"/>
  <c r="S22" i="16"/>
  <c r="S23" i="16"/>
  <c r="S24" i="16"/>
  <c r="S25" i="16"/>
  <c r="S26" i="16"/>
  <c r="S27" i="16"/>
  <c r="S28" i="16"/>
  <c r="S29" i="16"/>
  <c r="S30" i="16"/>
  <c r="S31" i="16"/>
  <c r="S32" i="16"/>
  <c r="S33" i="16"/>
  <c r="S34" i="16"/>
  <c r="S35" i="16"/>
  <c r="S36" i="16"/>
  <c r="S37" i="16"/>
  <c r="S38" i="16"/>
  <c r="S39" i="16"/>
  <c r="S40" i="16"/>
  <c r="S41" i="16"/>
  <c r="S42" i="16"/>
  <c r="S43" i="16"/>
  <c r="S44" i="16"/>
  <c r="S45" i="16"/>
  <c r="S46" i="16"/>
  <c r="S47" i="16"/>
  <c r="S48" i="16"/>
  <c r="S49" i="16"/>
  <c r="S50" i="16"/>
  <c r="S51" i="16"/>
  <c r="S52" i="16"/>
  <c r="S53" i="16"/>
  <c r="S54" i="16"/>
  <c r="S55" i="16"/>
  <c r="S56" i="16"/>
  <c r="S57" i="16"/>
  <c r="S58" i="16"/>
  <c r="S59" i="16"/>
  <c r="S60" i="16"/>
  <c r="S61" i="16"/>
  <c r="S62" i="16"/>
  <c r="S63" i="16"/>
  <c r="S64" i="16"/>
  <c r="S65" i="16"/>
  <c r="S66" i="16"/>
  <c r="S67" i="16"/>
  <c r="S68" i="16"/>
  <c r="S69" i="16"/>
  <c r="S70" i="16"/>
  <c r="S71" i="16"/>
  <c r="S72" i="16"/>
  <c r="S73" i="16"/>
  <c r="S74" i="16"/>
  <c r="S75" i="16"/>
  <c r="S76" i="16"/>
  <c r="S77" i="16"/>
  <c r="S78" i="16"/>
  <c r="S79" i="16"/>
  <c r="S80" i="16"/>
  <c r="S81" i="16"/>
  <c r="S82" i="16"/>
  <c r="S83" i="16"/>
  <c r="S84" i="16"/>
  <c r="S85" i="16"/>
  <c r="S86" i="16"/>
  <c r="S87" i="16"/>
  <c r="S88" i="16"/>
  <c r="S89" i="16"/>
  <c r="S90" i="16"/>
  <c r="S91" i="16"/>
  <c r="S92" i="16"/>
  <c r="S93" i="16"/>
  <c r="S94" i="16"/>
  <c r="S95" i="16"/>
  <c r="S96" i="16"/>
  <c r="S97" i="16"/>
  <c r="S98" i="16"/>
  <c r="S99" i="16"/>
  <c r="S100" i="16"/>
  <c r="S101" i="16"/>
  <c r="S102" i="16"/>
  <c r="S103" i="16"/>
  <c r="S104" i="16"/>
  <c r="S105" i="16"/>
  <c r="S106" i="16"/>
  <c r="S107" i="16"/>
  <c r="S108" i="16"/>
  <c r="S109" i="16"/>
  <c r="S110" i="16"/>
  <c r="S111" i="16"/>
  <c r="S112" i="16"/>
  <c r="S113" i="16"/>
  <c r="S114" i="16"/>
  <c r="S115" i="16"/>
  <c r="S116" i="16"/>
  <c r="S117" i="16"/>
  <c r="S118" i="16"/>
  <c r="S119" i="16"/>
  <c r="S120" i="16"/>
  <c r="S121" i="16"/>
  <c r="S122" i="16"/>
  <c r="S123" i="16"/>
  <c r="S124" i="16"/>
  <c r="S125" i="16"/>
  <c r="S126" i="16"/>
  <c r="S127" i="16"/>
  <c r="S128" i="16"/>
  <c r="S129" i="16"/>
  <c r="S130" i="16"/>
  <c r="S131" i="16"/>
  <c r="S132" i="16"/>
  <c r="S133" i="16"/>
  <c r="S134" i="16"/>
  <c r="S135" i="16"/>
  <c r="S136" i="16"/>
  <c r="S137" i="16"/>
  <c r="S138" i="16"/>
  <c r="S139" i="16"/>
  <c r="S140" i="16"/>
  <c r="S141" i="16"/>
  <c r="S142" i="16"/>
  <c r="S143" i="16"/>
  <c r="S144" i="16"/>
  <c r="S145" i="16"/>
  <c r="S146" i="16"/>
  <c r="S147" i="16"/>
  <c r="S148" i="16"/>
  <c r="S150" i="16"/>
  <c r="S151" i="16"/>
  <c r="S152" i="16"/>
  <c r="S153" i="16"/>
  <c r="S154" i="16"/>
  <c r="S155" i="16"/>
  <c r="S156" i="16"/>
  <c r="S157" i="16"/>
  <c r="S158" i="16"/>
  <c r="S159" i="16"/>
  <c r="S160" i="16"/>
  <c r="S162" i="16"/>
  <c r="S163" i="16"/>
  <c r="S164" i="16"/>
  <c r="S165" i="16"/>
  <c r="S166" i="16"/>
  <c r="S167" i="16"/>
  <c r="S168" i="16"/>
  <c r="S169" i="16"/>
  <c r="S170" i="16"/>
  <c r="S171" i="16"/>
  <c r="S172" i="16"/>
  <c r="S173" i="16"/>
  <c r="S174" i="16"/>
  <c r="S175" i="16"/>
  <c r="S176" i="16"/>
  <c r="S177" i="16"/>
  <c r="S178" i="16"/>
  <c r="S179" i="16"/>
  <c r="S180" i="16"/>
  <c r="S181" i="16"/>
  <c r="S182" i="16"/>
  <c r="S183" i="16"/>
  <c r="S184" i="16"/>
  <c r="S185" i="16"/>
  <c r="S187" i="16"/>
  <c r="S189" i="16"/>
  <c r="S190" i="16"/>
  <c r="S191" i="16"/>
  <c r="S192" i="16"/>
  <c r="R4" i="16"/>
  <c r="R5" i="16"/>
  <c r="R6" i="16"/>
  <c r="R7" i="16"/>
  <c r="R8" i="16"/>
  <c r="R9" i="16"/>
  <c r="R10" i="16"/>
  <c r="R11" i="16"/>
  <c r="R12" i="16"/>
  <c r="R13" i="16"/>
  <c r="R14" i="16"/>
  <c r="R15" i="16"/>
  <c r="R16" i="16"/>
  <c r="R17" i="16"/>
  <c r="R18" i="16"/>
  <c r="S18" i="16" s="1"/>
  <c r="R19" i="16"/>
  <c r="S19" i="16" s="1"/>
  <c r="R20" i="16"/>
  <c r="R21" i="16"/>
  <c r="R22" i="16"/>
  <c r="R23" i="16"/>
  <c r="R24" i="16"/>
  <c r="R25" i="16"/>
  <c r="R26" i="16"/>
  <c r="R27" i="16"/>
  <c r="R28" i="16"/>
  <c r="R29" i="16"/>
  <c r="R30" i="16"/>
  <c r="R31" i="16"/>
  <c r="R32" i="16"/>
  <c r="R33" i="16"/>
  <c r="R34" i="16"/>
  <c r="R35" i="16"/>
  <c r="R36" i="16"/>
  <c r="R37" i="16"/>
  <c r="R38" i="16"/>
  <c r="R39" i="16"/>
  <c r="R40" i="16"/>
  <c r="R41" i="16"/>
  <c r="R42" i="16"/>
  <c r="R43" i="16"/>
  <c r="R44" i="16"/>
  <c r="R45" i="16"/>
  <c r="R46" i="16"/>
  <c r="R47" i="16"/>
  <c r="R48" i="16"/>
  <c r="R49" i="16"/>
  <c r="R50" i="16"/>
  <c r="R51" i="16"/>
  <c r="R52" i="16"/>
  <c r="R53" i="16"/>
  <c r="R54" i="16"/>
  <c r="R55" i="16"/>
  <c r="R56" i="16"/>
  <c r="R57" i="16"/>
  <c r="R58" i="16"/>
  <c r="R59" i="16"/>
  <c r="R60" i="16"/>
  <c r="R61" i="16"/>
  <c r="R62" i="16"/>
  <c r="R63" i="16"/>
  <c r="R64" i="16"/>
  <c r="R65" i="16"/>
  <c r="R66" i="16"/>
  <c r="R67" i="16"/>
  <c r="R68" i="16"/>
  <c r="R69" i="16"/>
  <c r="R70" i="16"/>
  <c r="R71" i="16"/>
  <c r="R72" i="16"/>
  <c r="R73" i="16"/>
  <c r="R74" i="16"/>
  <c r="R75" i="16"/>
  <c r="R76" i="16"/>
  <c r="R77" i="16"/>
  <c r="R78" i="16"/>
  <c r="R79" i="16"/>
  <c r="R80" i="16"/>
  <c r="R81" i="16"/>
  <c r="R82" i="16"/>
  <c r="R83" i="16"/>
  <c r="R84" i="16"/>
  <c r="R85" i="16"/>
  <c r="R86" i="16"/>
  <c r="R87" i="16"/>
  <c r="R88" i="16"/>
  <c r="R89" i="16"/>
  <c r="R90" i="16"/>
  <c r="R91" i="16"/>
  <c r="R92" i="16"/>
  <c r="R93" i="16"/>
  <c r="R94" i="16"/>
  <c r="R95" i="16"/>
  <c r="R96" i="16"/>
  <c r="R97" i="16"/>
  <c r="R98" i="16"/>
  <c r="R99" i="16"/>
  <c r="R100" i="16"/>
  <c r="R101" i="16"/>
  <c r="R102" i="16"/>
  <c r="R103" i="16"/>
  <c r="R104" i="16"/>
  <c r="R105" i="16"/>
  <c r="R106" i="16"/>
  <c r="R107" i="16"/>
  <c r="R108" i="16"/>
  <c r="R109" i="16"/>
  <c r="R110" i="16"/>
  <c r="R111" i="16"/>
  <c r="R112" i="16"/>
  <c r="R113" i="16"/>
  <c r="R114" i="16"/>
  <c r="R115" i="16"/>
  <c r="R116" i="16"/>
  <c r="R117" i="16"/>
  <c r="R118" i="16"/>
  <c r="R119" i="16"/>
  <c r="R120" i="16"/>
  <c r="R121" i="16"/>
  <c r="R122" i="16"/>
  <c r="R123" i="16"/>
  <c r="R124" i="16"/>
  <c r="R125" i="16"/>
  <c r="R126" i="16"/>
  <c r="R127" i="16"/>
  <c r="R128" i="16"/>
  <c r="R129" i="16"/>
  <c r="R130" i="16"/>
  <c r="R131" i="16"/>
  <c r="R132" i="16"/>
  <c r="R133" i="16"/>
  <c r="R134" i="16"/>
  <c r="R135" i="16"/>
  <c r="R136" i="16"/>
  <c r="R137" i="16"/>
  <c r="R138" i="16"/>
  <c r="R139" i="16"/>
  <c r="R140" i="16"/>
  <c r="R141" i="16"/>
  <c r="R142" i="16"/>
  <c r="R143" i="16"/>
  <c r="R144" i="16"/>
  <c r="R145" i="16"/>
  <c r="R146" i="16"/>
  <c r="R147" i="16"/>
  <c r="R148" i="16"/>
  <c r="R149" i="16"/>
  <c r="S149" i="16" s="1"/>
  <c r="R150" i="16"/>
  <c r="R151" i="16"/>
  <c r="R152" i="16"/>
  <c r="R153" i="16"/>
  <c r="R154" i="16"/>
  <c r="R155" i="16"/>
  <c r="R156" i="16"/>
  <c r="R157" i="16"/>
  <c r="R158" i="16"/>
  <c r="R159" i="16"/>
  <c r="R160" i="16"/>
  <c r="R161" i="16"/>
  <c r="S161" i="16" s="1"/>
  <c r="R162" i="16"/>
  <c r="R163" i="16"/>
  <c r="R164" i="16"/>
  <c r="R165" i="16"/>
  <c r="R166" i="16"/>
  <c r="R167" i="16"/>
  <c r="R168" i="16"/>
  <c r="R169" i="16"/>
  <c r="R170" i="16"/>
  <c r="R171" i="16"/>
  <c r="R172" i="16"/>
  <c r="R173" i="16"/>
  <c r="R174" i="16"/>
  <c r="R175" i="16"/>
  <c r="R176" i="16"/>
  <c r="R177" i="16"/>
  <c r="R178" i="16"/>
  <c r="R179" i="16"/>
  <c r="R180" i="16"/>
  <c r="R181" i="16"/>
  <c r="R182" i="16"/>
  <c r="R183" i="16"/>
  <c r="R184" i="16"/>
  <c r="R185" i="16"/>
  <c r="R186" i="16"/>
  <c r="S186" i="16" s="1"/>
  <c r="R187" i="16"/>
  <c r="R188" i="16"/>
  <c r="S188" i="16" s="1"/>
  <c r="R189" i="16"/>
  <c r="R190" i="16"/>
  <c r="R191" i="16"/>
  <c r="R192" i="16"/>
  <c r="Q4" i="16"/>
  <c r="Q5" i="16"/>
  <c r="Q6" i="16"/>
  <c r="Q7" i="16"/>
  <c r="Q8" i="16"/>
  <c r="Q9" i="16"/>
  <c r="Q10" i="16"/>
  <c r="Q11" i="16"/>
  <c r="Q12" i="16"/>
  <c r="Q13" i="16"/>
  <c r="Q14" i="16"/>
  <c r="Q15" i="16"/>
  <c r="Q16" i="16"/>
  <c r="Q17" i="16"/>
  <c r="Q18" i="16"/>
  <c r="Q19" i="16"/>
  <c r="Q20" i="16"/>
  <c r="Q21" i="16"/>
  <c r="Q22" i="16"/>
  <c r="Q23" i="16"/>
  <c r="Q24" i="16"/>
  <c r="Q25" i="16"/>
  <c r="Q26" i="16"/>
  <c r="Q27" i="16"/>
  <c r="Q28" i="16"/>
  <c r="Q29" i="16"/>
  <c r="Q30" i="16"/>
  <c r="Q31" i="16"/>
  <c r="Q32" i="16"/>
  <c r="Q33" i="16"/>
  <c r="Q34" i="16"/>
  <c r="Q35" i="16"/>
  <c r="Q36" i="16"/>
  <c r="Q37" i="16"/>
  <c r="Q38" i="16"/>
  <c r="Q39" i="16"/>
  <c r="Q40" i="16"/>
  <c r="Q41" i="16"/>
  <c r="Q42" i="16"/>
  <c r="Q43" i="16"/>
  <c r="Q44" i="16"/>
  <c r="Q45" i="16"/>
  <c r="Q46" i="16"/>
  <c r="Q47" i="16"/>
  <c r="Q48" i="16"/>
  <c r="Q49" i="16"/>
  <c r="Q50" i="16"/>
  <c r="Q51" i="16"/>
  <c r="Q52" i="16"/>
  <c r="Q53" i="16"/>
  <c r="Q54" i="16"/>
  <c r="Q55" i="16"/>
  <c r="Q56" i="16"/>
  <c r="Q57" i="16"/>
  <c r="Q58" i="16"/>
  <c r="Q59" i="16"/>
  <c r="Q60" i="16"/>
  <c r="Q61" i="16"/>
  <c r="Q62" i="16"/>
  <c r="Q63" i="16"/>
  <c r="Q64" i="16"/>
  <c r="Q65" i="16"/>
  <c r="Q66" i="16"/>
  <c r="Q67" i="16"/>
  <c r="Q68" i="16"/>
  <c r="Q69" i="16"/>
  <c r="Q70" i="16"/>
  <c r="Q71" i="16"/>
  <c r="Q72" i="16"/>
  <c r="Q73" i="16"/>
  <c r="Q74" i="16"/>
  <c r="Q75" i="16"/>
  <c r="Q76" i="16"/>
  <c r="Q77" i="16"/>
  <c r="Q78" i="16"/>
  <c r="Q79" i="16"/>
  <c r="Q80" i="16"/>
  <c r="Q81" i="16"/>
  <c r="Q82" i="16"/>
  <c r="Q83" i="16"/>
  <c r="Q84" i="16"/>
  <c r="Q85" i="16"/>
  <c r="Q86" i="16"/>
  <c r="Q87" i="16"/>
  <c r="Q88" i="16"/>
  <c r="Q89" i="16"/>
  <c r="Q90" i="16"/>
  <c r="Q91" i="16"/>
  <c r="Q92" i="16"/>
  <c r="Q93" i="16"/>
  <c r="Q94" i="16"/>
  <c r="Q95" i="16"/>
  <c r="Q96" i="16"/>
  <c r="Q97" i="16"/>
  <c r="Q98" i="16"/>
  <c r="Q99" i="16"/>
  <c r="Q100" i="16"/>
  <c r="Q101" i="16"/>
  <c r="Q102" i="16"/>
  <c r="Q103" i="16"/>
  <c r="Q104" i="16"/>
  <c r="Q105" i="16"/>
  <c r="Q106" i="16"/>
  <c r="Q107" i="16"/>
  <c r="Q108" i="16"/>
  <c r="Q109" i="16"/>
  <c r="Q110" i="16"/>
  <c r="Q111" i="16"/>
  <c r="Q112" i="16"/>
  <c r="Q113" i="16"/>
  <c r="Q114" i="16"/>
  <c r="Q115" i="16"/>
  <c r="Q116" i="16"/>
  <c r="Q117" i="16"/>
  <c r="Q118" i="16"/>
  <c r="Q119" i="16"/>
  <c r="Q120" i="16"/>
  <c r="Q121" i="16"/>
  <c r="Q122" i="16"/>
  <c r="Q123" i="16"/>
  <c r="Q124" i="16"/>
  <c r="Q125" i="16"/>
  <c r="Q126" i="16"/>
  <c r="Q127" i="16"/>
  <c r="Q128" i="16"/>
  <c r="Q129" i="16"/>
  <c r="Q130" i="16"/>
  <c r="Q131" i="16"/>
  <c r="Q132" i="16"/>
  <c r="Q133" i="16"/>
  <c r="Q134" i="16"/>
  <c r="Q135" i="16"/>
  <c r="Q136" i="16"/>
  <c r="Q137" i="16"/>
  <c r="Q138" i="16"/>
  <c r="Q139" i="16"/>
  <c r="Q140" i="16"/>
  <c r="Q141" i="16"/>
  <c r="Q142" i="16"/>
  <c r="Q143" i="16"/>
  <c r="Q144" i="16"/>
  <c r="Q145" i="16"/>
  <c r="Q146" i="16"/>
  <c r="Q147" i="16"/>
  <c r="Q148" i="16"/>
  <c r="Q149" i="16"/>
  <c r="Q150" i="16"/>
  <c r="Q151" i="16"/>
  <c r="Q152" i="16"/>
  <c r="Q153" i="16"/>
  <c r="Q154" i="16"/>
  <c r="Q155" i="16"/>
  <c r="Q156" i="16"/>
  <c r="Q157" i="16"/>
  <c r="Q158" i="16"/>
  <c r="Q159" i="16"/>
  <c r="Q160" i="16"/>
  <c r="Q161" i="16"/>
  <c r="Q162" i="16"/>
  <c r="Q163" i="16"/>
  <c r="Q164" i="16"/>
  <c r="Q165" i="16"/>
  <c r="Q166" i="16"/>
  <c r="Q167" i="16"/>
  <c r="Q168" i="16"/>
  <c r="Q169" i="16"/>
  <c r="Q170" i="16"/>
  <c r="Q171" i="16"/>
  <c r="Q172" i="16"/>
  <c r="Q173" i="16"/>
  <c r="Q174" i="16"/>
  <c r="Q175" i="16"/>
  <c r="Q176" i="16"/>
  <c r="Q177" i="16"/>
  <c r="Q178" i="16"/>
  <c r="Q179" i="16"/>
  <c r="Q180" i="16"/>
  <c r="Q181" i="16"/>
  <c r="Q182" i="16"/>
  <c r="Q183" i="16"/>
  <c r="Q184" i="16"/>
  <c r="Q185" i="16"/>
  <c r="Q186" i="16"/>
  <c r="Q187" i="16"/>
  <c r="Q188" i="16"/>
  <c r="Q189" i="16"/>
  <c r="Q190" i="16"/>
  <c r="Q191" i="16"/>
  <c r="Q192" i="16"/>
  <c r="K4" i="16"/>
  <c r="K5" i="16"/>
  <c r="K6" i="16"/>
  <c r="P6" i="16" s="1"/>
  <c r="K7" i="16"/>
  <c r="P7" i="16" s="1"/>
  <c r="K8" i="16"/>
  <c r="P8" i="16" s="1"/>
  <c r="K9" i="16"/>
  <c r="K10" i="16"/>
  <c r="K11" i="16"/>
  <c r="K12" i="16"/>
  <c r="K13" i="16"/>
  <c r="K14" i="16"/>
  <c r="P14" i="16" s="1"/>
  <c r="K15" i="16"/>
  <c r="P15" i="16" s="1"/>
  <c r="K16" i="16"/>
  <c r="K17" i="16"/>
  <c r="K18" i="16"/>
  <c r="K19" i="16"/>
  <c r="P19" i="16" s="1"/>
  <c r="K20" i="16"/>
  <c r="K21" i="16"/>
  <c r="K22" i="16"/>
  <c r="K23" i="16"/>
  <c r="P23" i="16" s="1"/>
  <c r="K24" i="16"/>
  <c r="K25" i="16"/>
  <c r="P25" i="16" s="1"/>
  <c r="K26" i="16"/>
  <c r="K27" i="16"/>
  <c r="K28" i="16"/>
  <c r="K29" i="16"/>
  <c r="K30" i="16"/>
  <c r="K31" i="16"/>
  <c r="P31" i="16" s="1"/>
  <c r="K32" i="16"/>
  <c r="K33" i="16"/>
  <c r="K34" i="16"/>
  <c r="K35" i="16"/>
  <c r="P35" i="16" s="1"/>
  <c r="K36" i="16"/>
  <c r="K37" i="16"/>
  <c r="K38" i="16"/>
  <c r="P38" i="16" s="1"/>
  <c r="K39" i="16"/>
  <c r="K40" i="16"/>
  <c r="K41" i="16"/>
  <c r="K42" i="16"/>
  <c r="K43" i="16"/>
  <c r="K44" i="16"/>
  <c r="K45" i="16"/>
  <c r="K46" i="16"/>
  <c r="K47" i="16"/>
  <c r="K48" i="16"/>
  <c r="K49" i="16"/>
  <c r="K50" i="16"/>
  <c r="K51" i="16"/>
  <c r="K52" i="16"/>
  <c r="K53" i="16"/>
  <c r="K54" i="16"/>
  <c r="K55" i="16"/>
  <c r="P55" i="16" s="1"/>
  <c r="K56" i="16"/>
  <c r="K57" i="16"/>
  <c r="K58" i="16"/>
  <c r="K59" i="16"/>
  <c r="K60" i="16"/>
  <c r="K61" i="16"/>
  <c r="K62" i="16"/>
  <c r="P62" i="16" s="1"/>
  <c r="K63" i="16"/>
  <c r="K64" i="16"/>
  <c r="K65" i="16"/>
  <c r="K66" i="16"/>
  <c r="K67" i="16"/>
  <c r="P67" i="16" s="1"/>
  <c r="K68" i="16"/>
  <c r="K69" i="16"/>
  <c r="K70" i="16"/>
  <c r="P70" i="16" s="1"/>
  <c r="K71" i="16"/>
  <c r="K72" i="16"/>
  <c r="K73" i="16"/>
  <c r="K74" i="16"/>
  <c r="K75" i="16"/>
  <c r="K76" i="16"/>
  <c r="K77" i="16"/>
  <c r="K78" i="16"/>
  <c r="P78" i="16" s="1"/>
  <c r="K79" i="16"/>
  <c r="P79" i="16" s="1"/>
  <c r="K80" i="16"/>
  <c r="K81" i="16"/>
  <c r="K82" i="16"/>
  <c r="K83" i="16"/>
  <c r="P83" i="16" s="1"/>
  <c r="K84" i="16"/>
  <c r="K85" i="16"/>
  <c r="K86" i="16"/>
  <c r="P86" i="16" s="1"/>
  <c r="K87" i="16"/>
  <c r="K88" i="16"/>
  <c r="K89" i="16"/>
  <c r="K90" i="16"/>
  <c r="K91" i="16"/>
  <c r="K92" i="16"/>
  <c r="K93" i="16"/>
  <c r="K94" i="16"/>
  <c r="P94" i="16" s="1"/>
  <c r="K95" i="16"/>
  <c r="P95" i="16" s="1"/>
  <c r="K96" i="16"/>
  <c r="K97" i="16"/>
  <c r="K98" i="16"/>
  <c r="K99" i="16"/>
  <c r="P99" i="16" s="1"/>
  <c r="K100" i="16"/>
  <c r="K101" i="16"/>
  <c r="K102" i="16"/>
  <c r="K103" i="16"/>
  <c r="P103" i="16" s="1"/>
  <c r="K104" i="16"/>
  <c r="K105" i="16"/>
  <c r="K106" i="16"/>
  <c r="K107" i="16"/>
  <c r="K108" i="16"/>
  <c r="K109" i="16"/>
  <c r="K110" i="16"/>
  <c r="P110" i="16" s="1"/>
  <c r="K111" i="16"/>
  <c r="P111" i="16" s="1"/>
  <c r="K112" i="16"/>
  <c r="K113" i="16"/>
  <c r="P113" i="16" s="1"/>
  <c r="K114" i="16"/>
  <c r="K115" i="16"/>
  <c r="P115" i="16" s="1"/>
  <c r="K116" i="16"/>
  <c r="K117" i="16"/>
  <c r="K118" i="16"/>
  <c r="P118" i="16" s="1"/>
  <c r="K119" i="16"/>
  <c r="P119" i="16" s="1"/>
  <c r="K120" i="16"/>
  <c r="P120" i="16" s="1"/>
  <c r="K121" i="16"/>
  <c r="P121" i="16" s="1"/>
  <c r="K122" i="16"/>
  <c r="K123" i="16"/>
  <c r="K124" i="16"/>
  <c r="K125" i="16"/>
  <c r="P125" i="16" s="1"/>
  <c r="K126" i="16"/>
  <c r="P126" i="16" s="1"/>
  <c r="K127" i="16"/>
  <c r="P127" i="16" s="1"/>
  <c r="K128" i="16"/>
  <c r="K129" i="16"/>
  <c r="P129" i="16" s="1"/>
  <c r="K130" i="16"/>
  <c r="K131" i="16"/>
  <c r="K132" i="16"/>
  <c r="K133" i="16"/>
  <c r="K134" i="16"/>
  <c r="P134" i="16" s="1"/>
  <c r="K135" i="16"/>
  <c r="P135" i="16" s="1"/>
  <c r="K136" i="16"/>
  <c r="K137" i="16"/>
  <c r="P137" i="16" s="1"/>
  <c r="K138" i="16"/>
  <c r="K139" i="16"/>
  <c r="K140" i="16"/>
  <c r="K141" i="16"/>
  <c r="P141" i="16" s="1"/>
  <c r="K142" i="16"/>
  <c r="P142" i="16" s="1"/>
  <c r="K143" i="16"/>
  <c r="P143" i="16" s="1"/>
  <c r="K144" i="16"/>
  <c r="K145" i="16"/>
  <c r="P145" i="16" s="1"/>
  <c r="K146" i="16"/>
  <c r="K147" i="16"/>
  <c r="P147" i="16" s="1"/>
  <c r="K148" i="16"/>
  <c r="K149" i="16"/>
  <c r="P149" i="16" s="1"/>
  <c r="K150" i="16"/>
  <c r="P150" i="16" s="1"/>
  <c r="K151" i="16"/>
  <c r="P151" i="16" s="1"/>
  <c r="K152" i="16"/>
  <c r="P152" i="16" s="1"/>
  <c r="K153" i="16"/>
  <c r="P153" i="16" s="1"/>
  <c r="K154" i="16"/>
  <c r="K155" i="16"/>
  <c r="P155" i="16" s="1"/>
  <c r="K156" i="16"/>
  <c r="K157" i="16"/>
  <c r="P157" i="16" s="1"/>
  <c r="K158" i="16"/>
  <c r="P158" i="16" s="1"/>
  <c r="K159" i="16"/>
  <c r="P159" i="16" s="1"/>
  <c r="K160" i="16"/>
  <c r="P160" i="16" s="1"/>
  <c r="K161" i="16"/>
  <c r="P161" i="16" s="1"/>
  <c r="K162" i="16"/>
  <c r="K163" i="16"/>
  <c r="P163" i="16" s="1"/>
  <c r="K164" i="16"/>
  <c r="K165" i="16"/>
  <c r="K166" i="16"/>
  <c r="K167" i="16"/>
  <c r="P167" i="16" s="1"/>
  <c r="K168" i="16"/>
  <c r="K169" i="16"/>
  <c r="K170" i="16"/>
  <c r="K171" i="16"/>
  <c r="K172" i="16"/>
  <c r="P172" i="16" s="1"/>
  <c r="K173" i="16"/>
  <c r="P173" i="16" s="1"/>
  <c r="K174" i="16"/>
  <c r="K175" i="16"/>
  <c r="P175" i="16" s="1"/>
  <c r="K176" i="16"/>
  <c r="K177" i="16"/>
  <c r="K178" i="16"/>
  <c r="K179" i="16"/>
  <c r="P179" i="16" s="1"/>
  <c r="K180" i="16"/>
  <c r="K181" i="16"/>
  <c r="P181" i="16" s="1"/>
  <c r="K182" i="16"/>
  <c r="K183" i="16"/>
  <c r="P183" i="16" s="1"/>
  <c r="K184" i="16"/>
  <c r="K185" i="16"/>
  <c r="P185" i="16" s="1"/>
  <c r="K186" i="16"/>
  <c r="P186" i="16" s="1"/>
  <c r="K187" i="16"/>
  <c r="K188" i="16"/>
  <c r="K189" i="16"/>
  <c r="K190" i="16"/>
  <c r="P190" i="16" s="1"/>
  <c r="K191" i="16"/>
  <c r="P191" i="16" s="1"/>
  <c r="K192" i="16"/>
  <c r="J12" i="16"/>
  <c r="J13" i="16"/>
  <c r="J14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29" i="16"/>
  <c r="J30" i="16"/>
  <c r="J31" i="16"/>
  <c r="J32" i="16"/>
  <c r="J33" i="16"/>
  <c r="J34" i="16"/>
  <c r="J35" i="16"/>
  <c r="J36" i="16"/>
  <c r="J37" i="16"/>
  <c r="J38" i="16"/>
  <c r="J39" i="16"/>
  <c r="J40" i="16"/>
  <c r="J41" i="16"/>
  <c r="J42" i="16"/>
  <c r="J43" i="16"/>
  <c r="J44" i="16"/>
  <c r="J45" i="16"/>
  <c r="J46" i="16"/>
  <c r="J47" i="16"/>
  <c r="J48" i="16"/>
  <c r="J49" i="16"/>
  <c r="J50" i="16"/>
  <c r="J51" i="16"/>
  <c r="J52" i="16"/>
  <c r="J53" i="16"/>
  <c r="J54" i="16"/>
  <c r="J55" i="16"/>
  <c r="J56" i="16"/>
  <c r="J57" i="16"/>
  <c r="J58" i="16"/>
  <c r="J59" i="16"/>
  <c r="J60" i="16"/>
  <c r="J61" i="16"/>
  <c r="J62" i="16"/>
  <c r="J63" i="16"/>
  <c r="J64" i="16"/>
  <c r="J65" i="16"/>
  <c r="J66" i="16"/>
  <c r="J67" i="16"/>
  <c r="J68" i="16"/>
  <c r="J69" i="16"/>
  <c r="J70" i="16"/>
  <c r="J71" i="16"/>
  <c r="J72" i="16"/>
  <c r="J73" i="16"/>
  <c r="J74" i="16"/>
  <c r="J75" i="16"/>
  <c r="J76" i="16"/>
  <c r="J77" i="16"/>
  <c r="J78" i="16"/>
  <c r="J79" i="16"/>
  <c r="J80" i="16"/>
  <c r="J81" i="16"/>
  <c r="J82" i="16"/>
  <c r="J83" i="16"/>
  <c r="J84" i="16"/>
  <c r="J85" i="16"/>
  <c r="J86" i="16"/>
  <c r="J87" i="16"/>
  <c r="J88" i="16"/>
  <c r="J89" i="16"/>
  <c r="J90" i="16"/>
  <c r="J91" i="16"/>
  <c r="J92" i="16"/>
  <c r="J93" i="16"/>
  <c r="J94" i="16"/>
  <c r="J95" i="16"/>
  <c r="J96" i="16"/>
  <c r="J97" i="16"/>
  <c r="J98" i="16"/>
  <c r="J99" i="16"/>
  <c r="J100" i="16"/>
  <c r="J101" i="16"/>
  <c r="J102" i="16"/>
  <c r="J103" i="16"/>
  <c r="J104" i="16"/>
  <c r="J105" i="16"/>
  <c r="J106" i="16"/>
  <c r="J107" i="16"/>
  <c r="J108" i="16"/>
  <c r="J109" i="16"/>
  <c r="J110" i="16"/>
  <c r="J111" i="16"/>
  <c r="J112" i="16"/>
  <c r="J113" i="16"/>
  <c r="J114" i="16"/>
  <c r="J115" i="16"/>
  <c r="J116" i="16"/>
  <c r="J117" i="16"/>
  <c r="J118" i="16"/>
  <c r="J119" i="16"/>
  <c r="J120" i="16"/>
  <c r="J121" i="16"/>
  <c r="J122" i="16"/>
  <c r="J123" i="16"/>
  <c r="J124" i="16"/>
  <c r="J125" i="16"/>
  <c r="J126" i="16"/>
  <c r="J127" i="16"/>
  <c r="J128" i="16"/>
  <c r="J129" i="16"/>
  <c r="J130" i="16"/>
  <c r="J131" i="16"/>
  <c r="J132" i="16"/>
  <c r="J133" i="16"/>
  <c r="J134" i="16"/>
  <c r="J135" i="16"/>
  <c r="J136" i="16"/>
  <c r="J137" i="16"/>
  <c r="J138" i="16"/>
  <c r="J139" i="16"/>
  <c r="J140" i="16"/>
  <c r="J141" i="16"/>
  <c r="J142" i="16"/>
  <c r="J143" i="16"/>
  <c r="J144" i="16"/>
  <c r="J145" i="16"/>
  <c r="J146" i="16"/>
  <c r="J147" i="16"/>
  <c r="J148" i="16"/>
  <c r="J149" i="16"/>
  <c r="J150" i="16"/>
  <c r="J151" i="16"/>
  <c r="J152" i="16"/>
  <c r="J153" i="16"/>
  <c r="J154" i="16"/>
  <c r="J155" i="16"/>
  <c r="J156" i="16"/>
  <c r="J157" i="16"/>
  <c r="J158" i="16"/>
  <c r="J159" i="16"/>
  <c r="J160" i="16"/>
  <c r="J161" i="16"/>
  <c r="J162" i="16"/>
  <c r="J163" i="16"/>
  <c r="J164" i="16"/>
  <c r="J165" i="16"/>
  <c r="J166" i="16"/>
  <c r="J167" i="16"/>
  <c r="J168" i="16"/>
  <c r="J169" i="16"/>
  <c r="J170" i="16"/>
  <c r="J171" i="16"/>
  <c r="J172" i="16"/>
  <c r="J173" i="16"/>
  <c r="J174" i="16"/>
  <c r="J175" i="16"/>
  <c r="J176" i="16"/>
  <c r="J177" i="16"/>
  <c r="J178" i="16"/>
  <c r="J179" i="16"/>
  <c r="J180" i="16"/>
  <c r="J181" i="16"/>
  <c r="J182" i="16"/>
  <c r="J183" i="16"/>
  <c r="J184" i="16"/>
  <c r="J185" i="16"/>
  <c r="J186" i="16"/>
  <c r="J187" i="16"/>
  <c r="J188" i="16"/>
  <c r="J189" i="16"/>
  <c r="J190" i="16"/>
  <c r="J191" i="16"/>
  <c r="J192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43" i="16"/>
  <c r="I44" i="16"/>
  <c r="I45" i="16"/>
  <c r="I46" i="16"/>
  <c r="I47" i="16"/>
  <c r="I48" i="16"/>
  <c r="I49" i="16"/>
  <c r="I50" i="16"/>
  <c r="I51" i="16"/>
  <c r="I52" i="16"/>
  <c r="I53" i="16"/>
  <c r="I54" i="16"/>
  <c r="I55" i="16"/>
  <c r="I56" i="16"/>
  <c r="I57" i="16"/>
  <c r="I58" i="16"/>
  <c r="I59" i="16"/>
  <c r="I60" i="16"/>
  <c r="I61" i="16"/>
  <c r="I62" i="16"/>
  <c r="I63" i="16"/>
  <c r="I64" i="16"/>
  <c r="I65" i="16"/>
  <c r="I66" i="16"/>
  <c r="I67" i="16"/>
  <c r="I68" i="16"/>
  <c r="I69" i="16"/>
  <c r="I70" i="16"/>
  <c r="I71" i="16"/>
  <c r="I72" i="16"/>
  <c r="I73" i="16"/>
  <c r="I74" i="16"/>
  <c r="I75" i="16"/>
  <c r="I76" i="16"/>
  <c r="I77" i="16"/>
  <c r="I78" i="16"/>
  <c r="I79" i="16"/>
  <c r="I80" i="16"/>
  <c r="I81" i="16"/>
  <c r="I82" i="16"/>
  <c r="I83" i="16"/>
  <c r="I84" i="16"/>
  <c r="I85" i="16"/>
  <c r="I86" i="16"/>
  <c r="I87" i="16"/>
  <c r="I88" i="16"/>
  <c r="I89" i="16"/>
  <c r="I90" i="16"/>
  <c r="I91" i="16"/>
  <c r="I92" i="16"/>
  <c r="I93" i="16"/>
  <c r="I94" i="16"/>
  <c r="I95" i="16"/>
  <c r="I96" i="16"/>
  <c r="I97" i="16"/>
  <c r="I98" i="16"/>
  <c r="I99" i="16"/>
  <c r="I100" i="16"/>
  <c r="I101" i="16"/>
  <c r="I102" i="16"/>
  <c r="I103" i="16"/>
  <c r="I104" i="16"/>
  <c r="I105" i="16"/>
  <c r="I106" i="16"/>
  <c r="I107" i="16"/>
  <c r="I108" i="16"/>
  <c r="I109" i="16"/>
  <c r="I110" i="16"/>
  <c r="I111" i="16"/>
  <c r="I112" i="16"/>
  <c r="I113" i="16"/>
  <c r="I114" i="16"/>
  <c r="I115" i="16"/>
  <c r="I116" i="16"/>
  <c r="I117" i="16"/>
  <c r="I118" i="16"/>
  <c r="I119" i="16"/>
  <c r="I120" i="16"/>
  <c r="I121" i="16"/>
  <c r="I122" i="16"/>
  <c r="I123" i="16"/>
  <c r="I124" i="16"/>
  <c r="I125" i="16"/>
  <c r="I126" i="16"/>
  <c r="I127" i="16"/>
  <c r="I128" i="16"/>
  <c r="I129" i="16"/>
  <c r="I130" i="16"/>
  <c r="I131" i="16"/>
  <c r="I132" i="16"/>
  <c r="I133" i="16"/>
  <c r="I134" i="16"/>
  <c r="I135" i="16"/>
  <c r="I136" i="16"/>
  <c r="I137" i="16"/>
  <c r="I138" i="16"/>
  <c r="I139" i="16"/>
  <c r="I140" i="16"/>
  <c r="I141" i="16"/>
  <c r="I142" i="16"/>
  <c r="I143" i="16"/>
  <c r="I144" i="16"/>
  <c r="I145" i="16"/>
  <c r="I146" i="16"/>
  <c r="I147" i="16"/>
  <c r="I148" i="16"/>
  <c r="I149" i="16"/>
  <c r="I150" i="16"/>
  <c r="I151" i="16"/>
  <c r="I152" i="16"/>
  <c r="I153" i="16"/>
  <c r="I154" i="16"/>
  <c r="I155" i="16"/>
  <c r="I156" i="16"/>
  <c r="I157" i="16"/>
  <c r="I158" i="16"/>
  <c r="I159" i="16"/>
  <c r="I160" i="16"/>
  <c r="I161" i="16"/>
  <c r="I162" i="16"/>
  <c r="I163" i="16"/>
  <c r="I164" i="16"/>
  <c r="I165" i="16"/>
  <c r="I166" i="16"/>
  <c r="I167" i="16"/>
  <c r="I168" i="16"/>
  <c r="I169" i="16"/>
  <c r="I170" i="16"/>
  <c r="I171" i="16"/>
  <c r="I172" i="16"/>
  <c r="I173" i="16"/>
  <c r="I174" i="16"/>
  <c r="I175" i="16"/>
  <c r="I176" i="16"/>
  <c r="I177" i="16"/>
  <c r="I178" i="16"/>
  <c r="I179" i="16"/>
  <c r="I180" i="16"/>
  <c r="I181" i="16"/>
  <c r="I182" i="16"/>
  <c r="I183" i="16"/>
  <c r="I184" i="16"/>
  <c r="I185" i="16"/>
  <c r="I186" i="16"/>
  <c r="I187" i="16"/>
  <c r="I188" i="16"/>
  <c r="I189" i="16"/>
  <c r="I190" i="16"/>
  <c r="I191" i="16"/>
  <c r="I192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30" i="16"/>
  <c r="H131" i="16"/>
  <c r="H132" i="16"/>
  <c r="H133" i="16"/>
  <c r="H134" i="16"/>
  <c r="H135" i="16"/>
  <c r="H136" i="16"/>
  <c r="H137" i="16"/>
  <c r="H138" i="16"/>
  <c r="H139" i="16"/>
  <c r="H140" i="16"/>
  <c r="H141" i="16"/>
  <c r="H142" i="16"/>
  <c r="H143" i="16"/>
  <c r="H144" i="16"/>
  <c r="H145" i="16"/>
  <c r="H146" i="16"/>
  <c r="H147" i="16"/>
  <c r="H148" i="16"/>
  <c r="H149" i="16"/>
  <c r="H150" i="16"/>
  <c r="H151" i="16"/>
  <c r="H152" i="16"/>
  <c r="H153" i="16"/>
  <c r="H154" i="16"/>
  <c r="H155" i="16"/>
  <c r="H156" i="16"/>
  <c r="H157" i="16"/>
  <c r="H158" i="16"/>
  <c r="H159" i="16"/>
  <c r="H160" i="16"/>
  <c r="H161" i="16"/>
  <c r="H162" i="16"/>
  <c r="H163" i="16"/>
  <c r="H164" i="16"/>
  <c r="H165" i="16"/>
  <c r="H166" i="16"/>
  <c r="H167" i="16"/>
  <c r="H168" i="16"/>
  <c r="H169" i="16"/>
  <c r="H170" i="16"/>
  <c r="H171" i="16"/>
  <c r="H172" i="16"/>
  <c r="H173" i="16"/>
  <c r="H174" i="16"/>
  <c r="H175" i="16"/>
  <c r="H176" i="16"/>
  <c r="H177" i="16"/>
  <c r="H178" i="16"/>
  <c r="H179" i="16"/>
  <c r="H180" i="16"/>
  <c r="H181" i="16"/>
  <c r="H182" i="16"/>
  <c r="H183" i="16"/>
  <c r="H184" i="16"/>
  <c r="H185" i="16"/>
  <c r="H186" i="16"/>
  <c r="H187" i="16"/>
  <c r="H188" i="16"/>
  <c r="H189" i="16"/>
  <c r="H190" i="16"/>
  <c r="H191" i="16"/>
  <c r="H192" i="16"/>
  <c r="E6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E20" i="16"/>
  <c r="E21" i="16"/>
  <c r="E22" i="16"/>
  <c r="E23" i="16"/>
  <c r="E24" i="16"/>
  <c r="E25" i="16"/>
  <c r="E26" i="16"/>
  <c r="E27" i="16"/>
  <c r="E28" i="16"/>
  <c r="E29" i="16"/>
  <c r="E30" i="16"/>
  <c r="E31" i="16"/>
  <c r="E32" i="16"/>
  <c r="E33" i="16"/>
  <c r="E34" i="16"/>
  <c r="E35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48" i="16"/>
  <c r="E49" i="16"/>
  <c r="E50" i="16"/>
  <c r="E51" i="16"/>
  <c r="E52" i="16"/>
  <c r="E53" i="16"/>
  <c r="E54" i="16"/>
  <c r="E55" i="16"/>
  <c r="E56" i="16"/>
  <c r="E57" i="16"/>
  <c r="E58" i="16"/>
  <c r="E59" i="16"/>
  <c r="E60" i="16"/>
  <c r="E61" i="16"/>
  <c r="E62" i="16"/>
  <c r="E63" i="16"/>
  <c r="E64" i="16"/>
  <c r="E65" i="16"/>
  <c r="E66" i="16"/>
  <c r="E67" i="16"/>
  <c r="E68" i="16"/>
  <c r="E69" i="16"/>
  <c r="E70" i="16"/>
  <c r="E71" i="16"/>
  <c r="E72" i="16"/>
  <c r="E73" i="16"/>
  <c r="E74" i="16"/>
  <c r="E75" i="16"/>
  <c r="E76" i="16"/>
  <c r="E77" i="16"/>
  <c r="E78" i="16"/>
  <c r="E79" i="16"/>
  <c r="E80" i="16"/>
  <c r="E81" i="16"/>
  <c r="E82" i="16"/>
  <c r="E83" i="16"/>
  <c r="E84" i="16"/>
  <c r="E85" i="16"/>
  <c r="E86" i="16"/>
  <c r="E87" i="16"/>
  <c r="E88" i="16"/>
  <c r="E89" i="16"/>
  <c r="E90" i="16"/>
  <c r="E91" i="16"/>
  <c r="E92" i="16"/>
  <c r="E93" i="16"/>
  <c r="E94" i="16"/>
  <c r="E95" i="16"/>
  <c r="E96" i="16"/>
  <c r="E97" i="16"/>
  <c r="E98" i="16"/>
  <c r="E99" i="16"/>
  <c r="E100" i="16"/>
  <c r="E101" i="16"/>
  <c r="E102" i="16"/>
  <c r="E103" i="16"/>
  <c r="E104" i="16"/>
  <c r="E105" i="16"/>
  <c r="E106" i="16"/>
  <c r="E107" i="16"/>
  <c r="E108" i="16"/>
  <c r="E109" i="16"/>
  <c r="E110" i="16"/>
  <c r="E111" i="16"/>
  <c r="E112" i="16"/>
  <c r="E113" i="16"/>
  <c r="E114" i="16"/>
  <c r="E115" i="16"/>
  <c r="E116" i="16"/>
  <c r="E117" i="16"/>
  <c r="E118" i="16"/>
  <c r="E119" i="16"/>
  <c r="E120" i="16"/>
  <c r="E121" i="16"/>
  <c r="E122" i="16"/>
  <c r="E123" i="16"/>
  <c r="E124" i="16"/>
  <c r="E125" i="16"/>
  <c r="E126" i="16"/>
  <c r="E127" i="16"/>
  <c r="E128" i="16"/>
  <c r="E129" i="16"/>
  <c r="E130" i="16"/>
  <c r="E131" i="16"/>
  <c r="E132" i="16"/>
  <c r="E133" i="16"/>
  <c r="E134" i="16"/>
  <c r="E135" i="16"/>
  <c r="E136" i="16"/>
  <c r="E137" i="16"/>
  <c r="E138" i="16"/>
  <c r="E139" i="16"/>
  <c r="E140" i="16"/>
  <c r="E141" i="16"/>
  <c r="E142" i="16"/>
  <c r="E143" i="16"/>
  <c r="E144" i="16"/>
  <c r="E145" i="16"/>
  <c r="E146" i="16"/>
  <c r="E147" i="16"/>
  <c r="E148" i="16"/>
  <c r="E149" i="16"/>
  <c r="E150" i="16"/>
  <c r="E151" i="16"/>
  <c r="E152" i="16"/>
  <c r="E153" i="16"/>
  <c r="E154" i="16"/>
  <c r="E155" i="16"/>
  <c r="E156" i="16"/>
  <c r="E157" i="16"/>
  <c r="E158" i="16"/>
  <c r="E159" i="16"/>
  <c r="E160" i="16"/>
  <c r="E161" i="16"/>
  <c r="E162" i="16"/>
  <c r="E163" i="16"/>
  <c r="E164" i="16"/>
  <c r="E165" i="16"/>
  <c r="E166" i="16"/>
  <c r="E167" i="16"/>
  <c r="E168" i="16"/>
  <c r="E169" i="16"/>
  <c r="E170" i="16"/>
  <c r="E171" i="16"/>
  <c r="E172" i="16"/>
  <c r="E173" i="16"/>
  <c r="E174" i="16"/>
  <c r="E175" i="16"/>
  <c r="E176" i="16"/>
  <c r="E177" i="16"/>
  <c r="E178" i="16"/>
  <c r="E179" i="16"/>
  <c r="E180" i="16"/>
  <c r="E181" i="16"/>
  <c r="E182" i="16"/>
  <c r="E183" i="16"/>
  <c r="E184" i="16"/>
  <c r="E185" i="16"/>
  <c r="E186" i="16"/>
  <c r="E187" i="16"/>
  <c r="E188" i="16"/>
  <c r="E189" i="16"/>
  <c r="E190" i="16"/>
  <c r="E191" i="16"/>
  <c r="E192" i="16"/>
  <c r="D8" i="16"/>
  <c r="D9" i="16"/>
  <c r="D10" i="16"/>
  <c r="D11" i="16"/>
  <c r="D12" i="16"/>
  <c r="D13" i="16"/>
  <c r="D14" i="16"/>
  <c r="D15" i="16"/>
  <c r="D17" i="16"/>
  <c r="D20" i="16"/>
  <c r="D22" i="16"/>
  <c r="D23" i="16"/>
  <c r="D24" i="16"/>
  <c r="D25" i="16"/>
  <c r="D26" i="16"/>
  <c r="D27" i="16"/>
  <c r="D28" i="16"/>
  <c r="D29" i="16"/>
  <c r="D30" i="16"/>
  <c r="D31" i="16"/>
  <c r="D33" i="16"/>
  <c r="D36" i="16"/>
  <c r="D38" i="16"/>
  <c r="D39" i="16"/>
  <c r="D40" i="16"/>
  <c r="D41" i="16"/>
  <c r="D42" i="16"/>
  <c r="D43" i="16"/>
  <c r="D44" i="16"/>
  <c r="D45" i="16"/>
  <c r="D46" i="16"/>
  <c r="D47" i="16"/>
  <c r="D49" i="16"/>
  <c r="D52" i="16"/>
  <c r="D54" i="16"/>
  <c r="D55" i="16"/>
  <c r="D56" i="16"/>
  <c r="D57" i="16"/>
  <c r="D58" i="16"/>
  <c r="D59" i="16"/>
  <c r="D60" i="16"/>
  <c r="D61" i="16"/>
  <c r="D62" i="16"/>
  <c r="D63" i="16"/>
  <c r="D65" i="16"/>
  <c r="D68" i="16"/>
  <c r="D70" i="16"/>
  <c r="D71" i="16"/>
  <c r="D72" i="16"/>
  <c r="D73" i="16"/>
  <c r="D74" i="16"/>
  <c r="D75" i="16"/>
  <c r="D76" i="16"/>
  <c r="D77" i="16"/>
  <c r="D78" i="16"/>
  <c r="D79" i="16"/>
  <c r="D81" i="16"/>
  <c r="D84" i="16"/>
  <c r="D86" i="16"/>
  <c r="D87" i="16"/>
  <c r="D88" i="16"/>
  <c r="D89" i="16"/>
  <c r="D90" i="16"/>
  <c r="D91" i="16"/>
  <c r="D92" i="16"/>
  <c r="D93" i="16"/>
  <c r="D94" i="16"/>
  <c r="D95" i="16"/>
  <c r="D97" i="16"/>
  <c r="D100" i="16"/>
  <c r="D102" i="16"/>
  <c r="D103" i="16"/>
  <c r="D104" i="16"/>
  <c r="D105" i="16"/>
  <c r="D106" i="16"/>
  <c r="D107" i="16"/>
  <c r="D108" i="16"/>
  <c r="D109" i="16"/>
  <c r="D110" i="16"/>
  <c r="D111" i="16"/>
  <c r="D113" i="16"/>
  <c r="D116" i="16"/>
  <c r="D118" i="16"/>
  <c r="D119" i="16"/>
  <c r="D120" i="16"/>
  <c r="D121" i="16"/>
  <c r="D122" i="16"/>
  <c r="D123" i="16"/>
  <c r="D124" i="16"/>
  <c r="D125" i="16"/>
  <c r="D126" i="16"/>
  <c r="D127" i="16"/>
  <c r="D129" i="16"/>
  <c r="D132" i="16"/>
  <c r="D134" i="16"/>
  <c r="D135" i="16"/>
  <c r="D136" i="16"/>
  <c r="D137" i="16"/>
  <c r="D138" i="16"/>
  <c r="D139" i="16"/>
  <c r="D140" i="16"/>
  <c r="D141" i="16"/>
  <c r="D142" i="16"/>
  <c r="D143" i="16"/>
  <c r="D145" i="16"/>
  <c r="D148" i="16"/>
  <c r="D150" i="16"/>
  <c r="D151" i="16"/>
  <c r="D152" i="16"/>
  <c r="D153" i="16"/>
  <c r="D154" i="16"/>
  <c r="D155" i="16"/>
  <c r="D156" i="16"/>
  <c r="D157" i="16"/>
  <c r="D158" i="16"/>
  <c r="D159" i="16"/>
  <c r="D161" i="16"/>
  <c r="D164" i="16"/>
  <c r="D166" i="16"/>
  <c r="D167" i="16"/>
  <c r="D168" i="16"/>
  <c r="D169" i="16"/>
  <c r="D170" i="16"/>
  <c r="D171" i="16"/>
  <c r="D172" i="16"/>
  <c r="D173" i="16"/>
  <c r="D174" i="16"/>
  <c r="D175" i="16"/>
  <c r="D177" i="16"/>
  <c r="D180" i="16"/>
  <c r="D182" i="16"/>
  <c r="D183" i="16"/>
  <c r="D184" i="16"/>
  <c r="D185" i="16"/>
  <c r="D186" i="16"/>
  <c r="D187" i="16"/>
  <c r="D188" i="16"/>
  <c r="D189" i="16"/>
  <c r="D190" i="16"/>
  <c r="D191" i="16"/>
  <c r="D6" i="16"/>
  <c r="D7" i="16"/>
  <c r="V109" i="16"/>
  <c r="V110" i="16"/>
  <c r="V111" i="16"/>
  <c r="V112" i="16"/>
  <c r="V113" i="16"/>
  <c r="V114" i="16"/>
  <c r="V115" i="16"/>
  <c r="V116" i="16"/>
  <c r="V117" i="16"/>
  <c r="V118" i="16"/>
  <c r="V119" i="16"/>
  <c r="V120" i="16"/>
  <c r="V121" i="16"/>
  <c r="V122" i="16"/>
  <c r="V123" i="16"/>
  <c r="V124" i="16"/>
  <c r="V125" i="16"/>
  <c r="V126" i="16"/>
  <c r="V127" i="16"/>
  <c r="V108" i="16"/>
  <c r="V4" i="16"/>
  <c r="V5" i="16"/>
  <c r="V6" i="16"/>
  <c r="V7" i="16"/>
  <c r="V8" i="16"/>
  <c r="V9" i="16"/>
  <c r="V10" i="16"/>
  <c r="V11" i="16"/>
  <c r="V12" i="16"/>
  <c r="V13" i="16"/>
  <c r="V14" i="16"/>
  <c r="V15" i="16"/>
  <c r="V16" i="16"/>
  <c r="V17" i="16"/>
  <c r="V18" i="16"/>
  <c r="V19" i="16"/>
  <c r="V20" i="16"/>
  <c r="V21" i="16"/>
  <c r="V22" i="16"/>
  <c r="V23" i="16"/>
  <c r="V24" i="16"/>
  <c r="V25" i="16"/>
  <c r="V26" i="16"/>
  <c r="V27" i="16"/>
  <c r="V28" i="16"/>
  <c r="V29" i="16"/>
  <c r="V30" i="16"/>
  <c r="V31" i="16"/>
  <c r="V32" i="16"/>
  <c r="V33" i="16"/>
  <c r="V34" i="16"/>
  <c r="V35" i="16"/>
  <c r="V36" i="16"/>
  <c r="V37" i="16"/>
  <c r="V38" i="16"/>
  <c r="V39" i="16"/>
  <c r="V40" i="16"/>
  <c r="V41" i="16"/>
  <c r="V42" i="16"/>
  <c r="V43" i="16"/>
  <c r="V44" i="16"/>
  <c r="V45" i="16"/>
  <c r="V46" i="16"/>
  <c r="V47" i="16"/>
  <c r="V3" i="16"/>
  <c r="N32" i="16"/>
  <c r="N33" i="16"/>
  <c r="N34" i="16"/>
  <c r="N35" i="16"/>
  <c r="N36" i="16"/>
  <c r="N37" i="16"/>
  <c r="N38" i="16"/>
  <c r="N39" i="16"/>
  <c r="N40" i="16"/>
  <c r="N41" i="16"/>
  <c r="N42" i="16"/>
  <c r="N43" i="16"/>
  <c r="N44" i="16"/>
  <c r="N45" i="16"/>
  <c r="N46" i="16"/>
  <c r="N47" i="16"/>
  <c r="N48" i="16"/>
  <c r="N49" i="16"/>
  <c r="N50" i="16"/>
  <c r="N51" i="16"/>
  <c r="N52" i="16"/>
  <c r="N53" i="16"/>
  <c r="N54" i="16"/>
  <c r="N55" i="16"/>
  <c r="N56" i="16"/>
  <c r="N57" i="16"/>
  <c r="N58" i="16"/>
  <c r="N59" i="16"/>
  <c r="N60" i="16"/>
  <c r="N61" i="16"/>
  <c r="N62" i="16"/>
  <c r="N63" i="16"/>
  <c r="N64" i="16"/>
  <c r="N65" i="16"/>
  <c r="N66" i="16"/>
  <c r="N67" i="16"/>
  <c r="N68" i="16"/>
  <c r="N69" i="16"/>
  <c r="N70" i="16"/>
  <c r="N71" i="16"/>
  <c r="N72" i="16"/>
  <c r="N73" i="16"/>
  <c r="N74" i="16"/>
  <c r="N75" i="16"/>
  <c r="N76" i="16"/>
  <c r="N77" i="16"/>
  <c r="N78" i="16"/>
  <c r="N79" i="16"/>
  <c r="N80" i="16"/>
  <c r="N81" i="16"/>
  <c r="N82" i="16"/>
  <c r="N83" i="16"/>
  <c r="N84" i="16"/>
  <c r="N85" i="16"/>
  <c r="N86" i="16"/>
  <c r="N87" i="16"/>
  <c r="N88" i="16"/>
  <c r="N89" i="16"/>
  <c r="N90" i="16"/>
  <c r="N91" i="16"/>
  <c r="N92" i="16"/>
  <c r="N93" i="16"/>
  <c r="N94" i="16"/>
  <c r="N95" i="16"/>
  <c r="N96" i="16"/>
  <c r="N97" i="16"/>
  <c r="N98" i="16"/>
  <c r="N99" i="16"/>
  <c r="N100" i="16"/>
  <c r="N101" i="16"/>
  <c r="N102" i="16"/>
  <c r="N103" i="16"/>
  <c r="N104" i="16"/>
  <c r="N105" i="16"/>
  <c r="N106" i="16"/>
  <c r="N107" i="16"/>
  <c r="N108" i="16"/>
  <c r="N109" i="16"/>
  <c r="N110" i="16"/>
  <c r="N111" i="16"/>
  <c r="N112" i="16"/>
  <c r="N113" i="16"/>
  <c r="N114" i="16"/>
  <c r="N115" i="16"/>
  <c r="N116" i="16"/>
  <c r="N117" i="16"/>
  <c r="N118" i="16"/>
  <c r="N119" i="16"/>
  <c r="N120" i="16"/>
  <c r="N121" i="16"/>
  <c r="N122" i="16"/>
  <c r="N123" i="16"/>
  <c r="N124" i="16"/>
  <c r="N125" i="16"/>
  <c r="N126" i="16"/>
  <c r="N127" i="16"/>
  <c r="N128" i="16"/>
  <c r="N129" i="16"/>
  <c r="N130" i="16"/>
  <c r="N131" i="16"/>
  <c r="N132" i="16"/>
  <c r="N133" i="16"/>
  <c r="N134" i="16"/>
  <c r="N135" i="16"/>
  <c r="N136" i="16"/>
  <c r="N137" i="16"/>
  <c r="N138" i="16"/>
  <c r="N139" i="16"/>
  <c r="N140" i="16"/>
  <c r="N141" i="16"/>
  <c r="N142" i="16"/>
  <c r="N143" i="16"/>
  <c r="N144" i="16"/>
  <c r="N145" i="16"/>
  <c r="N146" i="16"/>
  <c r="N147" i="16"/>
  <c r="N148" i="16"/>
  <c r="N149" i="16"/>
  <c r="N150" i="16"/>
  <c r="N151" i="16"/>
  <c r="N152" i="16"/>
  <c r="N153" i="16"/>
  <c r="N154" i="16"/>
  <c r="N155" i="16"/>
  <c r="N156" i="16"/>
  <c r="N157" i="16"/>
  <c r="N158" i="16"/>
  <c r="N159" i="16"/>
  <c r="N160" i="16"/>
  <c r="N161" i="16"/>
  <c r="N162" i="16"/>
  <c r="N163" i="16"/>
  <c r="N164" i="16"/>
  <c r="N165" i="16"/>
  <c r="N166" i="16"/>
  <c r="N167" i="16"/>
  <c r="N168" i="16"/>
  <c r="N169" i="16"/>
  <c r="N170" i="16"/>
  <c r="N171" i="16"/>
  <c r="N172" i="16"/>
  <c r="N173" i="16"/>
  <c r="N174" i="16"/>
  <c r="N175" i="16"/>
  <c r="N176" i="16"/>
  <c r="N177" i="16"/>
  <c r="N178" i="16"/>
  <c r="N179" i="16"/>
  <c r="N180" i="16"/>
  <c r="N181" i="16"/>
  <c r="N182" i="16"/>
  <c r="N183" i="16"/>
  <c r="N184" i="16"/>
  <c r="N185" i="16"/>
  <c r="N186" i="16"/>
  <c r="N187" i="16"/>
  <c r="N188" i="16"/>
  <c r="N189" i="16"/>
  <c r="N190" i="16"/>
  <c r="N191" i="16"/>
  <c r="N192" i="16"/>
  <c r="P22" i="16"/>
  <c r="P71" i="16"/>
  <c r="P87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M32" i="16"/>
  <c r="M33" i="16"/>
  <c r="M34" i="16"/>
  <c r="M35" i="16"/>
  <c r="M36" i="16"/>
  <c r="M37" i="16"/>
  <c r="M38" i="16"/>
  <c r="M39" i="16"/>
  <c r="M40" i="16"/>
  <c r="M41" i="16"/>
  <c r="M42" i="16"/>
  <c r="M43" i="16"/>
  <c r="M44" i="16"/>
  <c r="M45" i="16"/>
  <c r="M46" i="16"/>
  <c r="M47" i="16"/>
  <c r="M48" i="16"/>
  <c r="M49" i="16"/>
  <c r="M50" i="16"/>
  <c r="M51" i="16"/>
  <c r="M52" i="16"/>
  <c r="M53" i="16"/>
  <c r="M54" i="16"/>
  <c r="M55" i="16"/>
  <c r="M56" i="16"/>
  <c r="M57" i="16"/>
  <c r="M58" i="16"/>
  <c r="M59" i="16"/>
  <c r="M60" i="16"/>
  <c r="M61" i="16"/>
  <c r="M62" i="16"/>
  <c r="M63" i="16"/>
  <c r="M64" i="16"/>
  <c r="M65" i="16"/>
  <c r="M66" i="16"/>
  <c r="M67" i="16"/>
  <c r="M68" i="16"/>
  <c r="M69" i="16"/>
  <c r="M70" i="16"/>
  <c r="M71" i="16"/>
  <c r="M72" i="16"/>
  <c r="M73" i="16"/>
  <c r="M74" i="16"/>
  <c r="M75" i="16"/>
  <c r="M76" i="16"/>
  <c r="M77" i="16"/>
  <c r="M78" i="16"/>
  <c r="M79" i="16"/>
  <c r="M80" i="16"/>
  <c r="M81" i="16"/>
  <c r="M82" i="16"/>
  <c r="M83" i="16"/>
  <c r="M84" i="16"/>
  <c r="M85" i="16"/>
  <c r="M86" i="16"/>
  <c r="M87" i="16"/>
  <c r="M88" i="16"/>
  <c r="M89" i="16"/>
  <c r="M90" i="16"/>
  <c r="M91" i="16"/>
  <c r="M92" i="16"/>
  <c r="M93" i="16"/>
  <c r="M94" i="16"/>
  <c r="M95" i="16"/>
  <c r="M96" i="16"/>
  <c r="M97" i="16"/>
  <c r="M98" i="16"/>
  <c r="M99" i="16"/>
  <c r="M100" i="16"/>
  <c r="M101" i="16"/>
  <c r="M102" i="16"/>
  <c r="M103" i="16"/>
  <c r="M104" i="16"/>
  <c r="M105" i="16"/>
  <c r="M106" i="16"/>
  <c r="M107" i="16"/>
  <c r="M108" i="16"/>
  <c r="M109" i="16"/>
  <c r="M110" i="16"/>
  <c r="M111" i="16"/>
  <c r="M112" i="16"/>
  <c r="M113" i="16"/>
  <c r="M114" i="16"/>
  <c r="M115" i="16"/>
  <c r="M116" i="16"/>
  <c r="M117" i="16"/>
  <c r="M118" i="16"/>
  <c r="M119" i="16"/>
  <c r="M120" i="16"/>
  <c r="M121" i="16"/>
  <c r="M122" i="16"/>
  <c r="M123" i="16"/>
  <c r="M124" i="16"/>
  <c r="M125" i="16"/>
  <c r="M126" i="16"/>
  <c r="M127" i="16"/>
  <c r="M128" i="16"/>
  <c r="M129" i="16"/>
  <c r="M130" i="16"/>
  <c r="M131" i="16"/>
  <c r="M132" i="16"/>
  <c r="M133" i="16"/>
  <c r="M134" i="16"/>
  <c r="M135" i="16"/>
  <c r="M136" i="16"/>
  <c r="M137" i="16"/>
  <c r="M138" i="16"/>
  <c r="M139" i="16"/>
  <c r="M140" i="16"/>
  <c r="M141" i="16"/>
  <c r="M142" i="16"/>
  <c r="M143" i="16"/>
  <c r="M144" i="16"/>
  <c r="M145" i="16"/>
  <c r="M146" i="16"/>
  <c r="M147" i="16"/>
  <c r="M148" i="16"/>
  <c r="M149" i="16"/>
  <c r="M150" i="16"/>
  <c r="M151" i="16"/>
  <c r="M152" i="16"/>
  <c r="M153" i="16"/>
  <c r="M154" i="16"/>
  <c r="M155" i="16"/>
  <c r="M156" i="16"/>
  <c r="M157" i="16"/>
  <c r="M158" i="16"/>
  <c r="M159" i="16"/>
  <c r="M160" i="16"/>
  <c r="M161" i="16"/>
  <c r="M162" i="16"/>
  <c r="M163" i="16"/>
  <c r="M164" i="16"/>
  <c r="M165" i="16"/>
  <c r="M166" i="16"/>
  <c r="M167" i="16"/>
  <c r="M168" i="16"/>
  <c r="M169" i="16"/>
  <c r="M170" i="16"/>
  <c r="M171" i="16"/>
  <c r="M172" i="16"/>
  <c r="M173" i="16"/>
  <c r="M174" i="16"/>
  <c r="M175" i="16"/>
  <c r="M176" i="16"/>
  <c r="M177" i="16"/>
  <c r="M178" i="16"/>
  <c r="M179" i="16"/>
  <c r="M180" i="16"/>
  <c r="M181" i="16"/>
  <c r="M182" i="16"/>
  <c r="M183" i="16"/>
  <c r="M184" i="16"/>
  <c r="M185" i="16"/>
  <c r="M186" i="16"/>
  <c r="M187" i="16"/>
  <c r="M188" i="16"/>
  <c r="M189" i="16"/>
  <c r="M190" i="16"/>
  <c r="M191" i="16"/>
  <c r="M192" i="16"/>
  <c r="A3" i="16"/>
  <c r="P4" i="16"/>
  <c r="P5" i="16"/>
  <c r="P9" i="16"/>
  <c r="P10" i="16"/>
  <c r="P11" i="16"/>
  <c r="P12" i="16"/>
  <c r="P13" i="16"/>
  <c r="P16" i="16"/>
  <c r="P17" i="16"/>
  <c r="P18" i="16"/>
  <c r="P20" i="16"/>
  <c r="P21" i="16"/>
  <c r="P24" i="16"/>
  <c r="P26" i="16"/>
  <c r="P27" i="16"/>
  <c r="P28" i="16"/>
  <c r="P29" i="16"/>
  <c r="P30" i="16"/>
  <c r="P32" i="16"/>
  <c r="P33" i="16"/>
  <c r="P34" i="16"/>
  <c r="P36" i="16"/>
  <c r="P37" i="16"/>
  <c r="P39" i="16"/>
  <c r="P40" i="16"/>
  <c r="P41" i="16"/>
  <c r="P42" i="16"/>
  <c r="P43" i="16"/>
  <c r="P44" i="16"/>
  <c r="P45" i="16"/>
  <c r="P46" i="16"/>
  <c r="P47" i="16"/>
  <c r="P48" i="16"/>
  <c r="P49" i="16"/>
  <c r="P50" i="16"/>
  <c r="P51" i="16"/>
  <c r="P52" i="16"/>
  <c r="P53" i="16"/>
  <c r="P54" i="16"/>
  <c r="P56" i="16"/>
  <c r="P57" i="16"/>
  <c r="P58" i="16"/>
  <c r="P59" i="16"/>
  <c r="P60" i="16"/>
  <c r="P61" i="16"/>
  <c r="P63" i="16"/>
  <c r="P64" i="16"/>
  <c r="P65" i="16"/>
  <c r="P66" i="16"/>
  <c r="P68" i="16"/>
  <c r="P69" i="16"/>
  <c r="P72" i="16"/>
  <c r="P73" i="16"/>
  <c r="P74" i="16"/>
  <c r="P75" i="16"/>
  <c r="P76" i="16"/>
  <c r="P77" i="16"/>
  <c r="P80" i="16"/>
  <c r="P81" i="16"/>
  <c r="P82" i="16"/>
  <c r="P84" i="16"/>
  <c r="P85" i="16"/>
  <c r="P88" i="16"/>
  <c r="P89" i="16"/>
  <c r="P90" i="16"/>
  <c r="P91" i="16"/>
  <c r="P92" i="16"/>
  <c r="P93" i="16"/>
  <c r="P96" i="16"/>
  <c r="P97" i="16"/>
  <c r="P98" i="16"/>
  <c r="P100" i="16"/>
  <c r="P101" i="16"/>
  <c r="P102" i="16"/>
  <c r="P104" i="16"/>
  <c r="P105" i="16"/>
  <c r="P106" i="16"/>
  <c r="P107" i="16"/>
  <c r="P108" i="16"/>
  <c r="P109" i="16"/>
  <c r="P112" i="16"/>
  <c r="P114" i="16"/>
  <c r="P116" i="16"/>
  <c r="P117" i="16"/>
  <c r="P122" i="16"/>
  <c r="P123" i="16"/>
  <c r="P124" i="16"/>
  <c r="P128" i="16"/>
  <c r="P130" i="16"/>
  <c r="P131" i="16"/>
  <c r="P132" i="16"/>
  <c r="P133" i="16"/>
  <c r="P136" i="16"/>
  <c r="P138" i="16"/>
  <c r="P139" i="16"/>
  <c r="P140" i="16"/>
  <c r="P144" i="16"/>
  <c r="P146" i="16"/>
  <c r="P148" i="16"/>
  <c r="P154" i="16"/>
  <c r="P156" i="16"/>
  <c r="P162" i="16"/>
  <c r="P164" i="16"/>
  <c r="P165" i="16"/>
  <c r="P166" i="16"/>
  <c r="P168" i="16"/>
  <c r="P169" i="16"/>
  <c r="P170" i="16"/>
  <c r="P171" i="16"/>
  <c r="P174" i="16"/>
  <c r="P176" i="16"/>
  <c r="P177" i="16"/>
  <c r="P178" i="16"/>
  <c r="P180" i="16"/>
  <c r="P182" i="16"/>
  <c r="P184" i="16"/>
  <c r="P187" i="16"/>
  <c r="P188" i="16"/>
  <c r="P189" i="16"/>
  <c r="P192" i="16"/>
  <c r="K3" i="16"/>
  <c r="F3" i="16"/>
  <c r="Q3" i="16"/>
  <c r="R3" i="16"/>
  <c r="S3" i="16" s="1"/>
  <c r="O114" i="13"/>
  <c r="O115" i="13"/>
  <c r="O116" i="13"/>
  <c r="O117" i="13"/>
  <c r="O118" i="13"/>
  <c r="O119" i="13"/>
  <c r="O120" i="13"/>
  <c r="O121" i="13"/>
  <c r="O122" i="13"/>
  <c r="O123" i="13"/>
  <c r="O124" i="13"/>
  <c r="O125" i="13"/>
  <c r="O126" i="13"/>
  <c r="O127" i="13"/>
  <c r="O128" i="13"/>
  <c r="O129" i="13"/>
  <c r="O130" i="13"/>
  <c r="O131" i="13"/>
  <c r="O132" i="13"/>
  <c r="O133" i="13"/>
  <c r="O134" i="13"/>
  <c r="O135" i="13"/>
  <c r="O136" i="13"/>
  <c r="O137" i="13"/>
  <c r="O138" i="13"/>
  <c r="O139" i="13"/>
  <c r="O140" i="13"/>
  <c r="O141" i="13"/>
  <c r="O142" i="13"/>
  <c r="O143" i="13"/>
  <c r="O144" i="13"/>
  <c r="O145" i="13"/>
  <c r="O146" i="13"/>
  <c r="O147" i="13"/>
  <c r="O148" i="13"/>
  <c r="O149" i="13"/>
  <c r="O150" i="13"/>
  <c r="O151" i="13"/>
  <c r="O152" i="13"/>
  <c r="O153" i="13"/>
  <c r="O154" i="13"/>
  <c r="O155" i="13"/>
  <c r="O156" i="13"/>
  <c r="O157" i="13"/>
  <c r="O158" i="13"/>
  <c r="O159" i="13"/>
  <c r="O160" i="13"/>
  <c r="O161" i="13"/>
  <c r="O162" i="13"/>
  <c r="O163" i="13"/>
  <c r="O164" i="13"/>
  <c r="O165" i="13"/>
  <c r="O166" i="13"/>
  <c r="O167" i="13"/>
  <c r="O168" i="13"/>
  <c r="O169" i="13"/>
  <c r="O170" i="13"/>
  <c r="O171" i="13"/>
  <c r="O172" i="13"/>
  <c r="O173" i="13"/>
  <c r="O174" i="13"/>
  <c r="O175" i="13"/>
  <c r="O176" i="13"/>
  <c r="O177" i="13"/>
  <c r="O178" i="13"/>
  <c r="O179" i="13"/>
  <c r="O180" i="13"/>
  <c r="O181" i="13"/>
  <c r="O182" i="13"/>
  <c r="O183" i="13"/>
  <c r="O184" i="13"/>
  <c r="O185" i="13"/>
  <c r="O186" i="13"/>
  <c r="O187" i="13"/>
  <c r="O188" i="13"/>
  <c r="O189" i="13"/>
  <c r="O190" i="13"/>
  <c r="O113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100" i="13"/>
  <c r="O101" i="13"/>
  <c r="O102" i="13"/>
  <c r="O103" i="13"/>
  <c r="O104" i="13"/>
  <c r="O105" i="13"/>
  <c r="O106" i="13"/>
  <c r="O107" i="13"/>
  <c r="O108" i="13"/>
  <c r="O109" i="13"/>
  <c r="O110" i="13"/>
  <c r="O111" i="13"/>
  <c r="O112" i="13"/>
  <c r="O5" i="13"/>
  <c r="L3" i="16" l="1" a="1"/>
  <c r="M31" i="16" s="1"/>
  <c r="N31" i="16" s="1"/>
  <c r="P3" i="16"/>
  <c r="G3" i="16" a="1"/>
  <c r="B3" i="16" a="1"/>
  <c r="D5" i="16" s="1"/>
  <c r="E129" i="15"/>
  <c r="E128" i="15"/>
  <c r="E127" i="15"/>
  <c r="E126" i="15"/>
  <c r="E125" i="15"/>
  <c r="E124" i="15"/>
  <c r="E123" i="15"/>
  <c r="E122" i="15"/>
  <c r="E121" i="15"/>
  <c r="E120" i="15"/>
  <c r="E119" i="15"/>
  <c r="E118" i="15"/>
  <c r="E117" i="15"/>
  <c r="E116" i="15"/>
  <c r="E115" i="15"/>
  <c r="E114" i="15"/>
  <c r="E113" i="15"/>
  <c r="E112" i="15"/>
  <c r="E111" i="15"/>
  <c r="E110" i="15"/>
  <c r="E109" i="15"/>
  <c r="E108" i="15"/>
  <c r="E107" i="15"/>
  <c r="E106" i="15"/>
  <c r="E105" i="15"/>
  <c r="E104" i="15"/>
  <c r="E103" i="15"/>
  <c r="E102" i="15"/>
  <c r="E101" i="15"/>
  <c r="E100" i="15"/>
  <c r="E99" i="15"/>
  <c r="E98" i="15"/>
  <c r="E97" i="15"/>
  <c r="E96" i="15"/>
  <c r="E95" i="15"/>
  <c r="E94" i="15"/>
  <c r="E93" i="15"/>
  <c r="E92" i="15"/>
  <c r="E91" i="15"/>
  <c r="E90" i="15"/>
  <c r="E89" i="15"/>
  <c r="E88" i="15"/>
  <c r="E85" i="15"/>
  <c r="E84" i="15"/>
  <c r="E83" i="15"/>
  <c r="E82" i="15"/>
  <c r="E81" i="15"/>
  <c r="E80" i="15"/>
  <c r="E79" i="15"/>
  <c r="E78" i="15"/>
  <c r="E77" i="15"/>
  <c r="E76" i="15"/>
  <c r="E75" i="15"/>
  <c r="E74" i="15"/>
  <c r="E73" i="15"/>
  <c r="E72" i="15"/>
  <c r="E71" i="15"/>
  <c r="E70" i="15"/>
  <c r="E69" i="15"/>
  <c r="E68" i="15"/>
  <c r="E67" i="15"/>
  <c r="E66" i="15"/>
  <c r="E65" i="15"/>
  <c r="E64" i="15"/>
  <c r="E63" i="15"/>
  <c r="E62" i="15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40" i="15"/>
  <c r="E39" i="15"/>
  <c r="E38" i="15"/>
  <c r="E37" i="15"/>
  <c r="E36" i="15"/>
  <c r="E35" i="15"/>
  <c r="E34" i="15"/>
  <c r="E33" i="15"/>
  <c r="E32" i="15"/>
  <c r="E31" i="15"/>
  <c r="E30" i="15"/>
  <c r="E29" i="15"/>
  <c r="E28" i="15"/>
  <c r="E27" i="15"/>
  <c r="E26" i="15"/>
  <c r="E25" i="15"/>
  <c r="E24" i="15"/>
  <c r="E23" i="15"/>
  <c r="E22" i="15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E6" i="15"/>
  <c r="E5" i="15"/>
  <c r="E4" i="16" l="1"/>
  <c r="D4" i="16"/>
  <c r="E5" i="16"/>
  <c r="O31" i="16"/>
  <c r="M29" i="16"/>
  <c r="N29" i="16" s="1"/>
  <c r="M30" i="16"/>
  <c r="N30" i="16" s="1"/>
  <c r="M27" i="16"/>
  <c r="N27" i="16" s="1"/>
  <c r="M28" i="16"/>
  <c r="N28" i="16" s="1"/>
  <c r="M26" i="16"/>
  <c r="N26" i="16" s="1"/>
  <c r="M24" i="16"/>
  <c r="O24" i="16" s="1"/>
  <c r="M25" i="16"/>
  <c r="N25" i="16" s="1"/>
  <c r="M23" i="16"/>
  <c r="N23" i="16" s="1"/>
  <c r="M21" i="16"/>
  <c r="O21" i="16" s="1"/>
  <c r="M22" i="16"/>
  <c r="N22" i="16" s="1"/>
  <c r="H7" i="16"/>
  <c r="I7" i="16" s="1"/>
  <c r="H8" i="16"/>
  <c r="I8" i="16" s="1"/>
  <c r="J4" i="16"/>
  <c r="H10" i="16"/>
  <c r="I10" i="16" s="1"/>
  <c r="H11" i="16"/>
  <c r="I11" i="16" s="1"/>
  <c r="H9" i="16"/>
  <c r="I9" i="16" s="1"/>
  <c r="H4" i="16"/>
  <c r="I4" i="16" s="1"/>
  <c r="H5" i="16"/>
  <c r="I5" i="16" s="1"/>
  <c r="H6" i="16"/>
  <c r="I6" i="16" s="1"/>
  <c r="B3" i="16"/>
  <c r="M20" i="16"/>
  <c r="N20" i="16" s="1"/>
  <c r="M6" i="16"/>
  <c r="N6" i="16" s="1"/>
  <c r="M4" i="16"/>
  <c r="N4" i="16" s="1"/>
  <c r="M18" i="16"/>
  <c r="N18" i="16" s="1"/>
  <c r="M17" i="16"/>
  <c r="N17" i="16" s="1"/>
  <c r="M15" i="16"/>
  <c r="N15" i="16" s="1"/>
  <c r="M11" i="16"/>
  <c r="N11" i="16" s="1"/>
  <c r="M10" i="16"/>
  <c r="N10" i="16" s="1"/>
  <c r="M16" i="16"/>
  <c r="N16" i="16" s="1"/>
  <c r="M13" i="16"/>
  <c r="N13" i="16" s="1"/>
  <c r="M8" i="16"/>
  <c r="N8" i="16" s="1"/>
  <c r="M9" i="16"/>
  <c r="N9" i="16" s="1"/>
  <c r="M7" i="16"/>
  <c r="N7" i="16" s="1"/>
  <c r="M5" i="16"/>
  <c r="N5" i="16" s="1"/>
  <c r="L3" i="16"/>
  <c r="M3" i="16" s="1"/>
  <c r="N3" i="16" s="1"/>
  <c r="M19" i="16"/>
  <c r="N19" i="16" s="1"/>
  <c r="M14" i="16"/>
  <c r="N14" i="16" s="1"/>
  <c r="M12" i="16"/>
  <c r="N12" i="16" s="1"/>
  <c r="G3" i="16"/>
  <c r="C3" i="16"/>
  <c r="D3" i="16" s="1"/>
  <c r="O29" i="16" l="1"/>
  <c r="O30" i="16"/>
  <c r="O28" i="16"/>
  <c r="O27" i="16"/>
  <c r="O26" i="16"/>
  <c r="N24" i="16"/>
  <c r="O25" i="16"/>
  <c r="N21" i="16"/>
  <c r="O23" i="16"/>
  <c r="J8" i="16"/>
  <c r="O22" i="16"/>
  <c r="O4" i="16"/>
  <c r="O11" i="16"/>
  <c r="O19" i="16"/>
  <c r="O15" i="16"/>
  <c r="O17" i="16"/>
  <c r="O10" i="16"/>
  <c r="O20" i="16"/>
  <c r="J11" i="16"/>
  <c r="J7" i="16"/>
  <c r="J6" i="16"/>
  <c r="J10" i="16"/>
  <c r="J9" i="16"/>
  <c r="J5" i="16"/>
  <c r="O18" i="16"/>
  <c r="O12" i="16"/>
  <c r="O14" i="16"/>
  <c r="O3" i="16"/>
  <c r="O9" i="16"/>
  <c r="O7" i="16"/>
  <c r="O8" i="16"/>
  <c r="O5" i="16"/>
  <c r="O6" i="16"/>
  <c r="O13" i="16"/>
  <c r="O16" i="16"/>
  <c r="E3" i="16"/>
  <c r="H3" i="16"/>
  <c r="I3" i="16" s="1"/>
  <c r="J3" i="1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<sst xmlns="http://schemas.openxmlformats.org/spreadsheetml/2006/main" count="1485" uniqueCount="770">
  <si>
    <t>MOCS Parameter list</t>
    <phoneticPr fontId="1" type="noConversion"/>
  </si>
  <si>
    <t>Unit</t>
    <phoneticPr fontId="1" type="noConversion"/>
  </si>
  <si>
    <t>Range</t>
    <phoneticPr fontId="1" type="noConversion"/>
  </si>
  <si>
    <t>Min</t>
    <phoneticPr fontId="1" type="noConversion"/>
  </si>
  <si>
    <t>Max</t>
    <phoneticPr fontId="1" type="noConversion"/>
  </si>
  <si>
    <t>Default</t>
    <phoneticPr fontId="1" type="noConversion"/>
  </si>
  <si>
    <t>-</t>
    <phoneticPr fontId="1" type="noConversion"/>
  </si>
  <si>
    <t>Remark</t>
    <phoneticPr fontId="1" type="noConversion"/>
  </si>
  <si>
    <t>%</t>
    <phoneticPr fontId="1" type="noConversion"/>
  </si>
  <si>
    <t>degC</t>
  </si>
  <si>
    <t>%</t>
  </si>
  <si>
    <t>Description1</t>
    <phoneticPr fontId="1" type="noConversion"/>
  </si>
  <si>
    <t>Description2</t>
    <phoneticPr fontId="1" type="noConversion"/>
  </si>
  <si>
    <t>Name</t>
    <phoneticPr fontId="1" type="noConversion"/>
  </si>
  <si>
    <t>Venting 명령을 수행하는 시간</t>
  </si>
  <si>
    <t>Category1</t>
    <phoneticPr fontId="1" type="noConversion"/>
  </si>
  <si>
    <t>Category2</t>
  </si>
  <si>
    <r>
      <t xml:space="preserve">MOCS </t>
    </r>
    <r>
      <rPr>
        <sz val="12"/>
        <rFont val="돋움"/>
        <family val="3"/>
        <charset val="129"/>
      </rPr>
      <t>승온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방식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선택</t>
    </r>
    <phoneticPr fontId="1" type="noConversion"/>
  </si>
  <si>
    <t>Category3</t>
  </si>
  <si>
    <t>V&amp;S Valve Close 하는 RTV PDT 압력</t>
  </si>
  <si>
    <t>V&amp;S Valve Open 하는 RTV PDT 압력</t>
    <phoneticPr fontId="1" type="noConversion"/>
  </si>
  <si>
    <t>VS sol valve Open dP</t>
    <phoneticPr fontId="1" type="noConversion"/>
  </si>
  <si>
    <r>
      <t>RTV Open</t>
    </r>
    <r>
      <rPr>
        <sz val="12"/>
        <rFont val="돋움"/>
        <family val="3"/>
        <charset val="129"/>
      </rPr>
      <t>하는</t>
    </r>
    <r>
      <rPr>
        <sz val="12"/>
        <rFont val="Arial"/>
        <family val="2"/>
      </rPr>
      <t xml:space="preserve"> RTV PDT</t>
    </r>
    <r>
      <rPr>
        <sz val="12"/>
        <rFont val="돋움"/>
        <family val="3"/>
        <charset val="129"/>
      </rPr>
      <t>압력</t>
    </r>
    <phoneticPr fontId="1" type="noConversion"/>
  </si>
  <si>
    <r>
      <t>RTV Close</t>
    </r>
    <r>
      <rPr>
        <sz val="12"/>
        <rFont val="돋움"/>
        <family val="3"/>
        <charset val="129"/>
      </rPr>
      <t>하는</t>
    </r>
    <r>
      <rPr>
        <sz val="12"/>
        <rFont val="Arial"/>
        <family val="2"/>
      </rPr>
      <t xml:space="preserve"> RTV PDT</t>
    </r>
    <r>
      <rPr>
        <sz val="12"/>
        <rFont val="돋움"/>
        <family val="3"/>
        <charset val="129"/>
      </rPr>
      <t>압력</t>
    </r>
    <phoneticPr fontId="1" type="noConversion"/>
  </si>
  <si>
    <r>
      <rPr>
        <sz val="12"/>
        <rFont val="돋움"/>
        <family val="3"/>
        <charset val="129"/>
      </rPr>
      <t>비활성화</t>
    </r>
    <r>
      <rPr>
        <sz val="12"/>
        <rFont val="Arial"/>
        <family val="2"/>
      </rPr>
      <t>: (HeatingSystem == Burner)
&amp; (VentingSealingUnit == Not Availavle)</t>
    </r>
    <phoneticPr fontId="1" type="noConversion"/>
  </si>
  <si>
    <t>Engage RTV Ramp Open Slope</t>
    <phoneticPr fontId="1" type="noConversion"/>
  </si>
  <si>
    <r>
      <t xml:space="preserve">FODS: FODS Dosing </t>
    </r>
    <r>
      <rPr>
        <sz val="12"/>
        <rFont val="돋움"/>
        <family val="3"/>
        <charset val="129"/>
      </rPr>
      <t>에서</t>
    </r>
    <r>
      <rPr>
        <sz val="12"/>
        <rFont val="Arial"/>
        <family val="2"/>
      </rPr>
      <t xml:space="preserve"> FODS Flushing State</t>
    </r>
    <r>
      <rPr>
        <sz val="12"/>
        <rFont val="돋움"/>
        <family val="3"/>
        <charset val="129"/>
      </rPr>
      <t>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전환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되는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 xml:space="preserve">온도
</t>
    </r>
    <r>
      <rPr>
        <sz val="12"/>
        <rFont val="Arial"/>
        <family val="2"/>
      </rPr>
      <t>BS: BS Active/Cooling</t>
    </r>
    <r>
      <rPr>
        <sz val="12"/>
        <rFont val="돋움"/>
        <family val="3"/>
        <charset val="129"/>
      </rPr>
      <t>에서</t>
    </r>
    <r>
      <rPr>
        <sz val="12"/>
        <rFont val="Arial"/>
        <family val="2"/>
      </rPr>
      <t xml:space="preserve"> BS Purging State</t>
    </r>
    <r>
      <rPr>
        <sz val="12"/>
        <rFont val="돋움"/>
        <family val="3"/>
        <charset val="129"/>
      </rPr>
      <t>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전환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되는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온도</t>
    </r>
    <phoneticPr fontId="1" type="noConversion"/>
  </si>
  <si>
    <t>Disengage RTV Ramp Close Slope</t>
    <phoneticPr fontId="1" type="noConversion"/>
  </si>
  <si>
    <r>
      <t xml:space="preserve">RTV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 0%</t>
    </r>
    <r>
      <rPr>
        <sz val="12"/>
        <rFont val="돋움"/>
        <family val="3"/>
        <charset val="129"/>
      </rPr>
      <t>에서</t>
    </r>
    <r>
      <rPr>
        <sz val="12"/>
        <rFont val="Arial"/>
        <family val="2"/>
      </rPr>
      <t xml:space="preserve"> 100%</t>
    </r>
    <r>
      <rPr>
        <sz val="12"/>
        <rFont val="돋움"/>
        <family val="3"/>
        <charset val="129"/>
      </rPr>
      <t>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열릴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때의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속도</t>
    </r>
    <phoneticPr fontId="1" type="noConversion"/>
  </si>
  <si>
    <t>Venting duration</t>
  </si>
  <si>
    <t>sec</t>
  </si>
  <si>
    <t>RTV Open Target Position on Sealing State</t>
    <phoneticPr fontId="1" type="noConversion"/>
  </si>
  <si>
    <t>RTV Open Target Position on Air Venting State</t>
    <phoneticPr fontId="1" type="noConversion"/>
  </si>
  <si>
    <r>
      <t xml:space="preserve">Air Venting State </t>
    </r>
    <r>
      <rPr>
        <sz val="12"/>
        <rFont val="돋움"/>
        <family val="3"/>
        <charset val="129"/>
      </rPr>
      <t>시</t>
    </r>
    <r>
      <rPr>
        <sz val="12"/>
        <rFont val="Arial"/>
        <family val="2"/>
      </rPr>
      <t xml:space="preserve"> RTV </t>
    </r>
    <r>
      <rPr>
        <sz val="12"/>
        <rFont val="돋움"/>
        <family val="3"/>
        <charset val="129"/>
      </rPr>
      <t>개도량</t>
    </r>
    <phoneticPr fontId="1" type="noConversion"/>
  </si>
  <si>
    <r>
      <t>Sealing State, RTV Open dP</t>
    </r>
    <r>
      <rPr>
        <sz val="12"/>
        <rFont val="돋움"/>
        <family val="3"/>
        <charset val="129"/>
      </rPr>
      <t>에서</t>
    </r>
    <r>
      <rPr>
        <sz val="12"/>
        <rFont val="Arial"/>
        <family val="2"/>
      </rPr>
      <t xml:space="preserve"> RTV </t>
    </r>
    <r>
      <rPr>
        <sz val="12"/>
        <rFont val="돋움"/>
        <family val="3"/>
        <charset val="129"/>
      </rPr>
      <t>개도량</t>
    </r>
    <phoneticPr fontId="1" type="noConversion"/>
  </si>
  <si>
    <t>FOCoolDuration</t>
    <phoneticPr fontId="1" type="noConversion"/>
  </si>
  <si>
    <r>
      <t xml:space="preserve">Cooling </t>
    </r>
    <r>
      <rPr>
        <sz val="12"/>
        <rFont val="돋움"/>
        <family val="3"/>
        <charset val="129"/>
      </rPr>
      <t>수행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시간</t>
    </r>
    <phoneticPr fontId="1" type="noConversion"/>
  </si>
  <si>
    <t>MOCSTempPgain10</t>
  </si>
  <si>
    <t>MOCSTempIgain</t>
  </si>
  <si>
    <t>MOCSTempDgain</t>
  </si>
  <si>
    <t>MOCSTempNoiseSup</t>
  </si>
  <si>
    <t>I gain of PID Controller to regulate MOCS Temp</t>
    <phoneticPr fontId="1" type="noConversion"/>
  </si>
  <si>
    <t>D gain of PID Controller to regulate MOCS Temp</t>
    <phoneticPr fontId="1" type="noConversion"/>
  </si>
  <si>
    <t>mbar</t>
    <phoneticPr fontId="1" type="noConversion"/>
  </si>
  <si>
    <r>
      <t xml:space="preserve">RTV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 100%</t>
    </r>
    <r>
      <rPr>
        <sz val="12"/>
        <rFont val="돋움"/>
        <family val="3"/>
        <charset val="129"/>
      </rPr>
      <t>에서</t>
    </r>
    <r>
      <rPr>
        <sz val="12"/>
        <rFont val="Arial"/>
        <family val="2"/>
      </rPr>
      <t xml:space="preserve"> 0%</t>
    </r>
    <r>
      <rPr>
        <sz val="12"/>
        <rFont val="돋움"/>
        <family val="3"/>
        <charset val="129"/>
      </rPr>
      <t>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닫힐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때의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속도</t>
    </r>
    <phoneticPr fontId="1" type="noConversion"/>
  </si>
  <si>
    <t>10 min</t>
    <phoneticPr fontId="1" type="noConversion"/>
  </si>
  <si>
    <t>Single Fluid Flowrate Threshold High</t>
    <phoneticPr fontId="1" type="noConversion"/>
  </si>
  <si>
    <t>Single Fluid Flowrate Threshold Low</t>
    <phoneticPr fontId="1" type="noConversion"/>
  </si>
  <si>
    <r>
      <t>Single Fluid System</t>
    </r>
    <r>
      <rPr>
        <sz val="12"/>
        <rFont val="돋움"/>
        <family val="3"/>
        <charset val="129"/>
      </rPr>
      <t>에서</t>
    </r>
    <r>
      <rPr>
        <sz val="12"/>
        <rFont val="Arial"/>
        <family val="2"/>
      </rPr>
      <t xml:space="preserve"> F.O. </t>
    </r>
    <r>
      <rPr>
        <sz val="12"/>
        <rFont val="돋움"/>
        <family val="3"/>
        <charset val="129"/>
      </rPr>
      <t>와</t>
    </r>
    <r>
      <rPr>
        <sz val="12"/>
        <rFont val="Arial"/>
        <family val="2"/>
      </rPr>
      <t xml:space="preserve"> Air</t>
    </r>
    <r>
      <rPr>
        <sz val="12"/>
        <rFont val="돋움"/>
        <family val="3"/>
        <charset val="129"/>
      </rPr>
      <t>를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섞어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분사하는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것을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멈추는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기준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유량</t>
    </r>
    <phoneticPr fontId="1" type="noConversion"/>
  </si>
  <si>
    <r>
      <t>Single Fluid System</t>
    </r>
    <r>
      <rPr>
        <sz val="12"/>
        <rFont val="돋움"/>
        <family val="3"/>
        <charset val="129"/>
      </rPr>
      <t>에서</t>
    </r>
    <r>
      <rPr>
        <sz val="12"/>
        <rFont val="Arial"/>
        <family val="2"/>
      </rPr>
      <t xml:space="preserve"> F.O. </t>
    </r>
    <r>
      <rPr>
        <sz val="12"/>
        <rFont val="돋움"/>
        <family val="3"/>
        <charset val="129"/>
      </rPr>
      <t>와</t>
    </r>
    <r>
      <rPr>
        <sz val="12"/>
        <rFont val="Arial"/>
        <family val="2"/>
      </rPr>
      <t xml:space="preserve"> Air</t>
    </r>
    <r>
      <rPr>
        <sz val="12"/>
        <rFont val="돋움"/>
        <family val="3"/>
        <charset val="129"/>
      </rPr>
      <t>를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섞어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분사하기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시작하는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기준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유량</t>
    </r>
    <phoneticPr fontId="1" type="noConversion"/>
  </si>
  <si>
    <t>SFFlowrateThLow</t>
    <phoneticPr fontId="1" type="noConversion"/>
  </si>
  <si>
    <t>SFFlowrateThHigh</t>
    <phoneticPr fontId="1" type="noConversion"/>
  </si>
  <si>
    <t>ExhFlowrate0</t>
    <phoneticPr fontId="1" type="noConversion"/>
  </si>
  <si>
    <t>degC</t>
    <phoneticPr fontId="1" type="noConversion"/>
  </si>
  <si>
    <t>L/h</t>
    <phoneticPr fontId="1" type="noConversion"/>
  </si>
  <si>
    <t>MOCS(Main)</t>
    <phoneticPr fontId="1" type="noConversion"/>
  </si>
  <si>
    <r>
      <t xml:space="preserve">MOSC </t>
    </r>
    <r>
      <rPr>
        <sz val="12"/>
        <rFont val="돋움"/>
        <family val="3"/>
        <charset val="129"/>
      </rPr>
      <t>온도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제어를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위한</t>
    </r>
    <r>
      <rPr>
        <sz val="12"/>
        <rFont val="Arial"/>
        <family val="2"/>
      </rPr>
      <t xml:space="preserve"> I gain</t>
    </r>
    <phoneticPr fontId="1" type="noConversion"/>
  </si>
  <si>
    <r>
      <t xml:space="preserve">MOSC </t>
    </r>
    <r>
      <rPr>
        <sz val="12"/>
        <rFont val="돋움"/>
        <family val="3"/>
        <charset val="129"/>
      </rPr>
      <t>온도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제어를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위한</t>
    </r>
    <r>
      <rPr>
        <sz val="12"/>
        <rFont val="Arial"/>
        <family val="2"/>
      </rPr>
      <t xml:space="preserve"> D gain</t>
    </r>
    <phoneticPr fontId="1" type="noConversion"/>
  </si>
  <si>
    <r>
      <t xml:space="preserve">MOSC </t>
    </r>
    <r>
      <rPr>
        <sz val="12"/>
        <rFont val="돋움"/>
        <family val="3"/>
        <charset val="129"/>
      </rPr>
      <t>온도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제어를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위한</t>
    </r>
    <r>
      <rPr>
        <sz val="12"/>
        <rFont val="Arial"/>
        <family val="2"/>
      </rPr>
      <t xml:space="preserve"> Noise suppression</t>
    </r>
    <phoneticPr fontId="1" type="noConversion"/>
  </si>
  <si>
    <t>Noise suppression to regulate MOCS Temp</t>
    <phoneticPr fontId="1" type="noConversion"/>
  </si>
  <si>
    <t>FOReturnDelay</t>
  </si>
  <si>
    <t>Wait F.O. Return</t>
    <phoneticPr fontId="1" type="noConversion"/>
  </si>
  <si>
    <t>sec</t>
    <phoneticPr fontId="1" type="noConversion"/>
  </si>
  <si>
    <t>Dosing Air Sol VV Open Duration</t>
    <phoneticPr fontId="1" type="noConversion"/>
  </si>
  <si>
    <t>DisenRTVSlope</t>
    <phoneticPr fontId="1" type="noConversion"/>
  </si>
  <si>
    <t>VentRTVSetpoint</t>
    <phoneticPr fontId="1" type="noConversion"/>
  </si>
  <si>
    <t>VentDuration</t>
    <phoneticPr fontId="1" type="noConversion"/>
  </si>
  <si>
    <t>SealRTVSetpoint</t>
    <phoneticPr fontId="1" type="noConversion"/>
  </si>
  <si>
    <t>EnRTVSlope</t>
    <phoneticPr fontId="1" type="noConversion"/>
  </si>
  <si>
    <t>Active State 진입 기준 시스템 온도차</t>
  </si>
  <si>
    <t>Chamber Inlet01 Temp &gt; [HUReadyChITemp]</t>
    <phoneticPr fontId="1" type="noConversion"/>
  </si>
  <si>
    <t>Chamber Mid01 Temp
 &gt; [HUReadyChMTemp]</t>
  </si>
  <si>
    <t>Chamber Outlet01 Temp
 &gt; [HUReadyChOTemp]</t>
  </si>
  <si>
    <r>
      <t xml:space="preserve">Active State </t>
    </r>
    <r>
      <rPr>
        <sz val="12"/>
        <rFont val="돋움"/>
        <family val="3"/>
        <charset val="129"/>
      </rPr>
      <t>진입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기준</t>
    </r>
    <r>
      <rPr>
        <sz val="12"/>
        <rFont val="Arial"/>
        <family val="2"/>
      </rPr>
      <t xml:space="preserve"> Chamber Inlet </t>
    </r>
    <r>
      <rPr>
        <sz val="12"/>
        <rFont val="돋움"/>
        <family val="3"/>
        <charset val="129"/>
      </rPr>
      <t>온도</t>
    </r>
    <phoneticPr fontId="1" type="noConversion"/>
  </si>
  <si>
    <r>
      <t xml:space="preserve">Active State </t>
    </r>
    <r>
      <rPr>
        <sz val="12"/>
        <rFont val="돋움"/>
        <family val="3"/>
        <charset val="129"/>
      </rPr>
      <t>진입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기준</t>
    </r>
    <r>
      <rPr>
        <sz val="12"/>
        <rFont val="Arial"/>
        <family val="2"/>
      </rPr>
      <t xml:space="preserve"> Chamber Mid </t>
    </r>
    <r>
      <rPr>
        <sz val="12"/>
        <rFont val="돋움"/>
        <family val="3"/>
        <charset val="129"/>
      </rPr>
      <t>온도</t>
    </r>
    <phoneticPr fontId="1" type="noConversion"/>
  </si>
  <si>
    <r>
      <t xml:space="preserve">Active State </t>
    </r>
    <r>
      <rPr>
        <sz val="12"/>
        <rFont val="돋움"/>
        <family val="3"/>
        <charset val="129"/>
      </rPr>
      <t>진입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기준</t>
    </r>
    <r>
      <rPr>
        <sz val="12"/>
        <rFont val="Arial"/>
        <family val="2"/>
      </rPr>
      <t xml:space="preserve"> Chamber Outlet </t>
    </r>
    <r>
      <rPr>
        <sz val="12"/>
        <rFont val="돋움"/>
        <family val="3"/>
        <charset val="129"/>
      </rPr>
      <t>온도</t>
    </r>
    <phoneticPr fontId="1" type="noConversion"/>
  </si>
  <si>
    <t>HUActiveTemp</t>
  </si>
  <si>
    <t>FODS: FODS Ready 에서 FODS Cooling State로 전환 되는 온도
BS: BS Ready에서 BS Active State로 전환 되는 온도</t>
  </si>
  <si>
    <t>MOCS Target Temperature</t>
  </si>
  <si>
    <t>HUTargetTemp</t>
    <phoneticPr fontId="1" type="noConversion"/>
  </si>
  <si>
    <t>Heating Unit Target Temperature</t>
    <phoneticPr fontId="1" type="noConversion"/>
  </si>
  <si>
    <t>Heating Unit Active Temperature</t>
    <phoneticPr fontId="1" type="noConversion"/>
  </si>
  <si>
    <t>Heating Unit Inctive Temperature
 = HUTargetTemp + HUInctiveOffsetTemp</t>
    <phoneticPr fontId="1" type="noConversion"/>
  </si>
  <si>
    <t>HUInletRefTemp10</t>
  </si>
  <si>
    <t>QFOPgain</t>
  </si>
  <si>
    <t>P gain of PID Controller to regulate F.O. Flowrate</t>
  </si>
  <si>
    <t>F.O. Flowrate 제어를 위한 P gain</t>
  </si>
  <si>
    <t>-</t>
  </si>
  <si>
    <t>QFOIgain</t>
  </si>
  <si>
    <t>I gain of PID Controller to regulate F.O. Flowrate</t>
  </si>
  <si>
    <t>F.O. Flowrate 제어를 위한 I gain</t>
  </si>
  <si>
    <t>QFODgain</t>
  </si>
  <si>
    <t>D gain of PID Controller to regulate F.O. Flowrate</t>
  </si>
  <si>
    <t>F.O. Flowrate 제어를 위한 D gain</t>
  </si>
  <si>
    <t>QFONoiseSup</t>
  </si>
  <si>
    <t>Noise suppresstion to regulate F.O. Flowrate</t>
  </si>
  <si>
    <t>F.O. Flowrate 제어를 위한 Noise suppression</t>
  </si>
  <si>
    <t>QFOHighLimitGain</t>
  </si>
  <si>
    <t>QFOLowLimitValue</t>
  </si>
  <si>
    <t>FOCValHighLimitValue</t>
  </si>
  <si>
    <t>FOCValLowLimitValue</t>
  </si>
  <si>
    <r>
      <t xml:space="preserve">F.O Flowrate </t>
    </r>
    <r>
      <rPr>
        <sz val="12"/>
        <rFont val="돋움"/>
        <family val="3"/>
        <charset val="129"/>
      </rPr>
      <t>최대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유량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계산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비율</t>
    </r>
    <phoneticPr fontId="1" type="noConversion"/>
  </si>
  <si>
    <t>F.O. Flowrate Low Limit</t>
    <phoneticPr fontId="1" type="noConversion"/>
  </si>
  <si>
    <t>F.O. Dosing Control Valve Setposition High Limit</t>
    <phoneticPr fontId="1" type="noConversion"/>
  </si>
  <si>
    <t>F.O. Dosing Control Valve Setposition Low Limit</t>
    <phoneticPr fontId="1" type="noConversion"/>
  </si>
  <si>
    <t>NumTableRow</t>
    <phoneticPr fontId="1" type="noConversion"/>
  </si>
  <si>
    <t>Number of feedforward table row</t>
    <phoneticPr fontId="1" type="noConversion"/>
  </si>
  <si>
    <t>EngineLoad0</t>
    <phoneticPr fontId="1" type="noConversion"/>
  </si>
  <si>
    <t>EngineLoad1</t>
  </si>
  <si>
    <t>EngineLoad2</t>
  </si>
  <si>
    <t>EngineLoad3</t>
  </si>
  <si>
    <t>EngineLoad4</t>
  </si>
  <si>
    <t>EngineLoad5</t>
  </si>
  <si>
    <t>EngineLoad6</t>
  </si>
  <si>
    <t>EngineLoad7</t>
  </si>
  <si>
    <t>EngineLoad8</t>
  </si>
  <si>
    <t>EngineLoad9</t>
  </si>
  <si>
    <t>EngineLoad10</t>
  </si>
  <si>
    <t>EngineLoad11</t>
  </si>
  <si>
    <t>ExhFlowrate1</t>
  </si>
  <si>
    <t>ExhFlowrate2</t>
  </si>
  <si>
    <t>ExhFlowrate3</t>
  </si>
  <si>
    <t>ExhFlowrate4</t>
  </si>
  <si>
    <t>ExhFlowrate5</t>
  </si>
  <si>
    <t>ExhFlowrate6</t>
  </si>
  <si>
    <t>ExhFlowrate7</t>
  </si>
  <si>
    <t>ExhFlowrate8</t>
  </si>
  <si>
    <t>ExhFlowrate9</t>
  </si>
  <si>
    <t>ExhFlowrate10</t>
  </si>
  <si>
    <t>ExhFlowrate11</t>
  </si>
  <si>
    <t>Exhaust gas flow rate at Engine Load 0</t>
    <phoneticPr fontId="1" type="noConversion"/>
  </si>
  <si>
    <t>Exhaust gas flow rate at Engine Load 1</t>
  </si>
  <si>
    <t>Exhaust gas flow rate at Engine Load 2</t>
  </si>
  <si>
    <t>Exhaust gas flow rate at Engine Load 3</t>
  </si>
  <si>
    <t>Exhaust gas flow rate at Engine Load 4</t>
  </si>
  <si>
    <t>Exhaust gas flow rate at Engine Load 5</t>
  </si>
  <si>
    <t>Exhaust gas flow rate at Engine Load 6</t>
  </si>
  <si>
    <t>Exhaust gas flow rate at Engine Load 7</t>
  </si>
  <si>
    <t>Exhaust gas flow rate at Engine Load 8</t>
  </si>
  <si>
    <t>Exhaust gas flow rate at Engine Load 9</t>
  </si>
  <si>
    <t>Exhaust gas flow rate at Engine Load 10</t>
  </si>
  <si>
    <t>Exhaust gas flow rate at Engine Load 11</t>
  </si>
  <si>
    <r>
      <t xml:space="preserve">Engine Load 0 </t>
    </r>
    <r>
      <rPr>
        <sz val="12"/>
        <rFont val="돋움"/>
        <family val="3"/>
        <charset val="129"/>
      </rPr>
      <t>에서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배기가스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유량</t>
    </r>
    <phoneticPr fontId="1" type="noConversion"/>
  </si>
  <si>
    <r>
      <t>Engine Load 1 에서 배기가스 유량</t>
    </r>
    <r>
      <rPr>
        <sz val="12"/>
        <rFont val="돋움"/>
        <family val="3"/>
        <charset val="129"/>
      </rPr>
      <t/>
    </r>
  </si>
  <si>
    <r>
      <t>Engine Load 2 에서 배기가스 유량</t>
    </r>
    <r>
      <rPr>
        <sz val="12"/>
        <rFont val="돋움"/>
        <family val="3"/>
        <charset val="129"/>
      </rPr>
      <t/>
    </r>
  </si>
  <si>
    <r>
      <t>Engine Load 3 에서 배기가스 유량</t>
    </r>
    <r>
      <rPr>
        <sz val="12"/>
        <rFont val="돋움"/>
        <family val="3"/>
        <charset val="129"/>
      </rPr>
      <t/>
    </r>
  </si>
  <si>
    <r>
      <t>Engine Load 4 에서 배기가스 유량</t>
    </r>
    <r>
      <rPr>
        <sz val="12"/>
        <rFont val="돋움"/>
        <family val="3"/>
        <charset val="129"/>
      </rPr>
      <t/>
    </r>
  </si>
  <si>
    <r>
      <t>Engine Load 5 에서 배기가스 유량</t>
    </r>
    <r>
      <rPr>
        <sz val="12"/>
        <rFont val="돋움"/>
        <family val="3"/>
        <charset val="129"/>
      </rPr>
      <t/>
    </r>
  </si>
  <si>
    <r>
      <t>Engine Load 6 에서 배기가스 유량</t>
    </r>
    <r>
      <rPr>
        <sz val="12"/>
        <rFont val="돋움"/>
        <family val="3"/>
        <charset val="129"/>
      </rPr>
      <t/>
    </r>
  </si>
  <si>
    <r>
      <t>Engine Load 7 에서 배기가스 유량</t>
    </r>
    <r>
      <rPr>
        <sz val="12"/>
        <rFont val="돋움"/>
        <family val="3"/>
        <charset val="129"/>
      </rPr>
      <t/>
    </r>
  </si>
  <si>
    <r>
      <t>Engine Load 8 에서 배기가스 유량</t>
    </r>
    <r>
      <rPr>
        <sz val="12"/>
        <rFont val="돋움"/>
        <family val="3"/>
        <charset val="129"/>
      </rPr>
      <t/>
    </r>
  </si>
  <si>
    <r>
      <t>Engine Load 9 에서 배기가스 유량</t>
    </r>
    <r>
      <rPr>
        <sz val="12"/>
        <rFont val="돋움"/>
        <family val="3"/>
        <charset val="129"/>
      </rPr>
      <t/>
    </r>
  </si>
  <si>
    <r>
      <t>Engine Load 10 에서 배기가스 유량</t>
    </r>
    <r>
      <rPr>
        <sz val="12"/>
        <rFont val="돋움"/>
        <family val="3"/>
        <charset val="129"/>
      </rPr>
      <t/>
    </r>
  </si>
  <si>
    <r>
      <t>Engine Load 11 에서 배기가스 유량</t>
    </r>
    <r>
      <rPr>
        <sz val="12"/>
        <rFont val="돋움"/>
        <family val="3"/>
        <charset val="129"/>
      </rPr>
      <t/>
    </r>
  </si>
  <si>
    <t>HUInletRefTemp1</t>
  </si>
  <si>
    <t>HUInletRefTemp2</t>
  </si>
  <si>
    <t>HUInletRefTemp3</t>
  </si>
  <si>
    <t>HUInletRefTemp4</t>
  </si>
  <si>
    <t>HUInletRefTemp5</t>
  </si>
  <si>
    <t>HUInletRefTemp6</t>
  </si>
  <si>
    <t>HUInletRefTemp7</t>
  </si>
  <si>
    <t>HUInletRefTemp8</t>
  </si>
  <si>
    <t>HUInletRefTemp9</t>
  </si>
  <si>
    <t>HUInletRefTemp11</t>
  </si>
  <si>
    <r>
      <t xml:space="preserve">Engine Load 0 </t>
    </r>
    <r>
      <rPr>
        <sz val="12"/>
        <rFont val="돋움"/>
        <family val="3"/>
        <charset val="129"/>
      </rPr>
      <t>에서</t>
    </r>
    <r>
      <rPr>
        <sz val="12"/>
        <rFont val="Arial"/>
        <family val="2"/>
      </rPr>
      <t xml:space="preserve"> Mixer inlet </t>
    </r>
    <r>
      <rPr>
        <sz val="12"/>
        <rFont val="돋움"/>
        <family val="3"/>
        <charset val="129"/>
      </rPr>
      <t>기준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온도</t>
    </r>
    <phoneticPr fontId="1" type="noConversion"/>
  </si>
  <si>
    <r>
      <t>Engine Load 1 에서 Mixer inlet 기준 온도</t>
    </r>
    <r>
      <rPr>
        <sz val="12"/>
        <rFont val="돋움"/>
        <family val="3"/>
        <charset val="129"/>
      </rPr>
      <t/>
    </r>
  </si>
  <si>
    <r>
      <t>Engine Load 2 에서 Mixer inlet 기준 온도</t>
    </r>
    <r>
      <rPr>
        <sz val="12"/>
        <rFont val="돋움"/>
        <family val="3"/>
        <charset val="129"/>
      </rPr>
      <t/>
    </r>
  </si>
  <si>
    <r>
      <t>Engine Load 3 에서 Mixer inlet 기준 온도</t>
    </r>
    <r>
      <rPr>
        <sz val="12"/>
        <rFont val="돋움"/>
        <family val="3"/>
        <charset val="129"/>
      </rPr>
      <t/>
    </r>
  </si>
  <si>
    <r>
      <t>Engine Load 4 에서 Mixer inlet 기준 온도</t>
    </r>
    <r>
      <rPr>
        <sz val="12"/>
        <rFont val="돋움"/>
        <family val="3"/>
        <charset val="129"/>
      </rPr>
      <t/>
    </r>
  </si>
  <si>
    <r>
      <t>Engine Load 5 에서 Mixer inlet 기준 온도</t>
    </r>
    <r>
      <rPr>
        <sz val="12"/>
        <rFont val="돋움"/>
        <family val="3"/>
        <charset val="129"/>
      </rPr>
      <t/>
    </r>
  </si>
  <si>
    <r>
      <t>Engine Load 6 에서 Mixer inlet 기준 온도</t>
    </r>
    <r>
      <rPr>
        <sz val="12"/>
        <rFont val="돋움"/>
        <family val="3"/>
        <charset val="129"/>
      </rPr>
      <t/>
    </r>
  </si>
  <si>
    <r>
      <t>Engine Load 7 에서 Mixer inlet 기준 온도</t>
    </r>
    <r>
      <rPr>
        <sz val="12"/>
        <rFont val="돋움"/>
        <family val="3"/>
        <charset val="129"/>
      </rPr>
      <t/>
    </r>
  </si>
  <si>
    <r>
      <t>Engine Load 8 에서 Mixer inlet 기준 온도</t>
    </r>
    <r>
      <rPr>
        <sz val="12"/>
        <rFont val="돋움"/>
        <family val="3"/>
        <charset val="129"/>
      </rPr>
      <t/>
    </r>
  </si>
  <si>
    <r>
      <t>Engine Load 9 에서 Mixer inlet 기준 온도</t>
    </r>
    <r>
      <rPr>
        <sz val="12"/>
        <rFont val="돋움"/>
        <family val="3"/>
        <charset val="129"/>
      </rPr>
      <t/>
    </r>
  </si>
  <si>
    <r>
      <t>Engine Load 10 에서 Mixer inlet 기준 온도</t>
    </r>
    <r>
      <rPr>
        <sz val="12"/>
        <rFont val="돋움"/>
        <family val="3"/>
        <charset val="129"/>
      </rPr>
      <t/>
    </r>
  </si>
  <si>
    <r>
      <t>Engine Load 11 에서 Mixer inlet 기준 온도</t>
    </r>
    <r>
      <rPr>
        <sz val="12"/>
        <rFont val="돋움"/>
        <family val="3"/>
        <charset val="129"/>
      </rPr>
      <t/>
    </r>
  </si>
  <si>
    <t>MOCSTempPgain1</t>
  </si>
  <si>
    <t>MOCSTempPgain2</t>
  </si>
  <si>
    <t>MOCSTempPgain3</t>
  </si>
  <si>
    <t>MOCSTempPgain4</t>
  </si>
  <si>
    <t>MOCSTempPgain5</t>
  </si>
  <si>
    <t>MOCSTempPgain6</t>
  </si>
  <si>
    <t>MOCSTempPgain7</t>
  </si>
  <si>
    <t>MOCSTempPgain8</t>
  </si>
  <si>
    <t>MOCSTempPgain9</t>
  </si>
  <si>
    <t>MOCSTempPgain11</t>
  </si>
  <si>
    <t>P gain of PID Controller to regulate MOCS Temp at Engine Load 0</t>
    <phoneticPr fontId="1" type="noConversion"/>
  </si>
  <si>
    <r>
      <t xml:space="preserve">MOSC </t>
    </r>
    <r>
      <rPr>
        <sz val="12"/>
        <rFont val="돋움"/>
        <family val="3"/>
        <charset val="129"/>
      </rPr>
      <t>온도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제어를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위한</t>
    </r>
    <r>
      <rPr>
        <sz val="12"/>
        <rFont val="Arial"/>
        <family val="2"/>
      </rPr>
      <t xml:space="preserve"> Engine Load 0 </t>
    </r>
    <r>
      <rPr>
        <sz val="12"/>
        <rFont val="돋움"/>
        <family val="3"/>
        <charset val="129"/>
      </rPr>
      <t>에서</t>
    </r>
    <r>
      <rPr>
        <sz val="12"/>
        <rFont val="Arial"/>
        <family val="2"/>
      </rPr>
      <t xml:space="preserve"> P gain</t>
    </r>
    <phoneticPr fontId="1" type="noConversion"/>
  </si>
  <si>
    <t>P gain of PID Controller to regulate MOCS Temp at Engine Load 1</t>
  </si>
  <si>
    <r>
      <t xml:space="preserve">MOSC </t>
    </r>
    <r>
      <rPr>
        <sz val="12"/>
        <rFont val="돋움"/>
        <family val="3"/>
        <charset val="129"/>
      </rPr>
      <t>온도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제어를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위한</t>
    </r>
    <r>
      <rPr>
        <sz val="12"/>
        <rFont val="Arial"/>
        <family val="2"/>
      </rPr>
      <t xml:space="preserve"> Engine Load 1 에서 P gain</t>
    </r>
  </si>
  <si>
    <t>P gain of PID Controller to regulate MOCS Temp at Engine Load 2</t>
  </si>
  <si>
    <r>
      <t xml:space="preserve">MOSC </t>
    </r>
    <r>
      <rPr>
        <sz val="12"/>
        <rFont val="돋움"/>
        <family val="3"/>
        <charset val="129"/>
      </rPr>
      <t>온도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제어를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위한</t>
    </r>
    <r>
      <rPr>
        <sz val="12"/>
        <rFont val="Arial"/>
        <family val="2"/>
      </rPr>
      <t xml:space="preserve"> Engine Load 2 에서 P gain</t>
    </r>
  </si>
  <si>
    <t>P gain of PID Controller to regulate MOCS Temp at Engine Load 3</t>
  </si>
  <si>
    <r>
      <t xml:space="preserve">MOSC </t>
    </r>
    <r>
      <rPr>
        <sz val="12"/>
        <rFont val="돋움"/>
        <family val="3"/>
        <charset val="129"/>
      </rPr>
      <t>온도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제어를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위한</t>
    </r>
    <r>
      <rPr>
        <sz val="12"/>
        <rFont val="Arial"/>
        <family val="2"/>
      </rPr>
      <t xml:space="preserve"> Engine Load 3 에서 P gain</t>
    </r>
  </si>
  <si>
    <t>P gain of PID Controller to regulate MOCS Temp at Engine Load 4</t>
  </si>
  <si>
    <r>
      <t xml:space="preserve">MOSC </t>
    </r>
    <r>
      <rPr>
        <sz val="12"/>
        <rFont val="돋움"/>
        <family val="3"/>
        <charset val="129"/>
      </rPr>
      <t>온도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제어를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위한</t>
    </r>
    <r>
      <rPr>
        <sz val="12"/>
        <rFont val="Arial"/>
        <family val="2"/>
      </rPr>
      <t xml:space="preserve"> Engine Load 4 에서 P gain</t>
    </r>
  </si>
  <si>
    <t>P gain of PID Controller to regulate MOCS Temp at Engine Load 5</t>
  </si>
  <si>
    <r>
      <t xml:space="preserve">MOSC </t>
    </r>
    <r>
      <rPr>
        <sz val="12"/>
        <rFont val="돋움"/>
        <family val="3"/>
        <charset val="129"/>
      </rPr>
      <t>온도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제어를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위한</t>
    </r>
    <r>
      <rPr>
        <sz val="12"/>
        <rFont val="Arial"/>
        <family val="2"/>
      </rPr>
      <t xml:space="preserve"> Engine Load 5 에서 P gain</t>
    </r>
  </si>
  <si>
    <t>P gain of PID Controller to regulate MOCS Temp at Engine Load 6</t>
  </si>
  <si>
    <r>
      <t xml:space="preserve">MOSC </t>
    </r>
    <r>
      <rPr>
        <sz val="12"/>
        <rFont val="돋움"/>
        <family val="3"/>
        <charset val="129"/>
      </rPr>
      <t>온도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제어를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위한</t>
    </r>
    <r>
      <rPr>
        <sz val="12"/>
        <rFont val="Arial"/>
        <family val="2"/>
      </rPr>
      <t xml:space="preserve"> Engine Load 6 에서 P gain</t>
    </r>
  </si>
  <si>
    <t>P gain of PID Controller to regulate MOCS Temp at Engine Load 7</t>
  </si>
  <si>
    <r>
      <t xml:space="preserve">MOSC </t>
    </r>
    <r>
      <rPr>
        <sz val="12"/>
        <rFont val="돋움"/>
        <family val="3"/>
        <charset val="129"/>
      </rPr>
      <t>온도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제어를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위한</t>
    </r>
    <r>
      <rPr>
        <sz val="12"/>
        <rFont val="Arial"/>
        <family val="2"/>
      </rPr>
      <t xml:space="preserve"> Engine Load 7 에서 P gain</t>
    </r>
  </si>
  <si>
    <t>P gain of PID Controller to regulate MOCS Temp at Engine Load 8</t>
  </si>
  <si>
    <r>
      <t xml:space="preserve">MOSC </t>
    </r>
    <r>
      <rPr>
        <sz val="12"/>
        <rFont val="돋움"/>
        <family val="3"/>
        <charset val="129"/>
      </rPr>
      <t>온도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제어를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위한</t>
    </r>
    <r>
      <rPr>
        <sz val="12"/>
        <rFont val="Arial"/>
        <family val="2"/>
      </rPr>
      <t xml:space="preserve"> Engine Load 8 에서 P gain</t>
    </r>
  </si>
  <si>
    <t>P gain of PID Controller to regulate MOCS Temp at Engine Load 9</t>
  </si>
  <si>
    <r>
      <t xml:space="preserve">MOSC </t>
    </r>
    <r>
      <rPr>
        <sz val="12"/>
        <rFont val="돋움"/>
        <family val="3"/>
        <charset val="129"/>
      </rPr>
      <t>온도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제어를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위한</t>
    </r>
    <r>
      <rPr>
        <sz val="12"/>
        <rFont val="Arial"/>
        <family val="2"/>
      </rPr>
      <t xml:space="preserve"> Engine Load 9 에서 P gain</t>
    </r>
  </si>
  <si>
    <t>P gain of PID Controller to regulate MOCS Temp at Engine Load 10</t>
  </si>
  <si>
    <r>
      <t xml:space="preserve">MOSC </t>
    </r>
    <r>
      <rPr>
        <sz val="12"/>
        <rFont val="돋움"/>
        <family val="3"/>
        <charset val="129"/>
      </rPr>
      <t>온도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제어를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위한</t>
    </r>
    <r>
      <rPr>
        <sz val="12"/>
        <rFont val="Arial"/>
        <family val="2"/>
      </rPr>
      <t xml:space="preserve"> Engine Load 10 에서 P gain</t>
    </r>
  </si>
  <si>
    <t>P gain of PID Controller to regulate MOCS Temp at Engine Load 11</t>
  </si>
  <si>
    <r>
      <t xml:space="preserve">MOSC </t>
    </r>
    <r>
      <rPr>
        <sz val="12"/>
        <rFont val="돋움"/>
        <family val="3"/>
        <charset val="129"/>
      </rPr>
      <t>온도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제어를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위한</t>
    </r>
    <r>
      <rPr>
        <sz val="12"/>
        <rFont val="Arial"/>
        <family val="2"/>
      </rPr>
      <t xml:space="preserve"> Engine Load 11 에서 P gain</t>
    </r>
  </si>
  <si>
    <t>QFOHighLimitMin</t>
    <phoneticPr fontId="1" type="noConversion"/>
  </si>
  <si>
    <r>
      <t xml:space="preserve">F.O Flowrate </t>
    </r>
    <r>
      <rPr>
        <sz val="12"/>
        <rFont val="돋움"/>
        <family val="3"/>
        <charset val="129"/>
      </rPr>
      <t>최대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유량의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최소값</t>
    </r>
    <r>
      <rPr>
        <sz val="12"/>
        <rFont val="Arial"/>
        <family val="2"/>
      </rPr>
      <t>(0</t>
    </r>
    <r>
      <rPr>
        <sz val="12"/>
        <rFont val="돋움"/>
        <family val="3"/>
        <charset val="129"/>
      </rPr>
      <t>이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나오지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않도록</t>
    </r>
    <r>
      <rPr>
        <sz val="12"/>
        <rFont val="Arial"/>
        <family val="2"/>
      </rPr>
      <t>)</t>
    </r>
    <phoneticPr fontId="1" type="noConversion"/>
  </si>
  <si>
    <t>HeatLossTemp</t>
  </si>
  <si>
    <t>Saturator1</t>
    <phoneticPr fontId="1" type="noConversion"/>
  </si>
  <si>
    <t>Saturator3</t>
    <phoneticPr fontId="1" type="noConversion"/>
  </si>
  <si>
    <t>Saturator2</t>
    <phoneticPr fontId="1" type="noConversion"/>
  </si>
  <si>
    <t>Feedforward Table x</t>
    <phoneticPr fontId="1" type="noConversion"/>
  </si>
  <si>
    <t>Feedforward Table y</t>
    <phoneticPr fontId="1" type="noConversion"/>
  </si>
  <si>
    <t>Mixer Inlet reference Temp at Engine Load 0</t>
  </si>
  <si>
    <t>Mixer Inlet reference Temp at Engine Load 1</t>
  </si>
  <si>
    <t>Mixer Inlet reference Temp at Engine Load 2</t>
  </si>
  <si>
    <t>Mixer Inlet reference Temp at Engine Load 3</t>
  </si>
  <si>
    <t>Mixer Inlet reference Temp at Engine Load 5</t>
  </si>
  <si>
    <t>Mixer Inlet reference Temp at Engine Load 6</t>
  </si>
  <si>
    <t>Mixer Inlet reference Temp at Engine Load 7</t>
  </si>
  <si>
    <t>Mixer Inlet reference Temp at Engine Load 8</t>
  </si>
  <si>
    <t>Mixer Inlet reference Temp at Engine Load 9</t>
  </si>
  <si>
    <t>Mixer Inlet reference Temp at Engine Load 10</t>
  </si>
  <si>
    <t>Mixer Inlet reference Temp at Engine Load 11</t>
  </si>
  <si>
    <t>SolVVDelay</t>
  </si>
  <si>
    <t>Dosing Sol VV Delay</t>
  </si>
  <si>
    <t>Dosing F.O. Valve 순서대로 동작시 대기 시간</t>
  </si>
  <si>
    <t>PumpChangeOverTime</t>
    <phoneticPr fontId="1" type="noConversion"/>
  </si>
  <si>
    <t>Pump Timer &gt; PumpChangeOverTime</t>
    <phoneticPr fontId="1" type="noConversion"/>
  </si>
  <si>
    <r>
      <t xml:space="preserve">Active State </t>
    </r>
    <r>
      <rPr>
        <sz val="12"/>
        <rFont val="돋움"/>
        <family val="3"/>
        <charset val="129"/>
      </rPr>
      <t>진입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기준</t>
    </r>
    <r>
      <rPr>
        <sz val="12"/>
        <rFont val="Arial"/>
        <family val="2"/>
      </rPr>
      <t xml:space="preserve"> Mixer Inlet(Heating Unit Inlet)</t>
    </r>
    <r>
      <rPr>
        <sz val="12"/>
        <rFont val="돋움"/>
        <family val="3"/>
        <charset val="129"/>
      </rPr>
      <t>온도</t>
    </r>
    <phoneticPr fontId="1" type="noConversion"/>
  </si>
  <si>
    <t>F.O. Dosing line Cooling Duration</t>
    <phoneticPr fontId="1" type="noConversion"/>
  </si>
  <si>
    <t>펌프 한대의 운전 시간이 PumpChangeOverTime 시간 초과하면 다른 펌프와 교대</t>
    <phoneticPr fontId="1" type="noConversion"/>
  </si>
  <si>
    <t>Minimum Value of F.O. Flowrate High Limit</t>
    <phoneticPr fontId="1" type="noConversion"/>
  </si>
  <si>
    <r>
      <t>F.O. Flowrate Setpoint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 Low Limit</t>
    </r>
    <r>
      <rPr>
        <sz val="12"/>
        <rFont val="돋움"/>
        <family val="3"/>
        <charset val="129"/>
      </rPr>
      <t>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걸린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상태로</t>
    </r>
    <r>
      <rPr>
        <sz val="12"/>
        <rFont val="Arial"/>
        <family val="2"/>
      </rPr>
      <t xml:space="preserve"> QFOLowLimitDelay </t>
    </r>
    <r>
      <rPr>
        <sz val="12"/>
        <rFont val="돋움"/>
        <family val="3"/>
        <charset val="129"/>
      </rPr>
      <t>시간을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초과하면</t>
    </r>
    <r>
      <rPr>
        <sz val="12"/>
        <rFont val="Arial"/>
        <family val="2"/>
      </rPr>
      <t xml:space="preserve"> FODS Flushing</t>
    </r>
    <phoneticPr fontId="1" type="noConversion"/>
  </si>
  <si>
    <r>
      <t xml:space="preserve">F.O. Flowrate </t>
    </r>
    <r>
      <rPr>
        <sz val="12"/>
        <rFont val="돋움"/>
        <family val="3"/>
        <charset val="129"/>
      </rPr>
      <t>≤</t>
    </r>
    <r>
      <rPr>
        <sz val="12"/>
        <rFont val="Arial"/>
        <family val="2"/>
      </rPr>
      <t xml:space="preserve"> 0 </t>
    </r>
    <r>
      <rPr>
        <sz val="12"/>
        <rFont val="돋움"/>
        <family val="3"/>
        <charset val="129"/>
      </rPr>
      <t>인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상태로</t>
    </r>
    <r>
      <rPr>
        <sz val="12"/>
        <rFont val="Arial"/>
        <family val="2"/>
      </rPr>
      <t xml:space="preserve"> LowRefQFODelay </t>
    </r>
    <r>
      <rPr>
        <sz val="12"/>
        <rFont val="돋움"/>
        <family val="3"/>
        <charset val="129"/>
      </rPr>
      <t>시간을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초과하면</t>
    </r>
    <r>
      <rPr>
        <sz val="12"/>
        <rFont val="Arial"/>
        <family val="2"/>
      </rPr>
      <t xml:space="preserve"> FODS Flushing</t>
    </r>
    <phoneticPr fontId="1" type="noConversion"/>
  </si>
  <si>
    <r>
      <t>Dosing Air Sol VV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열려있는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시간</t>
    </r>
    <phoneticPr fontId="1" type="noConversion"/>
  </si>
  <si>
    <t>Safety</t>
    <phoneticPr fontId="1" type="noConversion"/>
  </si>
  <si>
    <t>Delay</t>
    <phoneticPr fontId="1" type="noConversion"/>
  </si>
  <si>
    <t>Dosing F.O. Flow Deviation</t>
  </si>
  <si>
    <t>F.O. Dosing System</t>
  </si>
  <si>
    <t>Burner System</t>
  </si>
  <si>
    <r>
      <t>Dosing Line</t>
    </r>
    <r>
      <rPr>
        <sz val="12"/>
        <rFont val="돋움"/>
        <family val="3"/>
        <charset val="129"/>
      </rPr>
      <t>의</t>
    </r>
    <r>
      <rPr>
        <sz val="12"/>
        <rFont val="Arial"/>
        <family val="2"/>
      </rPr>
      <t xml:space="preserve"> F.O.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 Return </t>
    </r>
    <r>
      <rPr>
        <sz val="12"/>
        <rFont val="돋움"/>
        <family val="3"/>
        <charset val="129"/>
      </rPr>
      <t>되는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것을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기다리는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시간</t>
    </r>
    <phoneticPr fontId="1" type="noConversion"/>
  </si>
  <si>
    <t>RTV Fail</t>
  </si>
  <si>
    <t>RTV Deviation</t>
  </si>
  <si>
    <t>MOCS Chamber PDT High-High</t>
  </si>
  <si>
    <t>MOCS Chamber PDT High</t>
  </si>
  <si>
    <t>MOCS Chamber PDT Low</t>
  </si>
  <si>
    <t>RBV PDT High-High</t>
  </si>
  <si>
    <t>RBV PDT High</t>
  </si>
  <si>
    <t>RTV PDT High-High</t>
  </si>
  <si>
    <t>RTV PDT High</t>
  </si>
  <si>
    <t>RTV PDT Low</t>
  </si>
  <si>
    <t>Chamber Inlet01 Temp High_High</t>
  </si>
  <si>
    <t>Chamber Inlet01 Temp High</t>
  </si>
  <si>
    <t>Chamber Inlet01 Temp Low</t>
  </si>
  <si>
    <t>Chamber Inlet01 Temp Low-Low</t>
  </si>
  <si>
    <t>Chamber Mid01 Temp High-High</t>
  </si>
  <si>
    <t>Chamber Mid01 Temp High</t>
  </si>
  <si>
    <t>Chamber Mid01 Temp Low</t>
  </si>
  <si>
    <t>Chamber Mid01 Temp Low-Low</t>
  </si>
  <si>
    <t>Chamber Outlet01 Temp High-High</t>
  </si>
  <si>
    <t>Chamber Outlet01 Temp High</t>
  </si>
  <si>
    <t>Chamber Outlet01 Temp Low</t>
  </si>
  <si>
    <t>Chamber Outlet01 Temp Low-Low</t>
  </si>
  <si>
    <t>Dosing F.O. flowmeter High-High</t>
  </si>
  <si>
    <t>Dosing F.O. flowmeter High</t>
  </si>
  <si>
    <t>Supply, F.O. outlet PT High-High</t>
  </si>
  <si>
    <t>Supply, F.O. outlet PT High</t>
  </si>
  <si>
    <t>Supply, F.O. outlet PT Low</t>
  </si>
  <si>
    <t>Supply, F.O. outlet PT Low-Low</t>
  </si>
  <si>
    <t>Dosing F.O. inlet PT High-High</t>
  </si>
  <si>
    <t>Dosing F.O. inlet PT High</t>
  </si>
  <si>
    <t>Dosing F.O. inlet PT Low</t>
  </si>
  <si>
    <t>Dosing F.O. inlet PT Low-Low</t>
  </si>
  <si>
    <t>Dosing F.O. mid PT Low</t>
  </si>
  <si>
    <t>Dosing F.O. mid PT Low-Low</t>
  </si>
  <si>
    <t>Dosing F.O. outlet PT Low</t>
  </si>
  <si>
    <t>Dosing F.O. outlet PT Low-Low</t>
  </si>
  <si>
    <t>Dosing air inlet PT Low</t>
  </si>
  <si>
    <t>Dosing air inlet PT Low-Low</t>
  </si>
  <si>
    <t>Dosing air outlet PT Low</t>
  </si>
  <si>
    <t>Dosing air outlet PT Low-Low</t>
  </si>
  <si>
    <t>mbar</t>
  </si>
  <si>
    <t>bar</t>
  </si>
  <si>
    <t>l/h</t>
  </si>
  <si>
    <t>0</t>
  </si>
  <si>
    <t>16</t>
  </si>
  <si>
    <t>10</t>
  </si>
  <si>
    <t>Threshold</t>
    <phoneticPr fontId="1" type="noConversion"/>
  </si>
  <si>
    <t>HeatingSystem</t>
  </si>
  <si>
    <t>MOCS 승온 방식 선택</t>
  </si>
  <si>
    <t>VSSolValveOpenDuration</t>
    <phoneticPr fontId="1" type="noConversion"/>
  </si>
  <si>
    <t>VSSolValveCloseDuration</t>
    <phoneticPr fontId="1" type="noConversion"/>
  </si>
  <si>
    <t>VS Sol Valve Open duration on Sealing State</t>
    <phoneticPr fontId="1" type="noConversion"/>
  </si>
  <si>
    <t>VS Sol Valve Close duration on Sealing State</t>
    <phoneticPr fontId="1" type="noConversion"/>
  </si>
  <si>
    <t>HMI Page</t>
    <phoneticPr fontId="1" type="noConversion"/>
  </si>
  <si>
    <t>comm_name</t>
    <phoneticPr fontId="1" type="noConversion"/>
  </si>
  <si>
    <t>IDX</t>
    <phoneticPr fontId="1" type="noConversion"/>
  </si>
  <si>
    <t>NAME_TAG</t>
  </si>
  <si>
    <t>HUInactiveOffsetTemp</t>
    <phoneticPr fontId="1" type="noConversion"/>
  </si>
  <si>
    <t>VSSolValveOpenDP</t>
    <phoneticPr fontId="1" type="noConversion"/>
  </si>
  <si>
    <t>F.O. Flowrate High Limit = Reference F.O. Flowrate * F.O. Flowrate High Limit Gain</t>
    <phoneticPr fontId="1" type="noConversion"/>
  </si>
  <si>
    <t>Safety
_Delay</t>
    <phoneticPr fontId="1" type="noConversion"/>
  </si>
  <si>
    <t>Boolean Type Alarm Delady</t>
    <phoneticPr fontId="1" type="noConversion"/>
  </si>
  <si>
    <t>AL_VSD_AB_MS</t>
  </si>
  <si>
    <t>MOCS Em'cy stop</t>
  </si>
  <si>
    <t>AL_MSD_UD_EGD</t>
  </si>
  <si>
    <t>Engine Sudden Diesel Transfer</t>
  </si>
  <si>
    <t>AL_MSD_UD_EGS</t>
  </si>
  <si>
    <t>Engine Stop(Gas mode)</t>
  </si>
  <si>
    <t>AL_MSD_UD_CME</t>
  </si>
  <si>
    <t>Communication Fail with Engine</t>
  </si>
  <si>
    <t>AL_NOT_UD_CMH</t>
  </si>
  <si>
    <t>Communication Fail with HMI</t>
  </si>
  <si>
    <t>AL_VSD_UD_RSV_FA</t>
  </si>
  <si>
    <t>RSV Fail</t>
  </si>
  <si>
    <t>AL_VSD_UD_RSV_SF</t>
  </si>
  <si>
    <t>RSV Feedback S/F</t>
  </si>
  <si>
    <t>RBV Fail</t>
  </si>
  <si>
    <t>AL_VSD_UD_RBV_SF</t>
  </si>
  <si>
    <t>RBV Feedback S/F</t>
  </si>
  <si>
    <t>AL_DEN_UD_FM_FO_DVTO</t>
  </si>
  <si>
    <t>Dosing F.O. Flow Deviation Time out</t>
  </si>
  <si>
    <t>AL_DEN_UD_FM_FO_STTO</t>
  </si>
  <si>
    <t>Dosing F.O. Limit Saturation time out</t>
  </si>
  <si>
    <t>threshold = QF.O. Limit which is estimated from Advanced PID F.O. Control Logic</t>
    <phoneticPr fontId="1" type="noConversion"/>
  </si>
  <si>
    <t>AL_DEN_AB_PP1_RMT</t>
  </si>
  <si>
    <t>No.1 F.O. supply pump Not remote</t>
  </si>
  <si>
    <t>AL_DEN_AB_PP1_ABN</t>
  </si>
  <si>
    <t>No.1 F.O. supply pump Abnormal</t>
  </si>
  <si>
    <t>AL_DEN_UD_PP1_FA</t>
  </si>
  <si>
    <t>No.1 F.O. supply pump Fail</t>
  </si>
  <si>
    <t>AL_DEN_AB_PP2_RMT</t>
  </si>
  <si>
    <t>No.2 F.O. supply pump Not remote</t>
  </si>
  <si>
    <t>AL_DEN_AB_PP2_ABN</t>
  </si>
  <si>
    <t>No.2 F.O. supply pump Abnormal</t>
  </si>
  <si>
    <t>AL_DEN_UD_PP2_FA</t>
  </si>
  <si>
    <t>No.2 F.O. supply pump Fail</t>
  </si>
  <si>
    <t>AL_DEN_AB_TC_SFOI</t>
  </si>
  <si>
    <t>Dosing F.O. inlet Temp. High-High</t>
  </si>
  <si>
    <t>Burner system Not Ready</t>
  </si>
  <si>
    <t>AL_NOT_AB_BN_MI</t>
  </si>
  <si>
    <t>Buner minor Alarm</t>
  </si>
  <si>
    <t>AL_DEN_AB_BN_MA</t>
  </si>
  <si>
    <t>Buner major Alarm</t>
  </si>
  <si>
    <t>AL_DEN_UD_BN_FA</t>
  </si>
  <si>
    <t>Buner Fail</t>
  </si>
  <si>
    <t>Analog Sensor Fault Delay</t>
    <phoneticPr fontId="1" type="noConversion"/>
  </si>
  <si>
    <t>RTV Feedback S/F</t>
  </si>
  <si>
    <t>MOCS Chamber PDT S/F</t>
  </si>
  <si>
    <t>RBV PDT S/F</t>
  </si>
  <si>
    <t>RTV PDT S/F</t>
  </si>
  <si>
    <t>RTV PDT S/F MOCS Not ready -  Sealing required</t>
  </si>
  <si>
    <t>Mixer Inlet Temp S/F</t>
  </si>
  <si>
    <t>Chamber Inlet01 Temp S/F</t>
  </si>
  <si>
    <t>Chamber Mid01 Temp S/F</t>
  </si>
  <si>
    <t>Chamber Outlet01 Temp S/F</t>
  </si>
  <si>
    <t>Dosing F.O. flowmeter S/F</t>
  </si>
  <si>
    <t>Supply, F.O. inlet PT S/F</t>
  </si>
  <si>
    <t>Supply, F.O. outlet PT S/F</t>
  </si>
  <si>
    <t>Dosing F.O. inlet PT S/F</t>
  </si>
  <si>
    <t>Dosing F.O. mid PT S/F</t>
  </si>
  <si>
    <t>Dosing F.O. outlet PT S/F</t>
  </si>
  <si>
    <t>Dosing air inlet PT S/F</t>
  </si>
  <si>
    <t>Dosing air outlet PT S/F</t>
  </si>
  <si>
    <t>MOCS(Main)</t>
  </si>
  <si>
    <t>AL_VSD_ER_RTV_FA</t>
  </si>
  <si>
    <t>AL_VSD_ER_RTV_DV</t>
  </si>
  <si>
    <t>AL_DEN_HH_PDT_CH</t>
  </si>
  <si>
    <t>AL_NOT_HO_PDT_CH</t>
  </si>
  <si>
    <t>AL_NRD_LO_PDT_CH</t>
  </si>
  <si>
    <t>AL_MSD_HH_PDT_RBV</t>
  </si>
  <si>
    <t>AL_NOT_HO_PDT_RBV</t>
  </si>
  <si>
    <t>AL_NOT_HH_PDT_RTV</t>
  </si>
  <si>
    <t>AL_NOT_HO_PDT_RTV</t>
  </si>
  <si>
    <t>AL_NOT_LO_PDT_RTV</t>
  </si>
  <si>
    <t>AL_MSD_HH_TC_CHI</t>
  </si>
  <si>
    <t>AL_NOT_HO_TC_CHI</t>
  </si>
  <si>
    <t>AL_NOT_LO_TC_CHI</t>
  </si>
  <si>
    <t>AL_MSD_LL_TC_CHI</t>
  </si>
  <si>
    <t>AL_MSD_HH_TC_CHM</t>
  </si>
  <si>
    <t>AL_NOT_HO_TC_CHM</t>
  </si>
  <si>
    <t>AL_NOT_LO_TC_CHM</t>
  </si>
  <si>
    <t>AL_MSD_LL_TC_CHM</t>
  </si>
  <si>
    <t>AL_MSD_HH_TC_CHO</t>
  </si>
  <si>
    <t>AL_NOT_HO_TC_CHO</t>
  </si>
  <si>
    <t>AL_NOT_LO_TC_CHO</t>
  </si>
  <si>
    <t>AL_MSD_LL_TC_CHO</t>
  </si>
  <si>
    <t>AL_NOT_HH_FM_FO</t>
  </si>
  <si>
    <t>AL_NOT_HO_FM_FO</t>
  </si>
  <si>
    <t>AL_NOT_ER_FM_FO</t>
  </si>
  <si>
    <t>AL_DEN_LO_PT_SFOI</t>
  </si>
  <si>
    <t>Supply, F.O. inlet PT Low</t>
  </si>
  <si>
    <t>AL_DEN_HH_PT_SFOO</t>
  </si>
  <si>
    <t>AL_NOT_HO_PT_SFOO</t>
  </si>
  <si>
    <t>AL_NOT_LO_PT_SFOO</t>
  </si>
  <si>
    <t>AL_NOT_LL_PT_SFOO</t>
  </si>
  <si>
    <t>AL_DEN_HH_PT_DFOI</t>
  </si>
  <si>
    <t>AL_NOT_HO_PT_DFOI</t>
  </si>
  <si>
    <t>AL_NOT_LO_PT_DFOI</t>
  </si>
  <si>
    <t>AL_DEN_LL_PT_DFOI</t>
  </si>
  <si>
    <t>AL_NOT_LO_PT_DFOM</t>
  </si>
  <si>
    <t>AL_DEN_LL_PT_DFOM</t>
  </si>
  <si>
    <t>AL_NOT_LO_PT_DFOO</t>
  </si>
  <si>
    <t>AL_DEN_LL_PT_DFOO</t>
  </si>
  <si>
    <t>AL_NOT_LO_PT_DAI</t>
  </si>
  <si>
    <t>AL_DEN_LL_PT_DAI</t>
  </si>
  <si>
    <t>AL_NOT_LO_PT_DAO</t>
  </si>
  <si>
    <t>AL_DEN_LL_PT_DAO</t>
  </si>
  <si>
    <t>Safety
_Threshold
(MOCS Main)</t>
    <phoneticPr fontId="1" type="noConversion"/>
  </si>
  <si>
    <t>Safety
_Threshold
(F.O. Dosing)</t>
    <phoneticPr fontId="1" type="noConversion"/>
  </si>
  <si>
    <t>bar</t>
    <phoneticPr fontId="1" type="noConversion"/>
  </si>
  <si>
    <t>AL_VSD_SF_RTV</t>
  </si>
  <si>
    <t>AL_DEN_SF_PDT_CH</t>
  </si>
  <si>
    <t>AL_MSD_SF_PDT_RBV</t>
  </si>
  <si>
    <t>AL_NOT_SF_PDT_RTV</t>
  </si>
  <si>
    <t>AL_NOT_SF_PDT_RTVS</t>
  </si>
  <si>
    <t>AL_DEN_SF_TC_MXI</t>
  </si>
  <si>
    <t>AL_NOT_SF_TC_CHM</t>
  </si>
  <si>
    <t>AL_DEN_SF_TC_CHO</t>
  </si>
  <si>
    <t>AL_NOT_SF_FM_FO</t>
  </si>
  <si>
    <t>AL_DEN_SF_PT_SFOI</t>
  </si>
  <si>
    <t>AL_DEN_SF_PT_SFOO</t>
  </si>
  <si>
    <t>AL_DEN_SF_PT_DFOI</t>
  </si>
  <si>
    <t>AL_DEN_SF_PT_DFOO</t>
  </si>
  <si>
    <t>AL_DEN_SF_PT_DFOM</t>
  </si>
  <si>
    <t>AL_DEN_SF_TC_CHI</t>
  </si>
  <si>
    <t>AL_DEN_SF_PT_DAI</t>
  </si>
  <si>
    <t>AL_DEN_SF_PT_DAO</t>
  </si>
  <si>
    <t>AL_NOT_AB_PP1_RMT</t>
  </si>
  <si>
    <t>AL_NOT_AB_PP1_ABN</t>
  </si>
  <si>
    <t>AL_NOT_UD_PP1_FA</t>
  </si>
  <si>
    <t>AL_NOT_AB_PP2_RMT</t>
  </si>
  <si>
    <t>AL_NOT_AB_PP2_ABN</t>
  </si>
  <si>
    <t>AL_NOT_UD_PP2_FA</t>
  </si>
  <si>
    <t>AL_DEN_UD_BN_NR</t>
    <phoneticPr fontId="1" type="noConversion"/>
  </si>
  <si>
    <t>AL_NOT_AB_BN_MI</t>
    <phoneticPr fontId="1" type="noConversion"/>
  </si>
  <si>
    <t>AL_DEN_LO_PDT_CH</t>
    <phoneticPr fontId="1" type="noConversion"/>
  </si>
  <si>
    <t>AL_VSD_UD_RBV_FA</t>
    <phoneticPr fontId="1" type="noConversion"/>
  </si>
  <si>
    <t>EngageReserved2</t>
  </si>
  <si>
    <t>EngageReserved3</t>
  </si>
  <si>
    <t>DisengageReserved1</t>
  </si>
  <si>
    <t>DisengageReserved2</t>
  </si>
  <si>
    <t>DisengageReserved3</t>
  </si>
  <si>
    <t>AirVentingReserved2</t>
  </si>
  <si>
    <t>MOCSShutdownReserved0</t>
    <phoneticPr fontId="1" type="noConversion"/>
  </si>
  <si>
    <t>MOCSShutdownReserved1</t>
  </si>
  <si>
    <t>MOCSShutdownReserved2</t>
  </si>
  <si>
    <t>MOCSShutdownReserved3</t>
  </si>
  <si>
    <t>MOCSShutdownReserved4</t>
  </si>
  <si>
    <t>ValveShutdownReserved0</t>
    <phoneticPr fontId="1" type="noConversion"/>
  </si>
  <si>
    <t>ValveShutdownReserved1</t>
  </si>
  <si>
    <t>ValveShutdownReserved2</t>
  </si>
  <si>
    <t>ValveShutdownReserved3</t>
  </si>
  <si>
    <t>ValveShutdownReserved4</t>
  </si>
  <si>
    <t>FODSCoolingReserved1</t>
  </si>
  <si>
    <t>FODSCoolingReserved2</t>
  </si>
  <si>
    <t>FODSCoolingReserved3</t>
  </si>
  <si>
    <t>MOCSMinEngineLoad</t>
    <phoneticPr fontId="1" type="noConversion"/>
  </si>
  <si>
    <t>NumofGE</t>
  </si>
  <si>
    <t>Number of GE</t>
  </si>
  <si>
    <t>0: without SCR
1: with SCR
2: with SCR &amp; bypass</t>
    <phoneticPr fontId="1" type="noConversion"/>
  </si>
  <si>
    <t>MOCSType</t>
    <phoneticPr fontId="1" type="noConversion"/>
  </si>
  <si>
    <t>MSSNormalFallingDelay</t>
    <phoneticPr fontId="1" type="noConversion"/>
  </si>
  <si>
    <t>MovAvgPeriod</t>
    <phoneticPr fontId="1" type="noConversion"/>
  </si>
  <si>
    <t xml:space="preserve">Moving average compare point  </t>
    <phoneticPr fontId="1" type="noConversion"/>
  </si>
  <si>
    <t>Load change detection threshold</t>
    <phoneticPr fontId="1" type="noConversion"/>
  </si>
  <si>
    <t>%/sec</t>
    <phoneticPr fontId="1" type="noConversion"/>
  </si>
  <si>
    <t>(+)%/sec</t>
    <phoneticPr fontId="1" type="noConversion"/>
  </si>
  <si>
    <t>(-)%/sec</t>
    <phoneticPr fontId="1" type="noConversion"/>
  </si>
  <si>
    <t>ComparePoint</t>
    <phoneticPr fontId="1" type="noConversion"/>
  </si>
  <si>
    <t>LoadChangeThreshold</t>
    <phoneticPr fontId="1" type="noConversion"/>
  </si>
  <si>
    <t>InitReserved0</t>
    <phoneticPr fontId="1" type="noConversion"/>
  </si>
  <si>
    <t>InitReserved1</t>
    <phoneticPr fontId="1" type="noConversion"/>
  </si>
  <si>
    <t>InitReserved2</t>
  </si>
  <si>
    <t>InitReserved3</t>
  </si>
  <si>
    <t>InitReserved4</t>
  </si>
  <si>
    <t>Mixer Inlet Temp &gt; [HUReadyHUITemp]</t>
  </si>
  <si>
    <t>VSSolValveCloseDP</t>
    <phoneticPr fontId="1" type="noConversion"/>
  </si>
  <si>
    <t>Moving average sampling period</t>
    <phoneticPr fontId="1" type="noConversion"/>
  </si>
  <si>
    <t>TMBReserved2</t>
  </si>
  <si>
    <t>TMBBypassMinDuration</t>
    <phoneticPr fontId="1" type="noConversion"/>
  </si>
  <si>
    <t>TMB Bypass Minimum Duration</t>
    <phoneticPr fontId="1" type="noConversion"/>
  </si>
  <si>
    <t>TMB States Timout Threshold(MOCS Shutdown)</t>
    <phoneticPr fontId="1" type="noConversion"/>
  </si>
  <si>
    <t>TMBTimeoutThreshold</t>
    <phoneticPr fontId="1" type="noConversion"/>
  </si>
  <si>
    <t>FOPurgingDuration</t>
    <phoneticPr fontId="1" type="noConversion"/>
  </si>
  <si>
    <t>LowRefQFOTimeout</t>
    <phoneticPr fontId="1" type="noConversion"/>
  </si>
  <si>
    <t>QFOLowLimitTimeout</t>
    <phoneticPr fontId="1" type="noConversion"/>
  </si>
  <si>
    <r>
      <t xml:space="preserve">Dosing Stop when Ref F.O. Flowrate </t>
    </r>
    <r>
      <rPr>
        <sz val="12"/>
        <rFont val="돋움"/>
        <family val="3"/>
        <charset val="129"/>
      </rPr>
      <t>≤</t>
    </r>
    <r>
      <rPr>
        <sz val="12"/>
        <rFont val="Arial"/>
        <family val="2"/>
      </rPr>
      <t xml:space="preserve"> 0, for [LowRefQFOTimeout]</t>
    </r>
    <phoneticPr fontId="1" type="noConversion"/>
  </si>
  <si>
    <t>Dosing Stop when F.O. Flowrate Setpoint = QFOLowLimitValue for [QFOLowLimitTimeout]</t>
    <phoneticPr fontId="1" type="noConversion"/>
  </si>
  <si>
    <t>Heat Loss Temp. from Mixer Inlet to MOC Chamber</t>
  </si>
  <si>
    <t>SealingReserved7</t>
    <phoneticPr fontId="1" type="noConversion"/>
  </si>
  <si>
    <t>SealingReserved8</t>
    <phoneticPr fontId="1" type="noConversion"/>
  </si>
  <si>
    <t>SealingReserved9</t>
    <phoneticPr fontId="1" type="noConversion"/>
  </si>
  <si>
    <t>EngageReserved1</t>
    <phoneticPr fontId="1" type="noConversion"/>
  </si>
  <si>
    <t>EngageReserved4</t>
  </si>
  <si>
    <t>ActiveReserved3</t>
    <phoneticPr fontId="1" type="noConversion"/>
  </si>
  <si>
    <t>ActiveReserved4</t>
    <phoneticPr fontId="1" type="noConversion"/>
  </si>
  <si>
    <t>TMBReserved3</t>
  </si>
  <si>
    <t>TMBReserved4</t>
  </si>
  <si>
    <t>DisengageReserved4</t>
  </si>
  <si>
    <t>AirVentingReserved3</t>
  </si>
  <si>
    <t>AirVentingReserved4</t>
  </si>
  <si>
    <t>FODSCoolingReserved4</t>
  </si>
  <si>
    <t>FODSFlushingReserved2</t>
    <phoneticPr fontId="1" type="noConversion"/>
  </si>
  <si>
    <t>FODSFlushingReserved3</t>
    <phoneticPr fontId="1" type="noConversion"/>
  </si>
  <si>
    <t>FODSFlushingReserved4</t>
    <phoneticPr fontId="1" type="noConversion"/>
  </si>
  <si>
    <t>MSSNormalFallingHysteresis</t>
    <phoneticPr fontId="1" type="noConversion"/>
  </si>
  <si>
    <t>MOCSReadyEngineLoad</t>
    <phoneticPr fontId="1" type="noConversion"/>
  </si>
  <si>
    <t>MOCS Ready Engine Load w/o MSS Active</t>
    <phoneticPr fontId="1" type="noConversion"/>
  </si>
  <si>
    <t>MOCS Ready Minimum Engine Load w/ MSS Active</t>
    <phoneticPr fontId="1" type="noConversion"/>
  </si>
  <si>
    <t xml:space="preserve">Hysteresis for MSS Normal Flag to fall from True to False
 during MSS re-entry </t>
    <phoneticPr fontId="1" type="noConversion"/>
  </si>
  <si>
    <t>Delay time for MSS Normal Flag to fall from True to False
 during MSS re-entry</t>
    <phoneticPr fontId="1" type="noConversion"/>
  </si>
  <si>
    <t>(T/C outlet temp. - MOCS chamber inlet temp.)
 &lt; HUReadyDTemp</t>
    <phoneticPr fontId="1" type="noConversion"/>
  </si>
  <si>
    <t>CorrectionFactor0</t>
    <phoneticPr fontId="1" type="noConversion"/>
  </si>
  <si>
    <t>CorrectionFactor1</t>
  </si>
  <si>
    <t>CorrectionFactor2</t>
  </si>
  <si>
    <t>CorrectionFactor3</t>
  </si>
  <si>
    <t>CorrectionFactor4</t>
  </si>
  <si>
    <t>CorrectionFactor5</t>
  </si>
  <si>
    <t>CorrectionFactor6</t>
  </si>
  <si>
    <t>CorrectionFactor7</t>
  </si>
  <si>
    <t>CorrectionFactor8</t>
  </si>
  <si>
    <t>CorrectionFactor9</t>
  </si>
  <si>
    <t>CorrectionFactor10</t>
  </si>
  <si>
    <t>CorrectionFactor11</t>
  </si>
  <si>
    <t>Feedfoward demanded F.O. flowrate 0</t>
    <phoneticPr fontId="1" type="noConversion"/>
  </si>
  <si>
    <t>Feedfoward demanded F.O. flowrate 1</t>
  </si>
  <si>
    <t>Feedfoward demanded F.O. flowrate 2</t>
  </si>
  <si>
    <t>Feedfoward demanded F.O. flowrate 3</t>
  </si>
  <si>
    <t>Feedfoward demanded F.O. flowrate 4</t>
  </si>
  <si>
    <t>Feedfoward demanded F.O. flowrate 5</t>
  </si>
  <si>
    <t>Feedfoward demanded F.O. flowrate 6</t>
  </si>
  <si>
    <t>Feedfoward demanded F.O. flowrate 7</t>
  </si>
  <si>
    <t>Feedfoward demanded F.O. flowrate 8</t>
  </si>
  <si>
    <t>Feedfoward demanded F.O. flowrate 9</t>
  </si>
  <si>
    <t>Feedfoward demanded F.O. flowrate 10</t>
  </si>
  <si>
    <t>Feedfoward demanded F.O. flowrate 11</t>
  </si>
  <si>
    <t>FODSDosingReserved14</t>
    <phoneticPr fontId="1" type="noConversion"/>
  </si>
  <si>
    <t>FODSDosingReserved13</t>
    <phoneticPr fontId="1" type="noConversion"/>
  </si>
  <si>
    <t>FODSDosingReserved12</t>
    <phoneticPr fontId="1" type="noConversion"/>
  </si>
  <si>
    <t>FODSDosingReserved11</t>
    <phoneticPr fontId="1" type="noConversion"/>
  </si>
  <si>
    <t>Mixer Inlet reference Temp at Engine Load 4</t>
    <phoneticPr fontId="1" type="noConversion"/>
  </si>
  <si>
    <t>RTVOpenDP</t>
    <phoneticPr fontId="1" type="noConversion"/>
  </si>
  <si>
    <t>RTVCloseDP</t>
    <phoneticPr fontId="1" type="noConversion"/>
  </si>
  <si>
    <t>VS sol valve Close dP</t>
    <phoneticPr fontId="1" type="noConversion"/>
  </si>
  <si>
    <t>RTV Open dP</t>
    <phoneticPr fontId="1" type="noConversion"/>
  </si>
  <si>
    <t>RTV Close dP</t>
    <phoneticPr fontId="1" type="noConversion"/>
  </si>
  <si>
    <r>
      <t xml:space="preserve">Feedforward  Table </t>
    </r>
    <r>
      <rPr>
        <sz val="12"/>
        <color rgb="FF0000FF"/>
        <rFont val="돋움"/>
        <family val="3"/>
        <charset val="129"/>
      </rPr>
      <t>행</t>
    </r>
    <r>
      <rPr>
        <sz val="12"/>
        <color rgb="FF0000FF"/>
        <rFont val="Arial"/>
        <family val="2"/>
      </rPr>
      <t xml:space="preserve"> </t>
    </r>
    <r>
      <rPr>
        <sz val="12"/>
        <color rgb="FF0000FF"/>
        <rFont val="돋움"/>
        <family val="3"/>
        <charset val="129"/>
      </rPr>
      <t>수</t>
    </r>
    <phoneticPr fontId="1" type="noConversion"/>
  </si>
  <si>
    <r>
      <rPr>
        <sz val="12"/>
        <color rgb="FF0000FF"/>
        <rFont val="돋움"/>
        <family val="3"/>
        <charset val="129"/>
      </rPr>
      <t>배관을</t>
    </r>
    <r>
      <rPr>
        <sz val="12"/>
        <color rgb="FF0000FF"/>
        <rFont val="Arial"/>
        <family val="2"/>
      </rPr>
      <t xml:space="preserve"> </t>
    </r>
    <r>
      <rPr>
        <sz val="12"/>
        <color rgb="FF0000FF"/>
        <rFont val="돋움"/>
        <family val="3"/>
        <charset val="129"/>
      </rPr>
      <t>통해</t>
    </r>
    <r>
      <rPr>
        <sz val="12"/>
        <color rgb="FF0000FF"/>
        <rFont val="Arial"/>
        <family val="2"/>
      </rPr>
      <t xml:space="preserve"> </t>
    </r>
    <r>
      <rPr>
        <sz val="12"/>
        <color rgb="FF0000FF"/>
        <rFont val="돋움"/>
        <family val="3"/>
        <charset val="129"/>
      </rPr>
      <t>열손실</t>
    </r>
    <r>
      <rPr>
        <sz val="12"/>
        <color rgb="FF0000FF"/>
        <rFont val="Arial"/>
        <family val="2"/>
      </rPr>
      <t xml:space="preserve"> </t>
    </r>
    <r>
      <rPr>
        <sz val="12"/>
        <color rgb="FF0000FF"/>
        <rFont val="돋움"/>
        <family val="3"/>
        <charset val="129"/>
      </rPr>
      <t>되는</t>
    </r>
    <r>
      <rPr>
        <sz val="12"/>
        <color rgb="FF0000FF"/>
        <rFont val="Arial"/>
        <family val="2"/>
      </rPr>
      <t xml:space="preserve"> </t>
    </r>
    <r>
      <rPr>
        <sz val="12"/>
        <color rgb="FF0000FF"/>
        <rFont val="돋움"/>
        <family val="3"/>
        <charset val="129"/>
      </rPr>
      <t>온도</t>
    </r>
    <r>
      <rPr>
        <sz val="12"/>
        <color rgb="FF0000FF"/>
        <rFont val="Arial"/>
        <family val="2"/>
      </rPr>
      <t xml:space="preserve"> </t>
    </r>
    <r>
      <rPr>
        <sz val="12"/>
        <color rgb="FF0000FF"/>
        <rFont val="돋움"/>
        <family val="3"/>
        <charset val="129"/>
      </rPr>
      <t>예상</t>
    </r>
    <r>
      <rPr>
        <sz val="12"/>
        <color rgb="FF0000FF"/>
        <rFont val="Arial"/>
        <family val="2"/>
      </rPr>
      <t xml:space="preserve"> </t>
    </r>
    <r>
      <rPr>
        <sz val="12"/>
        <color rgb="FF0000FF"/>
        <rFont val="돋움"/>
        <family val="3"/>
        <charset val="129"/>
      </rPr>
      <t>값</t>
    </r>
    <phoneticPr fontId="1" type="noConversion"/>
  </si>
  <si>
    <t>Scale</t>
    <phoneticPr fontId="1" type="noConversion"/>
  </si>
  <si>
    <t>kg/h</t>
    <phoneticPr fontId="1" type="noConversion"/>
  </si>
  <si>
    <t>0: F.O. Dosing System
1: Burner System</t>
  </si>
  <si>
    <t>ComboBox</t>
    <phoneticPr fontId="1" type="noConversion"/>
  </si>
  <si>
    <t>WarmUpDTemp</t>
    <phoneticPr fontId="1" type="noConversion"/>
  </si>
  <si>
    <t>WarmUpITemp</t>
    <phoneticPr fontId="1" type="noConversion"/>
  </si>
  <si>
    <t>WarmUpChITemp</t>
    <phoneticPr fontId="1" type="noConversion"/>
  </si>
  <si>
    <t>WarmUpChMTemp</t>
    <phoneticPr fontId="1" type="noConversion"/>
  </si>
  <si>
    <t>WarmUpChOTemp</t>
    <phoneticPr fontId="1" type="noConversion"/>
  </si>
  <si>
    <t>MSSFlagReserved4</t>
    <phoneticPr fontId="1" type="noConversion"/>
  </si>
  <si>
    <t>FlagReserved15</t>
    <phoneticPr fontId="1" type="noConversion"/>
  </si>
  <si>
    <t>SystemReserved49</t>
    <phoneticPr fontId="1" type="noConversion"/>
  </si>
  <si>
    <t>...</t>
    <phoneticPr fontId="1" type="noConversion"/>
  </si>
  <si>
    <t>FlagReserved49</t>
    <phoneticPr fontId="1" type="noConversion"/>
  </si>
  <si>
    <t>-</t>
    <phoneticPr fontId="1" type="noConversion"/>
  </si>
  <si>
    <t>CommReserved199</t>
    <phoneticPr fontId="1" type="noConversion"/>
  </si>
  <si>
    <t>Common[0..199]</t>
    <phoneticPr fontId="1" type="noConversion"/>
  </si>
  <si>
    <t>FODSInitReserved1</t>
  </si>
  <si>
    <t>FODSInitReserved0</t>
    <phoneticPr fontId="1" type="noConversion"/>
  </si>
  <si>
    <t>FODSInitReserved2</t>
  </si>
  <si>
    <t>FODSInitReserved3</t>
  </si>
  <si>
    <t>FODSInitReserved4</t>
  </si>
  <si>
    <t>CommReserved180</t>
    <phoneticPr fontId="1" type="noConversion"/>
  </si>
  <si>
    <t>13-20</t>
    <phoneticPr fontId="1" type="noConversion"/>
  </si>
  <si>
    <t>Init[0..4]
(Comm[100..104])</t>
    <phoneticPr fontId="1" type="noConversion"/>
  </si>
  <si>
    <t>Sealing[0..9]
(Comm[105..114])</t>
    <phoneticPr fontId="1" type="noConversion"/>
  </si>
  <si>
    <t>Engage[0..4]
(Comm[115..119])</t>
    <phoneticPr fontId="1" type="noConversion"/>
  </si>
  <si>
    <t>Active[0..4]
(Comm[120..124])</t>
    <phoneticPr fontId="1" type="noConversion"/>
  </si>
  <si>
    <t>MSS Normal Flag[0..4]
(Comm[50..54])</t>
    <phoneticPr fontId="1" type="noConversion"/>
  </si>
  <si>
    <t>System Warmed Up Flag[0..4]
(Comm[60..64])</t>
    <phoneticPr fontId="1" type="noConversion"/>
  </si>
  <si>
    <t>Disengage[0..4]
(Comm[130..134])</t>
    <phoneticPr fontId="1" type="noConversion"/>
  </si>
  <si>
    <t>Air venting[0..4]
(Comm[135..139])</t>
    <phoneticPr fontId="1" type="noConversion"/>
  </si>
  <si>
    <t>MOCS shutdown[0..4]
(Comm[140..144])</t>
    <phoneticPr fontId="1" type="noConversion"/>
  </si>
  <si>
    <t>Valve shutdown[0..4]
(Comm[145..149])</t>
    <phoneticPr fontId="1" type="noConversion"/>
  </si>
  <si>
    <t>FODS Cooling[0..4]
(Comm[155..159])</t>
    <phoneticPr fontId="1" type="noConversion"/>
  </si>
  <si>
    <r>
      <t xml:space="preserve">Engage State </t>
    </r>
    <r>
      <rPr>
        <sz val="12"/>
        <rFont val="돋움"/>
        <family val="3"/>
        <charset val="129"/>
      </rPr>
      <t>진입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기준</t>
    </r>
    <r>
      <rPr>
        <sz val="12"/>
        <rFont val="Arial"/>
        <family val="2"/>
      </rPr>
      <t xml:space="preserve"> Engine Load</t>
    </r>
    <phoneticPr fontId="1" type="noConversion"/>
  </si>
  <si>
    <r>
      <t xml:space="preserve">MSS Run signal </t>
    </r>
    <r>
      <rPr>
        <sz val="12"/>
        <rFont val="돋움"/>
        <family val="3"/>
        <charset val="129"/>
      </rPr>
      <t>이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참에서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거짓으로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바뀔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때</t>
    </r>
    <r>
      <rPr>
        <sz val="12"/>
        <rFont val="Arial"/>
        <family val="2"/>
      </rPr>
      <t xml:space="preserve"> Delay time </t>
    </r>
    <r>
      <rPr>
        <sz val="12"/>
        <rFont val="돋움"/>
        <family val="3"/>
        <charset val="129"/>
      </rPr>
      <t>내
다시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참으로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돌아오면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신호를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참으로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유지</t>
    </r>
    <phoneticPr fontId="1" type="noConversion"/>
  </si>
  <si>
    <t>FODS Dosing[0..14]
(Comm[160..174])</t>
    <phoneticPr fontId="1" type="noConversion"/>
  </si>
  <si>
    <t>FODS Flushing[0..4]
(Comm[175..179])</t>
    <phoneticPr fontId="1" type="noConversion"/>
  </si>
  <si>
    <t>FODSFeedbackReserved19</t>
    <phoneticPr fontId="1" type="noConversion"/>
  </si>
  <si>
    <t>FODSFeedbackReserved20</t>
  </si>
  <si>
    <t>FODSFeedbackReserved21</t>
  </si>
  <si>
    <t>FODSFeedbackReserved22</t>
  </si>
  <si>
    <t>FODSFeedbackReserved23</t>
  </si>
  <si>
    <t>FODSFeedbackReserved24</t>
  </si>
  <si>
    <t>FODS[0..29]
(Comm[150..179])</t>
    <phoneticPr fontId="1" type="noConversion"/>
  </si>
  <si>
    <t>Main
(Comm[100..149])</t>
    <phoneticPr fontId="1" type="noConversion"/>
  </si>
  <si>
    <t>Index</t>
    <phoneticPr fontId="1" type="noConversion"/>
  </si>
  <si>
    <t>COSMO Page</t>
    <phoneticPr fontId="1" type="noConversion"/>
  </si>
  <si>
    <t>25.05.07</t>
    <phoneticPr fontId="1" type="noConversion"/>
  </si>
  <si>
    <t>MATLAB Interface</t>
    <phoneticPr fontId="1" type="noConversion"/>
  </si>
  <si>
    <r>
      <t xml:space="preserve">* Valve Error </t>
    </r>
    <r>
      <rPr>
        <b/>
        <sz val="12"/>
        <color rgb="FF0000FF"/>
        <rFont val="돋움"/>
        <family val="3"/>
        <charset val="129"/>
      </rPr>
      <t>관련</t>
    </r>
    <r>
      <rPr>
        <b/>
        <sz val="12"/>
        <color rgb="FF0000FF"/>
        <rFont val="Arial"/>
        <family val="2"/>
      </rPr>
      <t xml:space="preserve"> Parameter</t>
    </r>
    <r>
      <rPr>
        <b/>
        <sz val="12"/>
        <color rgb="FF0000FF"/>
        <rFont val="돋움"/>
        <family val="3"/>
        <charset val="129"/>
      </rPr>
      <t>는</t>
    </r>
    <r>
      <rPr>
        <b/>
        <sz val="12"/>
        <color rgb="FF0000FF"/>
        <rFont val="Arial"/>
        <family val="2"/>
      </rPr>
      <t xml:space="preserve"> Alarm Parameter</t>
    </r>
    <r>
      <rPr>
        <b/>
        <sz val="12"/>
        <color rgb="FF0000FF"/>
        <rFont val="돋움"/>
        <family val="3"/>
        <charset val="129"/>
      </rPr>
      <t>로</t>
    </r>
    <r>
      <rPr>
        <b/>
        <sz val="12"/>
        <color rgb="FF0000FF"/>
        <rFont val="Arial"/>
        <family val="2"/>
      </rPr>
      <t xml:space="preserve"> </t>
    </r>
    <r>
      <rPr>
        <b/>
        <sz val="12"/>
        <color rgb="FF0000FF"/>
        <rFont val="돋움"/>
        <family val="3"/>
        <charset val="129"/>
      </rPr>
      <t>이동</t>
    </r>
    <phoneticPr fontId="1" type="noConversion"/>
  </si>
  <si>
    <t>R0.01</t>
    <phoneticPr fontId="1" type="noConversion"/>
  </si>
  <si>
    <t>Indiv[0..99]</t>
    <phoneticPr fontId="1" type="noConversion"/>
  </si>
  <si>
    <t>typ</t>
    <phoneticPr fontId="1" type="noConversion"/>
  </si>
  <si>
    <t>struct</t>
    <phoneticPr fontId="1" type="noConversion"/>
  </si>
  <si>
    <t>val</t>
    <phoneticPr fontId="1" type="noConversion"/>
  </si>
  <si>
    <t>var</t>
    <phoneticPr fontId="1" type="noConversion"/>
  </si>
  <si>
    <t>FODS InitReady[0..4]
(Comm[150..154])</t>
    <phoneticPr fontId="1" type="noConversion"/>
  </si>
  <si>
    <t>System
(Comm[0..49])</t>
    <phoneticPr fontId="1" type="noConversion"/>
  </si>
  <si>
    <t>TMB[0..4]
(Comm[125..129])</t>
    <phoneticPr fontId="1" type="noConversion"/>
  </si>
  <si>
    <t>SystemReserved5</t>
  </si>
  <si>
    <t>SystemReserved6</t>
  </si>
  <si>
    <t>SystemReserved7</t>
  </si>
  <si>
    <t>SystemReserved8</t>
  </si>
  <si>
    <t>SystemReserved9</t>
  </si>
  <si>
    <t>SystemReserved10</t>
  </si>
  <si>
    <t>SystemReserved11</t>
  </si>
  <si>
    <t>SystemReserved12</t>
  </si>
  <si>
    <t>SystemReserved13</t>
  </si>
  <si>
    <t>SystemReserved14</t>
  </si>
  <si>
    <t>SystemReserved15</t>
  </si>
  <si>
    <t>SystemReserved16</t>
  </si>
  <si>
    <t>SystemReserved17</t>
  </si>
  <si>
    <t>SystemReserved18</t>
  </si>
  <si>
    <t>SystemReserved19</t>
  </si>
  <si>
    <t>SystemReserved20</t>
  </si>
  <si>
    <t>SystemReserved21</t>
  </si>
  <si>
    <t>SystemReserved22</t>
  </si>
  <si>
    <t>SystemReserved23</t>
  </si>
  <si>
    <t>SystemReserved24</t>
  </si>
  <si>
    <t>SystemReserved25</t>
  </si>
  <si>
    <t>SystemReserved26</t>
  </si>
  <si>
    <t>SystemReserved27</t>
  </si>
  <si>
    <t>SystemReserved28</t>
  </si>
  <si>
    <t>SystemReserved29</t>
  </si>
  <si>
    <t>SystemReserved30</t>
  </si>
  <si>
    <t>SystemReserved31</t>
  </si>
  <si>
    <t>SystemReserved32</t>
  </si>
  <si>
    <t>SystemReserved33</t>
  </si>
  <si>
    <t>SystemReserved34</t>
  </si>
  <si>
    <t>SystemReserved35</t>
  </si>
  <si>
    <t>SystemReserved36</t>
  </si>
  <si>
    <t>SystemReserved37</t>
  </si>
  <si>
    <t>SystemReserved38</t>
  </si>
  <si>
    <t>SystemReserved39</t>
  </si>
  <si>
    <t>SystemReserved40</t>
  </si>
  <si>
    <t>SystemReserved41</t>
  </si>
  <si>
    <t>SystemReserved42</t>
  </si>
  <si>
    <t>SystemReserved43</t>
  </si>
  <si>
    <t>SystemReserved44</t>
  </si>
  <si>
    <t>SystemReserved45</t>
  </si>
  <si>
    <t>SystemReserved46</t>
  </si>
  <si>
    <t>SystemReserved47</t>
  </si>
  <si>
    <t>SystemReserved48</t>
  </si>
  <si>
    <t>SystemReserved49</t>
  </si>
  <si>
    <t>CommReserved180</t>
  </si>
  <si>
    <t>CommReserved181</t>
  </si>
  <si>
    <t>CommReserved182</t>
  </si>
  <si>
    <t>CommReserved183</t>
  </si>
  <si>
    <t>CommReserved184</t>
  </si>
  <si>
    <t>CommReserved185</t>
  </si>
  <si>
    <t>CommReserved186</t>
  </si>
  <si>
    <t>CommReserved187</t>
  </si>
  <si>
    <t>CommReserved188</t>
  </si>
  <si>
    <t>CommReserved189</t>
  </si>
  <si>
    <t>CommReserved190</t>
  </si>
  <si>
    <t>CommReserved191</t>
  </si>
  <si>
    <t>CommReserved192</t>
  </si>
  <si>
    <t>CommReserved193</t>
  </si>
  <si>
    <t>CommReserved194</t>
  </si>
  <si>
    <t>CommReserved195</t>
  </si>
  <si>
    <t>CommReserved196</t>
  </si>
  <si>
    <t>CommReserved197</t>
  </si>
  <si>
    <t>CommReserved198</t>
  </si>
  <si>
    <t>CommReserved199</t>
  </si>
  <si>
    <t>FOSuppUnit</t>
  </si>
  <si>
    <t>0: MOCS Controller
1: Yard</t>
  </si>
  <si>
    <t>ComboBox</t>
  </si>
  <si>
    <t>SystemReserved4</t>
    <phoneticPr fontId="1" type="noConversion"/>
  </si>
  <si>
    <t>Load Change Flag[0..4]
(Comm[55..59])</t>
    <phoneticPr fontId="1" type="noConversion"/>
  </si>
  <si>
    <t>LoadCangeFlagReserved4</t>
    <phoneticPr fontId="1" type="noConversion"/>
  </si>
  <si>
    <t>LoadCangeFlagFallingDelay</t>
    <phoneticPr fontId="1" type="noConversion"/>
  </si>
  <si>
    <t>Load Cange Flag Falling Delay</t>
    <phoneticPr fontId="1" type="noConversion"/>
  </si>
  <si>
    <t>System Reserved[4..49]
(Comm[4..49])</t>
    <phoneticPr fontId="1" type="noConversion"/>
  </si>
  <si>
    <t>SystemType[0..3]
(Comm[0..3])</t>
    <phoneticPr fontId="1" type="noConversion"/>
  </si>
  <si>
    <t>State Flag
(Comm[50..99])</t>
    <phoneticPr fontId="1" type="noConversion"/>
  </si>
  <si>
    <t>Flag Reserved[0..34]
(Comm[65..99])</t>
    <phoneticPr fontId="1" type="noConversion"/>
  </si>
  <si>
    <t>FODS Feedforward[0..49]
(Indiv[0..49])</t>
    <phoneticPr fontId="1" type="noConversion"/>
  </si>
  <si>
    <t>Common Reserved Cat2[0..19]
(Comm[180..199])</t>
    <phoneticPr fontId="1" type="noConversion"/>
  </si>
  <si>
    <t>Common Reserved Cat3[0..19]
(Comm[180..199])</t>
    <phoneticPr fontId="1" type="noConversion"/>
  </si>
  <si>
    <t>HUInletRefTemp0</t>
    <phoneticPr fontId="1" type="noConversion"/>
  </si>
  <si>
    <t>MOCSTempPgain0</t>
    <phoneticPr fontId="1" type="noConversion"/>
  </si>
  <si>
    <t>EngineLoad[0..11]
(Indiv[2..13])</t>
    <phoneticPr fontId="1" type="noConversion"/>
  </si>
  <si>
    <t>ExhFlowrate[0..11]
(Indiv[14..25])</t>
    <phoneticPr fontId="1" type="noConversion"/>
  </si>
  <si>
    <t>HUInletRefTemp[0..11]
(Indiv[26..37])</t>
    <phoneticPr fontId="1" type="noConversion"/>
  </si>
  <si>
    <t>CorrectionFactor[0..11]
(Indiv[38..49])</t>
    <phoneticPr fontId="1" type="noConversion"/>
  </si>
  <si>
    <t>FODS Feedback[0..24]
(Indiv[50..74])</t>
    <phoneticPr fontId="1" type="noConversion"/>
  </si>
  <si>
    <t>MOCSTempPgain[0..11]
(Indiv[50..61])</t>
    <phoneticPr fontId="1" type="noConversion"/>
  </si>
  <si>
    <t>APIDgain[0..12]
(Indiv[62..74])</t>
    <phoneticPr fontId="1" type="noConversion"/>
  </si>
  <si>
    <t>Indiv Reserved Cat2
(Indiv[75..99])</t>
    <phoneticPr fontId="1" type="noConversion"/>
  </si>
  <si>
    <t>Indiv Reserved Cat3
(Indiv[75..99])</t>
    <phoneticPr fontId="1" type="noConversion"/>
  </si>
  <si>
    <t>FFpara[0..1]
(Indiv[0..1])</t>
    <phoneticPr fontId="1" type="noConversion"/>
  </si>
  <si>
    <t>FlagReserved15</t>
  </si>
  <si>
    <t>FlagReserved16</t>
  </si>
  <si>
    <t>FlagReserved17</t>
  </si>
  <si>
    <t>FlagReserved18</t>
  </si>
  <si>
    <t>FlagReserved19</t>
  </si>
  <si>
    <t>FlagReserved20</t>
  </si>
  <si>
    <t>FlagReserved21</t>
  </si>
  <si>
    <t>FlagReserved22</t>
  </si>
  <si>
    <t>FlagReserved23</t>
  </si>
  <si>
    <t>FlagReserved24</t>
  </si>
  <si>
    <t>FlagReserved25</t>
  </si>
  <si>
    <t>FlagReserved26</t>
  </si>
  <si>
    <t>FlagReserved27</t>
  </si>
  <si>
    <t>FlagReserved28</t>
  </si>
  <si>
    <t>FlagReserved29</t>
  </si>
  <si>
    <t>FlagReserved30</t>
  </si>
  <si>
    <t>FlagReserved31</t>
  </si>
  <si>
    <t>FlagReserved32</t>
  </si>
  <si>
    <t>FlagReserved33</t>
  </si>
  <si>
    <t>FlagReserved34</t>
  </si>
  <si>
    <t>FlagReserved35</t>
  </si>
  <si>
    <t>FlagReserved36</t>
  </si>
  <si>
    <t>FlagReserved37</t>
  </si>
  <si>
    <t>FlagReserved38</t>
  </si>
  <si>
    <t>FlagReserved39</t>
  </si>
  <si>
    <t>FlagReserved40</t>
  </si>
  <si>
    <t>FlagReserved41</t>
  </si>
  <si>
    <t>FlagReserved42</t>
  </si>
  <si>
    <t>FlagReserved43</t>
  </si>
  <si>
    <t>FlagReserved44</t>
  </si>
  <si>
    <t>FlagReserved45</t>
  </si>
  <si>
    <t>FlagReserved46</t>
  </si>
  <si>
    <t>FlagReserved47</t>
  </si>
  <si>
    <t>FlagReserved48</t>
  </si>
  <si>
    <t>FlagReserved49</t>
  </si>
  <si>
    <t>IndivReserved75</t>
  </si>
  <si>
    <t>IndivReserved75</t>
    <phoneticPr fontId="1" type="noConversion"/>
  </si>
  <si>
    <t>IndivReserved99</t>
  </si>
  <si>
    <t>IndivReserved99</t>
    <phoneticPr fontId="1" type="noConversion"/>
  </si>
  <si>
    <t>IndivReserved76</t>
  </si>
  <si>
    <t>IndivReserved77</t>
  </si>
  <si>
    <t>IndivReserved78</t>
  </si>
  <si>
    <t>IndivReserved79</t>
  </si>
  <si>
    <t>IndivReserved80</t>
  </si>
  <si>
    <t>IndivReserved81</t>
  </si>
  <si>
    <t>IndivReserved82</t>
  </si>
  <si>
    <t>IndivReserved83</t>
  </si>
  <si>
    <t>IndivReserved84</t>
  </si>
  <si>
    <t>IndivReserved85</t>
  </si>
  <si>
    <t>IndivReserved86</t>
  </si>
  <si>
    <t>IndivReserved87</t>
  </si>
  <si>
    <t>IndivReserved88</t>
  </si>
  <si>
    <t>IndivReserved89</t>
  </si>
  <si>
    <t>IndivReserved90</t>
  </si>
  <si>
    <t>IndivReserved91</t>
  </si>
  <si>
    <t>IndivReserved92</t>
  </si>
  <si>
    <t>IndivReserved93</t>
  </si>
  <si>
    <t>IndivReserved94</t>
  </si>
  <si>
    <t>IndivReserved95</t>
  </si>
  <si>
    <t>IndivReserved96</t>
  </si>
  <si>
    <t>IndivReserved97</t>
  </si>
  <si>
    <t>IndivReserved98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</si>
</sst>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name val="Arial"/>
      <family val="2"/>
    </font>
    <font>
      <sz val="12"/>
      <name val="돋움"/>
      <family val="3"/>
      <charset val="129"/>
    </font>
    <font>
      <b/>
      <sz val="12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2"/>
      <color rgb="FF0000FF"/>
      <name val="Arial"/>
      <family val="2"/>
    </font>
    <font>
      <sz val="12"/>
      <color rgb="FF0000FF"/>
      <name val="돋움"/>
      <family val="3"/>
      <charset val="129"/>
    </font>
    <font>
      <b/>
      <sz val="12"/>
      <color rgb="FF0000FF"/>
      <name val="Arial"/>
      <family val="2"/>
    </font>
    <font>
      <b/>
      <sz val="12"/>
      <color rgb="FF0000FF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9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7"/>
  </cellStyleXfs>
  <cellXfs count="310">
    <xf numFmtId="0" fontId="0" fillId="0" borderId="0" xfId="0">
      <alignment vertical="center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 shrinkToFit="1"/>
    </xf>
    <xf numFmtId="0" fontId="2" fillId="0" borderId="0" xfId="0" applyNumberFormat="1" applyFont="1" applyAlignment="1">
      <alignment horizontal="center" vertical="center" shrinkToFit="1"/>
    </xf>
    <xf numFmtId="0" fontId="2" fillId="0" borderId="7" xfId="0" applyFont="1" applyBorder="1" applyAlignment="1">
      <alignment vertical="center" shrinkToFit="1"/>
    </xf>
    <xf numFmtId="0" fontId="2" fillId="0" borderId="15" xfId="0" applyFont="1" applyBorder="1" applyAlignment="1">
      <alignment horizontal="center" vertical="center" shrinkToFit="1"/>
    </xf>
    <xf numFmtId="0" fontId="2" fillId="0" borderId="15" xfId="0" applyFont="1" applyBorder="1" applyAlignment="1">
      <alignment horizontal="left" vertical="center" shrinkToFit="1"/>
    </xf>
    <xf numFmtId="0" fontId="2" fillId="0" borderId="15" xfId="0" applyNumberFormat="1" applyFont="1" applyBorder="1" applyAlignment="1">
      <alignment horizontal="center" vertical="center" shrinkToFit="1"/>
    </xf>
    <xf numFmtId="0" fontId="2" fillId="0" borderId="17" xfId="0" applyFont="1" applyBorder="1" applyAlignment="1">
      <alignment horizontal="center" vertical="center" shrinkToFit="1"/>
    </xf>
    <xf numFmtId="0" fontId="2" fillId="0" borderId="17" xfId="0" applyFont="1" applyBorder="1" applyAlignment="1">
      <alignment horizontal="left" vertical="center" shrinkToFit="1"/>
    </xf>
    <xf numFmtId="0" fontId="2" fillId="0" borderId="17" xfId="0" applyFont="1" applyBorder="1" applyAlignment="1">
      <alignment vertical="center" shrinkToFit="1"/>
    </xf>
    <xf numFmtId="0" fontId="2" fillId="0" borderId="17" xfId="0" applyNumberFormat="1" applyFont="1" applyBorder="1" applyAlignment="1">
      <alignment horizontal="center" vertical="center" shrinkToFit="1"/>
    </xf>
    <xf numFmtId="0" fontId="2" fillId="0" borderId="18" xfId="0" applyFont="1" applyBorder="1" applyAlignment="1">
      <alignment vertical="center" wrapText="1" shrinkToFit="1"/>
    </xf>
    <xf numFmtId="0" fontId="2" fillId="0" borderId="18" xfId="0" applyFont="1" applyBorder="1" applyAlignment="1">
      <alignment vertical="center" shrinkToFit="1"/>
    </xf>
    <xf numFmtId="0" fontId="2" fillId="0" borderId="19" xfId="0" applyFont="1" applyBorder="1" applyAlignment="1">
      <alignment horizontal="center" vertical="center" shrinkToFit="1"/>
    </xf>
    <xf numFmtId="0" fontId="2" fillId="0" borderId="19" xfId="0" applyFont="1" applyBorder="1" applyAlignment="1">
      <alignment vertical="center" shrinkToFit="1"/>
    </xf>
    <xf numFmtId="0" fontId="2" fillId="0" borderId="19" xfId="0" applyNumberFormat="1" applyFont="1" applyBorder="1" applyAlignment="1">
      <alignment horizontal="center" vertical="center" shrinkToFit="1"/>
    </xf>
    <xf numFmtId="0" fontId="2" fillId="0" borderId="16" xfId="0" applyFont="1" applyBorder="1" applyAlignment="1">
      <alignment vertical="center" shrinkToFit="1"/>
    </xf>
    <xf numFmtId="0" fontId="2" fillId="0" borderId="15" xfId="0" applyFont="1" applyBorder="1" applyAlignment="1">
      <alignment vertical="center" shrinkToFit="1"/>
    </xf>
    <xf numFmtId="0" fontId="4" fillId="0" borderId="0" xfId="0" applyFont="1" applyAlignment="1">
      <alignment vertical="center" shrinkToFit="1"/>
    </xf>
    <xf numFmtId="0" fontId="4" fillId="0" borderId="0" xfId="0" applyFont="1" applyAlignment="1">
      <alignment horizontal="center" vertical="center" shrinkToFit="1"/>
    </xf>
    <xf numFmtId="0" fontId="2" fillId="0" borderId="21" xfId="0" applyFont="1" applyBorder="1" applyAlignment="1">
      <alignment horizontal="center" vertical="center" shrinkToFit="1"/>
    </xf>
    <xf numFmtId="0" fontId="2" fillId="0" borderId="21" xfId="0" applyFont="1" applyBorder="1" applyAlignment="1">
      <alignment vertical="center" shrinkToFit="1"/>
    </xf>
    <xf numFmtId="0" fontId="2" fillId="0" borderId="21" xfId="0" applyNumberFormat="1" applyFont="1" applyBorder="1" applyAlignment="1">
      <alignment horizontal="center" vertical="center" shrinkToFit="1"/>
    </xf>
    <xf numFmtId="0" fontId="2" fillId="0" borderId="25" xfId="0" applyFont="1" applyBorder="1" applyAlignment="1">
      <alignment horizontal="left" vertical="center" shrinkToFit="1"/>
    </xf>
    <xf numFmtId="0" fontId="2" fillId="0" borderId="25" xfId="0" applyFont="1" applyBorder="1" applyAlignment="1">
      <alignment vertical="center" shrinkToFit="1"/>
    </xf>
    <xf numFmtId="0" fontId="2" fillId="0" borderId="25" xfId="0" applyNumberFormat="1" applyFont="1" applyBorder="1" applyAlignment="1">
      <alignment horizontal="center" vertical="center" shrinkToFit="1"/>
    </xf>
    <xf numFmtId="0" fontId="2" fillId="0" borderId="25" xfId="0" applyFont="1" applyBorder="1" applyAlignment="1">
      <alignment horizontal="center" vertical="center" shrinkToFit="1"/>
    </xf>
    <xf numFmtId="0" fontId="2" fillId="0" borderId="27" xfId="0" applyFont="1" applyBorder="1" applyAlignment="1">
      <alignment vertical="center" shrinkToFit="1"/>
    </xf>
    <xf numFmtId="0" fontId="2" fillId="0" borderId="29" xfId="0" applyFont="1" applyBorder="1" applyAlignment="1">
      <alignment horizontal="center" vertical="center" shrinkToFit="1"/>
    </xf>
    <xf numFmtId="0" fontId="2" fillId="0" borderId="29" xfId="0" applyFont="1" applyBorder="1" applyAlignment="1">
      <alignment vertical="center" shrinkToFit="1"/>
    </xf>
    <xf numFmtId="0" fontId="2" fillId="0" borderId="29" xfId="0" applyNumberFormat="1" applyFont="1" applyBorder="1" applyAlignment="1">
      <alignment horizontal="center" vertical="center" shrinkToFit="1"/>
    </xf>
    <xf numFmtId="0" fontId="7" fillId="0" borderId="7" xfId="0" applyFont="1" applyBorder="1" applyAlignment="1">
      <alignment vertical="center"/>
    </xf>
    <xf numFmtId="0" fontId="7" fillId="0" borderId="7" xfId="0" applyFont="1" applyBorder="1">
      <alignment vertical="center"/>
    </xf>
    <xf numFmtId="0" fontId="2" fillId="0" borderId="6" xfId="0" applyFont="1" applyBorder="1" applyAlignment="1">
      <alignment vertical="center" shrinkToFit="1"/>
    </xf>
    <xf numFmtId="0" fontId="2" fillId="0" borderId="15" xfId="0" applyFont="1" applyFill="1" applyBorder="1" applyAlignment="1">
      <alignment horizontal="center" vertical="center" shrinkToFit="1"/>
    </xf>
    <xf numFmtId="0" fontId="2" fillId="0" borderId="15" xfId="0" applyFont="1" applyFill="1" applyBorder="1" applyAlignment="1">
      <alignment vertical="center" shrinkToFit="1"/>
    </xf>
    <xf numFmtId="0" fontId="2" fillId="0" borderId="15" xfId="0" applyNumberFormat="1" applyFont="1" applyFill="1" applyBorder="1" applyAlignment="1">
      <alignment horizontal="center" vertical="center" shrinkToFit="1"/>
    </xf>
    <xf numFmtId="0" fontId="2" fillId="0" borderId="55" xfId="0" applyFont="1" applyBorder="1" applyAlignment="1">
      <alignment vertical="center" shrinkToFit="1"/>
    </xf>
    <xf numFmtId="0" fontId="2" fillId="0" borderId="56" xfId="0" applyFont="1" applyBorder="1" applyAlignment="1">
      <alignment vertical="center" shrinkToFit="1"/>
    </xf>
    <xf numFmtId="0" fontId="2" fillId="0" borderId="57" xfId="0" applyFont="1" applyBorder="1" applyAlignment="1">
      <alignment vertical="center" shrinkToFit="1"/>
    </xf>
    <xf numFmtId="0" fontId="2" fillId="0" borderId="58" xfId="0" applyFont="1" applyFill="1" applyBorder="1" applyAlignment="1">
      <alignment vertical="center" shrinkToFit="1"/>
    </xf>
    <xf numFmtId="0" fontId="2" fillId="0" borderId="59" xfId="0" applyFont="1" applyBorder="1" applyAlignment="1">
      <alignment vertical="center" shrinkToFit="1"/>
    </xf>
    <xf numFmtId="0" fontId="2" fillId="0" borderId="60" xfId="0" applyFont="1" applyBorder="1" applyAlignment="1">
      <alignment vertical="center" shrinkToFit="1"/>
    </xf>
    <xf numFmtId="0" fontId="2" fillId="0" borderId="61" xfId="0" applyFont="1" applyBorder="1" applyAlignment="1">
      <alignment vertical="center" shrinkToFit="1"/>
    </xf>
    <xf numFmtId="0" fontId="2" fillId="0" borderId="11" xfId="0" applyFont="1" applyBorder="1" applyAlignment="1">
      <alignment horizontal="center" vertical="center" shrinkToFit="1"/>
    </xf>
    <xf numFmtId="0" fontId="2" fillId="0" borderId="25" xfId="0" applyFont="1" applyFill="1" applyBorder="1" applyAlignment="1">
      <alignment horizontal="center" vertical="center" shrinkToFit="1"/>
    </xf>
    <xf numFmtId="0" fontId="2" fillId="0" borderId="25" xfId="0" applyFont="1" applyFill="1" applyBorder="1" applyAlignment="1">
      <alignment vertical="center" shrinkToFit="1"/>
    </xf>
    <xf numFmtId="0" fontId="2" fillId="0" borderId="25" xfId="0" applyNumberFormat="1" applyFont="1" applyFill="1" applyBorder="1" applyAlignment="1">
      <alignment horizontal="center" vertical="center" shrinkToFit="1"/>
    </xf>
    <xf numFmtId="0" fontId="2" fillId="0" borderId="27" xfId="0" applyFont="1" applyFill="1" applyBorder="1" applyAlignment="1">
      <alignment vertical="center" shrinkToFit="1"/>
    </xf>
    <xf numFmtId="0" fontId="2" fillId="0" borderId="17" xfId="0" applyFont="1" applyBorder="1" applyAlignment="1">
      <alignment horizontal="left" vertical="center" wrapText="1" shrinkToFit="1"/>
    </xf>
    <xf numFmtId="0" fontId="2" fillId="0" borderId="25" xfId="0" applyFont="1" applyFill="1" applyBorder="1" applyAlignment="1">
      <alignment horizontal="left" vertical="center" shrinkToFit="1"/>
    </xf>
    <xf numFmtId="0" fontId="2" fillId="0" borderId="25" xfId="0" applyFont="1" applyFill="1" applyBorder="1" applyAlignment="1">
      <alignment vertical="center" wrapText="1" shrinkToFit="1"/>
    </xf>
    <xf numFmtId="0" fontId="2" fillId="0" borderId="27" xfId="0" applyFont="1" applyBorder="1" applyAlignment="1">
      <alignment vertical="center" wrapText="1" shrinkToFit="1"/>
    </xf>
    <xf numFmtId="0" fontId="2" fillId="0" borderId="20" xfId="0" applyFont="1" applyBorder="1" applyAlignment="1">
      <alignment vertical="center" shrinkToFit="1"/>
    </xf>
    <xf numFmtId="0" fontId="8" fillId="0" borderId="17" xfId="0" applyFont="1" applyBorder="1" applyAlignment="1">
      <alignment horizontal="center" vertical="center" shrinkToFit="1"/>
    </xf>
    <xf numFmtId="0" fontId="8" fillId="0" borderId="17" xfId="0" applyFont="1" applyBorder="1" applyAlignment="1">
      <alignment horizontal="left" vertical="center" shrinkToFit="1"/>
    </xf>
    <xf numFmtId="0" fontId="8" fillId="0" borderId="17" xfId="0" applyFont="1" applyBorder="1" applyAlignment="1">
      <alignment vertical="center" shrinkToFit="1"/>
    </xf>
    <xf numFmtId="0" fontId="8" fillId="0" borderId="17" xfId="0" applyNumberFormat="1" applyFont="1" applyBorder="1" applyAlignment="1">
      <alignment horizontal="center" vertical="center" shrinkToFit="1"/>
    </xf>
    <xf numFmtId="0" fontId="2" fillId="0" borderId="59" xfId="0" applyFont="1" applyBorder="1" applyAlignment="1">
      <alignment horizontal="center" vertical="center" shrinkToFit="1"/>
    </xf>
    <xf numFmtId="0" fontId="2" fillId="0" borderId="56" xfId="0" applyFont="1" applyFill="1" applyBorder="1" applyAlignment="1">
      <alignment horizontal="center" vertical="center" shrinkToFit="1"/>
    </xf>
    <xf numFmtId="0" fontId="2" fillId="0" borderId="58" xfId="0" applyFont="1" applyBorder="1" applyAlignment="1">
      <alignment horizontal="center" vertical="center" shrinkToFit="1"/>
    </xf>
    <xf numFmtId="0" fontId="2" fillId="0" borderId="60" xfId="0" applyFont="1" applyBorder="1" applyAlignment="1">
      <alignment horizontal="center" vertical="center" shrinkToFit="1"/>
    </xf>
    <xf numFmtId="0" fontId="8" fillId="0" borderId="59" xfId="0" applyFont="1" applyBorder="1" applyAlignment="1">
      <alignment horizontal="center" vertical="center" shrinkToFit="1"/>
    </xf>
    <xf numFmtId="0" fontId="4" fillId="0" borderId="0" xfId="0" applyFont="1" applyAlignment="1">
      <alignment vertical="top" shrinkToFit="1"/>
    </xf>
    <xf numFmtId="0" fontId="4" fillId="0" borderId="0" xfId="0" applyFont="1" applyAlignment="1">
      <alignment horizontal="center" vertical="top" shrinkToFit="1"/>
    </xf>
    <xf numFmtId="0" fontId="2" fillId="0" borderId="36" xfId="0" applyFont="1" applyBorder="1" applyAlignment="1">
      <alignment horizontal="center" vertical="center" shrinkToFit="1"/>
    </xf>
    <xf numFmtId="0" fontId="2" fillId="0" borderId="34" xfId="0" applyFont="1" applyBorder="1" applyAlignment="1">
      <alignment horizontal="center" vertical="center" shrinkToFit="1"/>
    </xf>
    <xf numFmtId="0" fontId="2" fillId="0" borderId="36" xfId="0" applyFont="1" applyFill="1" applyBorder="1" applyAlignment="1">
      <alignment horizontal="center" vertical="center" shrinkToFit="1"/>
    </xf>
    <xf numFmtId="0" fontId="2" fillId="0" borderId="65" xfId="0" applyFont="1" applyBorder="1" applyAlignment="1">
      <alignment horizontal="center" vertical="center" shrinkToFit="1"/>
    </xf>
    <xf numFmtId="0" fontId="2" fillId="0" borderId="70" xfId="0" applyFont="1" applyBorder="1" applyAlignment="1">
      <alignment horizontal="center" vertical="center" shrinkToFit="1"/>
    </xf>
    <xf numFmtId="0" fontId="2" fillId="0" borderId="68" xfId="0" applyFont="1" applyBorder="1" applyAlignment="1">
      <alignment horizontal="center" vertical="center" shrinkToFit="1"/>
    </xf>
    <xf numFmtId="0" fontId="2" fillId="0" borderId="70" xfId="0" applyFont="1" applyFill="1" applyBorder="1" applyAlignment="1">
      <alignment horizontal="center" vertical="center" shrinkToFit="1"/>
    </xf>
    <xf numFmtId="0" fontId="2" fillId="0" borderId="71" xfId="0" applyFont="1" applyBorder="1" applyAlignment="1">
      <alignment horizontal="center" vertical="center" shrinkToFit="1"/>
    </xf>
    <xf numFmtId="0" fontId="2" fillId="0" borderId="18" xfId="0" applyFont="1" applyBorder="1" applyAlignment="1">
      <alignment horizontal="center" vertical="center" shrinkToFit="1"/>
    </xf>
    <xf numFmtId="0" fontId="2" fillId="0" borderId="69" xfId="0" applyFont="1" applyBorder="1" applyAlignment="1">
      <alignment horizontal="center" vertical="center" shrinkToFit="1"/>
    </xf>
    <xf numFmtId="0" fontId="2" fillId="0" borderId="19" xfId="0" applyFont="1" applyBorder="1" applyAlignment="1">
      <alignment horizontal="left" vertical="center" shrinkToFit="1"/>
    </xf>
    <xf numFmtId="0" fontId="2" fillId="0" borderId="19" xfId="0" applyFont="1" applyBorder="1" applyAlignment="1">
      <alignment horizontal="left" vertical="center" wrapText="1" shrinkToFit="1"/>
    </xf>
    <xf numFmtId="0" fontId="2" fillId="0" borderId="20" xfId="0" applyFont="1" applyBorder="1" applyAlignment="1">
      <alignment horizontal="center" vertical="center" shrinkToFit="1"/>
    </xf>
    <xf numFmtId="0" fontId="2" fillId="0" borderId="64" xfId="0" applyFont="1" applyBorder="1" applyAlignment="1">
      <alignment horizontal="center" vertical="center" shrinkToFit="1"/>
    </xf>
    <xf numFmtId="0" fontId="8" fillId="0" borderId="68" xfId="0" applyFont="1" applyBorder="1" applyAlignment="1">
      <alignment horizontal="center" vertical="center" shrinkToFit="1"/>
    </xf>
    <xf numFmtId="0" fontId="2" fillId="0" borderId="18" xfId="0" applyFont="1" applyFill="1" applyBorder="1" applyAlignment="1">
      <alignment horizontal="center" vertical="center" shrinkToFit="1"/>
    </xf>
    <xf numFmtId="0" fontId="2" fillId="0" borderId="67" xfId="0" applyFont="1" applyBorder="1" applyAlignment="1">
      <alignment horizontal="center" vertical="center" shrinkToFit="1"/>
    </xf>
    <xf numFmtId="0" fontId="2" fillId="0" borderId="29" xfId="0" applyFont="1" applyBorder="1" applyAlignment="1">
      <alignment horizontal="left" vertical="center" wrapText="1" shrinkToFit="1"/>
    </xf>
    <xf numFmtId="0" fontId="2" fillId="0" borderId="29" xfId="0" applyFont="1" applyBorder="1" applyAlignment="1">
      <alignment horizontal="left" vertical="center" shrinkToFit="1"/>
    </xf>
    <xf numFmtId="0" fontId="2" fillId="2" borderId="68" xfId="0" applyFont="1" applyFill="1" applyBorder="1" applyAlignment="1">
      <alignment horizontal="center" vertical="center" shrinkToFit="1"/>
    </xf>
    <xf numFmtId="0" fontId="2" fillId="2" borderId="17" xfId="0" applyFont="1" applyFill="1" applyBorder="1" applyAlignment="1">
      <alignment horizontal="left" vertical="center" wrapText="1" shrinkToFit="1"/>
    </xf>
    <xf numFmtId="0" fontId="2" fillId="2" borderId="17" xfId="0" applyNumberFormat="1" applyFont="1" applyFill="1" applyBorder="1" applyAlignment="1">
      <alignment horizontal="center" vertical="center" shrinkToFit="1"/>
    </xf>
    <xf numFmtId="0" fontId="2" fillId="2" borderId="17" xfId="0" applyFont="1" applyFill="1" applyBorder="1" applyAlignment="1">
      <alignment horizontal="center" vertical="center" shrinkToFit="1"/>
    </xf>
    <xf numFmtId="0" fontId="2" fillId="2" borderId="18" xfId="0" applyFont="1" applyFill="1" applyBorder="1" applyAlignment="1">
      <alignment horizontal="center" vertical="center" shrinkToFit="1"/>
    </xf>
    <xf numFmtId="0" fontId="2" fillId="2" borderId="72" xfId="0" applyFont="1" applyFill="1" applyBorder="1" applyAlignment="1">
      <alignment horizontal="center" vertical="center" shrinkToFit="1"/>
    </xf>
    <xf numFmtId="0" fontId="2" fillId="2" borderId="21" xfId="0" applyFont="1" applyFill="1" applyBorder="1" applyAlignment="1">
      <alignment horizontal="left" vertical="center" wrapText="1" shrinkToFit="1"/>
    </xf>
    <xf numFmtId="0" fontId="2" fillId="2" borderId="21" xfId="0" applyNumberFormat="1" applyFont="1" applyFill="1" applyBorder="1" applyAlignment="1">
      <alignment horizontal="center" vertical="center" shrinkToFit="1"/>
    </xf>
    <xf numFmtId="0" fontId="2" fillId="2" borderId="21" xfId="0" applyFont="1" applyFill="1" applyBorder="1" applyAlignment="1">
      <alignment horizontal="center" vertical="center" shrinkToFit="1"/>
    </xf>
    <xf numFmtId="0" fontId="2" fillId="2" borderId="22" xfId="0" applyFont="1" applyFill="1" applyBorder="1" applyAlignment="1">
      <alignment horizontal="center" vertical="center" shrinkToFit="1"/>
    </xf>
    <xf numFmtId="0" fontId="2" fillId="2" borderId="71" xfId="0" applyFont="1" applyFill="1" applyBorder="1" applyAlignment="1">
      <alignment horizontal="center" vertical="center" shrinkToFit="1"/>
    </xf>
    <xf numFmtId="0" fontId="2" fillId="2" borderId="15" xfId="0" applyFont="1" applyFill="1" applyBorder="1" applyAlignment="1">
      <alignment horizontal="left" vertical="center" shrinkToFit="1"/>
    </xf>
    <xf numFmtId="0" fontId="2" fillId="2" borderId="15" xfId="0" applyFont="1" applyFill="1" applyBorder="1" applyAlignment="1">
      <alignment horizontal="left" vertical="center" wrapText="1" shrinkToFit="1"/>
    </xf>
    <xf numFmtId="0" fontId="2" fillId="2" borderId="15" xfId="0" applyNumberFormat="1" applyFont="1" applyFill="1" applyBorder="1" applyAlignment="1">
      <alignment horizontal="center" vertical="center" shrinkToFit="1"/>
    </xf>
    <xf numFmtId="0" fontId="2" fillId="2" borderId="15" xfId="0" applyFont="1" applyFill="1" applyBorder="1" applyAlignment="1">
      <alignment horizontal="center" vertical="center" shrinkToFit="1"/>
    </xf>
    <xf numFmtId="0" fontId="2" fillId="2" borderId="16" xfId="0" applyFont="1" applyFill="1" applyBorder="1" applyAlignment="1">
      <alignment horizontal="center" vertical="center" shrinkToFit="1"/>
    </xf>
    <xf numFmtId="0" fontId="2" fillId="2" borderId="17" xfId="0" applyFont="1" applyFill="1" applyBorder="1" applyAlignment="1">
      <alignment horizontal="left" vertical="center" shrinkToFit="1"/>
    </xf>
    <xf numFmtId="0" fontId="2" fillId="2" borderId="21" xfId="0" applyFont="1" applyFill="1" applyBorder="1" applyAlignment="1">
      <alignment horizontal="left" vertical="center" shrinkToFit="1"/>
    </xf>
    <xf numFmtId="0" fontId="2" fillId="2" borderId="67" xfId="0" applyFont="1" applyFill="1" applyBorder="1" applyAlignment="1">
      <alignment horizontal="center" vertical="center" shrinkToFit="1"/>
    </xf>
    <xf numFmtId="0" fontId="2" fillId="2" borderId="29" xfId="0" applyFont="1" applyFill="1" applyBorder="1" applyAlignment="1">
      <alignment horizontal="left" vertical="center" shrinkToFit="1"/>
    </xf>
    <xf numFmtId="0" fontId="2" fillId="2" borderId="29" xfId="0" applyFont="1" applyFill="1" applyBorder="1" applyAlignment="1">
      <alignment vertical="center" shrinkToFit="1"/>
    </xf>
    <xf numFmtId="0" fontId="2" fillId="2" borderId="29" xfId="0" applyFont="1" applyFill="1" applyBorder="1" applyAlignment="1">
      <alignment horizontal="center" vertical="center" shrinkToFit="1"/>
    </xf>
    <xf numFmtId="0" fontId="2" fillId="2" borderId="64" xfId="0" applyFont="1" applyFill="1" applyBorder="1" applyAlignment="1">
      <alignment vertical="center" shrinkToFit="1"/>
    </xf>
    <xf numFmtId="0" fontId="2" fillId="2" borderId="17" xfId="0" applyFont="1" applyFill="1" applyBorder="1" applyAlignment="1">
      <alignment vertical="center" shrinkToFit="1"/>
    </xf>
    <xf numFmtId="0" fontId="2" fillId="2" borderId="18" xfId="0" applyFont="1" applyFill="1" applyBorder="1" applyAlignment="1">
      <alignment vertical="center" shrinkToFit="1"/>
    </xf>
    <xf numFmtId="0" fontId="2" fillId="0" borderId="67" xfId="0" applyFont="1" applyFill="1" applyBorder="1" applyAlignment="1">
      <alignment horizontal="center" vertical="center" shrinkToFit="1"/>
    </xf>
    <xf numFmtId="0" fontId="2" fillId="0" borderId="29" xfId="0" applyFont="1" applyFill="1" applyBorder="1" applyAlignment="1">
      <alignment horizontal="left" vertical="center" shrinkToFit="1"/>
    </xf>
    <xf numFmtId="0" fontId="2" fillId="0" borderId="29" xfId="0" applyFont="1" applyFill="1" applyBorder="1" applyAlignment="1">
      <alignment vertical="center" shrinkToFit="1"/>
    </xf>
    <xf numFmtId="0" fontId="2" fillId="0" borderId="29" xfId="0" quotePrefix="1" applyNumberFormat="1" applyFont="1" applyFill="1" applyBorder="1" applyAlignment="1">
      <alignment horizontal="center" vertical="center" shrinkToFit="1"/>
    </xf>
    <xf numFmtId="0" fontId="2" fillId="0" borderId="29" xfId="0" applyFont="1" applyFill="1" applyBorder="1" applyAlignment="1">
      <alignment horizontal="center" vertical="center" shrinkToFit="1"/>
    </xf>
    <xf numFmtId="0" fontId="2" fillId="0" borderId="64" xfId="0" applyFont="1" applyFill="1" applyBorder="1" applyAlignment="1">
      <alignment vertical="center" shrinkToFit="1"/>
    </xf>
    <xf numFmtId="0" fontId="2" fillId="0" borderId="68" xfId="0" applyFont="1" applyFill="1" applyBorder="1" applyAlignment="1">
      <alignment horizontal="center" vertical="center" shrinkToFit="1"/>
    </xf>
    <xf numFmtId="0" fontId="2" fillId="0" borderId="17" xfId="0" applyFont="1" applyFill="1" applyBorder="1" applyAlignment="1">
      <alignment horizontal="left" vertical="center" shrinkToFit="1"/>
    </xf>
    <xf numFmtId="0" fontId="2" fillId="0" borderId="17" xfId="0" applyFont="1" applyFill="1" applyBorder="1" applyAlignment="1">
      <alignment vertical="center" shrinkToFit="1"/>
    </xf>
    <xf numFmtId="0" fontId="2" fillId="0" borderId="17" xfId="0" quotePrefix="1" applyNumberFormat="1" applyFont="1" applyFill="1" applyBorder="1" applyAlignment="1">
      <alignment horizontal="center" vertical="center" shrinkToFit="1"/>
    </xf>
    <xf numFmtId="0" fontId="2" fillId="0" borderId="17" xfId="0" applyFont="1" applyFill="1" applyBorder="1" applyAlignment="1">
      <alignment horizontal="center" vertical="center" shrinkToFit="1"/>
    </xf>
    <xf numFmtId="0" fontId="2" fillId="0" borderId="18" xfId="0" applyFont="1" applyFill="1" applyBorder="1" applyAlignment="1">
      <alignment vertical="center" shrinkToFit="1"/>
    </xf>
    <xf numFmtId="0" fontId="2" fillId="0" borderId="69" xfId="0" applyFont="1" applyFill="1" applyBorder="1" applyAlignment="1">
      <alignment horizontal="center" vertical="center" shrinkToFit="1"/>
    </xf>
    <xf numFmtId="0" fontId="2" fillId="0" borderId="19" xfId="0" applyFont="1" applyFill="1" applyBorder="1" applyAlignment="1">
      <alignment horizontal="left" vertical="center" shrinkToFit="1"/>
    </xf>
    <xf numFmtId="0" fontId="2" fillId="0" borderId="19" xfId="0" applyFont="1" applyFill="1" applyBorder="1" applyAlignment="1">
      <alignment vertical="center" shrinkToFit="1"/>
    </xf>
    <xf numFmtId="0" fontId="2" fillId="0" borderId="19" xfId="0" quotePrefix="1" applyNumberFormat="1" applyFont="1" applyFill="1" applyBorder="1" applyAlignment="1">
      <alignment horizontal="center" vertical="center" shrinkToFit="1"/>
    </xf>
    <xf numFmtId="0" fontId="2" fillId="0" borderId="19" xfId="0" applyFont="1" applyFill="1" applyBorder="1" applyAlignment="1">
      <alignment horizontal="center" vertical="center" shrinkToFit="1"/>
    </xf>
    <xf numFmtId="0" fontId="2" fillId="0" borderId="20" xfId="0" applyFont="1" applyFill="1" applyBorder="1" applyAlignment="1">
      <alignment vertical="center" shrinkToFit="1"/>
    </xf>
    <xf numFmtId="0" fontId="2" fillId="0" borderId="16" xfId="0" applyFont="1" applyFill="1" applyBorder="1" applyAlignment="1">
      <alignment horizontal="center" vertical="center" shrinkToFit="1"/>
    </xf>
    <xf numFmtId="0" fontId="2" fillId="0" borderId="71" xfId="0" applyFont="1" applyFill="1" applyBorder="1" applyAlignment="1">
      <alignment horizontal="center" vertical="center" shrinkToFit="1"/>
    </xf>
    <xf numFmtId="0" fontId="2" fillId="0" borderId="15" xfId="0" applyFont="1" applyFill="1" applyBorder="1" applyAlignment="1">
      <alignment horizontal="left" vertical="center" wrapText="1" shrinkToFit="1"/>
    </xf>
    <xf numFmtId="0" fontId="2" fillId="0" borderId="15" xfId="0" applyFont="1" applyFill="1" applyBorder="1" applyAlignment="1">
      <alignment horizontal="left" vertical="center" shrinkToFit="1"/>
    </xf>
    <xf numFmtId="0" fontId="2" fillId="0" borderId="17" xfId="0" applyNumberFormat="1" applyFont="1" applyFill="1" applyBorder="1" applyAlignment="1">
      <alignment horizontal="center" vertical="center" shrinkToFit="1"/>
    </xf>
    <xf numFmtId="0" fontId="2" fillId="0" borderId="17" xfId="0" applyFont="1" applyFill="1" applyBorder="1" applyAlignment="1">
      <alignment horizontal="left" vertical="center" wrapText="1" shrinkToFit="1"/>
    </xf>
    <xf numFmtId="0" fontId="2" fillId="0" borderId="19" xfId="0" applyNumberFormat="1" applyFont="1" applyFill="1" applyBorder="1" applyAlignment="1">
      <alignment horizontal="center" vertical="center" shrinkToFit="1"/>
    </xf>
    <xf numFmtId="0" fontId="2" fillId="0" borderId="17" xfId="0" applyFont="1" applyFill="1" applyBorder="1" applyAlignment="1">
      <alignment vertical="center" wrapText="1" shrinkToFit="1"/>
    </xf>
    <xf numFmtId="0" fontId="2" fillId="0" borderId="19" xfId="0" applyFont="1" applyFill="1" applyBorder="1" applyAlignment="1">
      <alignment horizontal="left" vertical="center" wrapText="1" shrinkToFit="1"/>
    </xf>
    <xf numFmtId="0" fontId="2" fillId="0" borderId="19" xfId="0" applyFont="1" applyFill="1" applyBorder="1" applyAlignment="1">
      <alignment vertical="center" wrapText="1" shrinkToFit="1"/>
    </xf>
    <xf numFmtId="0" fontId="2" fillId="0" borderId="16" xfId="0" applyFont="1" applyFill="1" applyBorder="1" applyAlignment="1">
      <alignment vertical="center" shrinkToFit="1"/>
    </xf>
    <xf numFmtId="0" fontId="2" fillId="0" borderId="72" xfId="0" applyFont="1" applyFill="1" applyBorder="1" applyAlignment="1">
      <alignment horizontal="center" vertical="center" shrinkToFit="1"/>
    </xf>
    <xf numFmtId="0" fontId="2" fillId="0" borderId="21" xfId="0" applyFont="1" applyFill="1" applyBorder="1" applyAlignment="1">
      <alignment horizontal="left" vertical="center" shrinkToFit="1"/>
    </xf>
    <xf numFmtId="0" fontId="2" fillId="0" borderId="21" xfId="0" applyFont="1" applyFill="1" applyBorder="1" applyAlignment="1">
      <alignment vertical="center" shrinkToFit="1"/>
    </xf>
    <xf numFmtId="0" fontId="2" fillId="0" borderId="21" xfId="0" applyNumberFormat="1" applyFont="1" applyFill="1" applyBorder="1" applyAlignment="1">
      <alignment horizontal="center" vertical="center" shrinkToFit="1"/>
    </xf>
    <xf numFmtId="0" fontId="2" fillId="0" borderId="21" xfId="0" applyFont="1" applyFill="1" applyBorder="1" applyAlignment="1">
      <alignment horizontal="center" vertical="center" shrinkToFit="1"/>
    </xf>
    <xf numFmtId="0" fontId="2" fillId="0" borderId="22" xfId="0" applyFont="1" applyFill="1" applyBorder="1" applyAlignment="1">
      <alignment vertical="center" shrinkToFit="1"/>
    </xf>
    <xf numFmtId="0" fontId="2" fillId="0" borderId="29" xfId="0" applyNumberFormat="1" applyFont="1" applyFill="1" applyBorder="1" applyAlignment="1">
      <alignment horizontal="center" vertical="center" shrinkToFit="1"/>
    </xf>
    <xf numFmtId="0" fontId="3" fillId="0" borderId="15" xfId="0" applyFont="1" applyFill="1" applyBorder="1" applyAlignment="1">
      <alignment vertical="center" shrinkToFit="1"/>
    </xf>
    <xf numFmtId="0" fontId="2" fillId="0" borderId="70" xfId="0" applyFont="1" applyFill="1" applyBorder="1" applyAlignment="1">
      <alignment horizontal="center" vertical="center" wrapText="1" shrinkToFit="1"/>
    </xf>
    <xf numFmtId="0" fontId="2" fillId="0" borderId="24" xfId="0" applyFont="1" applyFill="1" applyBorder="1" applyAlignment="1">
      <alignment vertical="center" shrinkToFit="1"/>
    </xf>
    <xf numFmtId="0" fontId="2" fillId="0" borderId="23" xfId="0" applyFont="1" applyFill="1" applyBorder="1" applyAlignment="1">
      <alignment horizontal="left" vertical="center" shrinkToFit="1"/>
    </xf>
    <xf numFmtId="0" fontId="2" fillId="0" borderId="73" xfId="0" applyFont="1" applyFill="1" applyBorder="1" applyAlignment="1">
      <alignment horizontal="center" vertical="center" shrinkToFit="1"/>
    </xf>
    <xf numFmtId="0" fontId="2" fillId="0" borderId="23" xfId="0" applyFont="1" applyFill="1" applyBorder="1" applyAlignment="1">
      <alignment vertical="center" shrinkToFit="1"/>
    </xf>
    <xf numFmtId="0" fontId="2" fillId="0" borderId="39" xfId="0" applyFont="1" applyFill="1" applyBorder="1" applyAlignment="1">
      <alignment horizontal="center" vertical="center" shrinkToFit="1"/>
    </xf>
    <xf numFmtId="0" fontId="2" fillId="0" borderId="6" xfId="0" applyFont="1" applyFill="1" applyBorder="1" applyAlignment="1">
      <alignment horizontal="left" vertical="center" shrinkToFit="1"/>
    </xf>
    <xf numFmtId="0" fontId="2" fillId="0" borderId="6" xfId="0" applyFont="1" applyFill="1" applyBorder="1" applyAlignment="1">
      <alignment vertical="center" shrinkToFit="1"/>
    </xf>
    <xf numFmtId="0" fontId="2" fillId="0" borderId="6" xfId="0" applyNumberFormat="1" applyFont="1" applyFill="1" applyBorder="1" applyAlignment="1">
      <alignment horizontal="center" vertical="center" shrinkToFit="1"/>
    </xf>
    <xf numFmtId="0" fontId="2" fillId="0" borderId="6" xfId="0" applyFont="1" applyFill="1" applyBorder="1" applyAlignment="1">
      <alignment horizontal="center" vertical="center" shrinkToFit="1"/>
    </xf>
    <xf numFmtId="0" fontId="2" fillId="0" borderId="40" xfId="0" applyFont="1" applyFill="1" applyBorder="1" applyAlignment="1">
      <alignment vertical="center" shrinkToFit="1"/>
    </xf>
    <xf numFmtId="0" fontId="5" fillId="0" borderId="16" xfId="0" applyFont="1" applyFill="1" applyBorder="1" applyAlignment="1">
      <alignment vertical="center" shrinkToFit="1"/>
    </xf>
    <xf numFmtId="0" fontId="2" fillId="2" borderId="29" xfId="0" applyNumberFormat="1" applyFont="1" applyFill="1" applyBorder="1" applyAlignment="1">
      <alignment horizontal="center" vertical="center" shrinkToFit="1"/>
    </xf>
    <xf numFmtId="0" fontId="2" fillId="2" borderId="21" xfId="0" applyFont="1" applyFill="1" applyBorder="1" applyAlignment="1">
      <alignment vertical="center" shrinkToFit="1"/>
    </xf>
    <xf numFmtId="0" fontId="2" fillId="2" borderId="22" xfId="0" applyFont="1" applyFill="1" applyBorder="1" applyAlignment="1">
      <alignment vertical="center" shrinkToFit="1"/>
    </xf>
    <xf numFmtId="0" fontId="2" fillId="2" borderId="76" xfId="0" applyFont="1" applyFill="1" applyBorder="1" applyAlignment="1">
      <alignment horizontal="center" vertical="center" shrinkToFit="1"/>
    </xf>
    <xf numFmtId="0" fontId="2" fillId="2" borderId="76" xfId="0" applyFont="1" applyFill="1" applyBorder="1" applyAlignment="1">
      <alignment horizontal="left" vertical="center" shrinkToFit="1"/>
    </xf>
    <xf numFmtId="0" fontId="2" fillId="2" borderId="76" xfId="0" applyFont="1" applyFill="1" applyBorder="1" applyAlignment="1">
      <alignment vertical="center" shrinkToFit="1"/>
    </xf>
    <xf numFmtId="0" fontId="2" fillId="2" borderId="76" xfId="0" applyNumberFormat="1" applyFont="1" applyFill="1" applyBorder="1" applyAlignment="1">
      <alignment horizontal="center" vertical="center" shrinkToFit="1"/>
    </xf>
    <xf numFmtId="0" fontId="2" fillId="2" borderId="77" xfId="0" applyFont="1" applyFill="1" applyBorder="1" applyAlignment="1">
      <alignment vertical="center" shrinkToFit="1"/>
    </xf>
    <xf numFmtId="0" fontId="2" fillId="0" borderId="33" xfId="0" applyFont="1" applyFill="1" applyBorder="1" applyAlignment="1">
      <alignment horizontal="center" vertical="center" shrinkToFit="1"/>
    </xf>
    <xf numFmtId="0" fontId="2" fillId="0" borderId="34" xfId="0" applyFont="1" applyFill="1" applyBorder="1" applyAlignment="1">
      <alignment horizontal="center" vertical="center" shrinkToFit="1"/>
    </xf>
    <xf numFmtId="0" fontId="2" fillId="0" borderId="37" xfId="0" applyFont="1" applyFill="1" applyBorder="1" applyAlignment="1">
      <alignment horizontal="center" vertical="center" shrinkToFit="1"/>
    </xf>
    <xf numFmtId="0" fontId="2" fillId="0" borderId="65" xfId="0" applyFont="1" applyFill="1" applyBorder="1" applyAlignment="1">
      <alignment horizontal="center" vertical="center" shrinkToFit="1"/>
    </xf>
    <xf numFmtId="0" fontId="2" fillId="0" borderId="35" xfId="0" applyFont="1" applyFill="1" applyBorder="1" applyAlignment="1">
      <alignment horizontal="center" vertical="center" shrinkToFit="1"/>
    </xf>
    <xf numFmtId="0" fontId="2" fillId="0" borderId="36" xfId="0" applyFont="1" applyFill="1" applyBorder="1" applyAlignment="1">
      <alignment horizontal="center" vertical="center" wrapText="1" shrinkToFit="1"/>
    </xf>
    <xf numFmtId="0" fontId="2" fillId="0" borderId="66" xfId="0" applyFont="1" applyFill="1" applyBorder="1" applyAlignment="1">
      <alignment horizontal="center" vertical="center" shrinkToFit="1"/>
    </xf>
    <xf numFmtId="0" fontId="2" fillId="0" borderId="50" xfId="0" applyFont="1" applyFill="1" applyBorder="1" applyAlignment="1">
      <alignment horizontal="center" vertical="center" shrinkToFit="1"/>
    </xf>
    <xf numFmtId="0" fontId="2" fillId="2" borderId="33" xfId="0" applyFont="1" applyFill="1" applyBorder="1" applyAlignment="1">
      <alignment horizontal="center" vertical="center" shrinkToFit="1"/>
    </xf>
    <xf numFmtId="0" fontId="2" fillId="2" borderId="34" xfId="0" applyFont="1" applyFill="1" applyBorder="1" applyAlignment="1">
      <alignment horizontal="center" vertical="center" shrinkToFit="1"/>
    </xf>
    <xf numFmtId="0" fontId="2" fillId="2" borderId="78" xfId="0" applyFont="1" applyFill="1" applyBorder="1" applyAlignment="1">
      <alignment horizontal="center" vertical="center" shrinkToFit="1"/>
    </xf>
    <xf numFmtId="0" fontId="8" fillId="0" borderId="34" xfId="0" applyFont="1" applyBorder="1" applyAlignment="1">
      <alignment horizontal="center" vertical="center" shrinkToFit="1"/>
    </xf>
    <xf numFmtId="0" fontId="2" fillId="0" borderId="33" xfId="0" applyFont="1" applyBorder="1" applyAlignment="1">
      <alignment horizontal="center" vertical="center" shrinkToFit="1"/>
    </xf>
    <xf numFmtId="0" fontId="2" fillId="2" borderId="35" xfId="0" applyFont="1" applyFill="1" applyBorder="1" applyAlignment="1">
      <alignment horizontal="center" vertical="center" shrinkToFit="1"/>
    </xf>
    <xf numFmtId="0" fontId="8" fillId="0" borderId="81" xfId="0" applyFont="1" applyBorder="1" applyAlignment="1">
      <alignment horizontal="center" vertical="center" shrinkToFit="1"/>
    </xf>
    <xf numFmtId="0" fontId="8" fillId="0" borderId="82" xfId="0" applyFont="1" applyBorder="1" applyAlignment="1">
      <alignment horizontal="left" vertical="center" shrinkToFit="1"/>
    </xf>
    <xf numFmtId="0" fontId="8" fillId="0" borderId="82" xfId="0" applyFont="1" applyBorder="1" applyAlignment="1">
      <alignment vertical="center" shrinkToFit="1"/>
    </xf>
    <xf numFmtId="0" fontId="8" fillId="0" borderId="82" xfId="0" applyNumberFormat="1" applyFont="1" applyBorder="1" applyAlignment="1">
      <alignment horizontal="center" vertical="center" shrinkToFit="1"/>
    </xf>
    <xf numFmtId="0" fontId="8" fillId="0" borderId="82" xfId="0" applyFont="1" applyBorder="1" applyAlignment="1">
      <alignment horizontal="center" vertical="center" shrinkToFit="1"/>
    </xf>
    <xf numFmtId="0" fontId="8" fillId="0" borderId="83" xfId="0" applyFont="1" applyBorder="1" applyAlignment="1">
      <alignment horizontal="center" vertical="center" shrinkToFit="1"/>
    </xf>
    <xf numFmtId="0" fontId="2" fillId="0" borderId="84" xfId="0" applyFont="1" applyBorder="1" applyAlignment="1">
      <alignment vertical="center" shrinkToFit="1"/>
    </xf>
    <xf numFmtId="0" fontId="2" fillId="0" borderId="37" xfId="0" applyFont="1" applyBorder="1" applyAlignment="1">
      <alignment horizontal="center" vertical="center" shrinkToFit="1"/>
    </xf>
    <xf numFmtId="0" fontId="2" fillId="2" borderId="36" xfId="0" applyFont="1" applyFill="1" applyBorder="1" applyAlignment="1">
      <alignment horizontal="center" vertical="center" shrinkToFit="1"/>
    </xf>
    <xf numFmtId="0" fontId="2" fillId="2" borderId="25" xfId="0" applyFont="1" applyFill="1" applyBorder="1" applyAlignment="1">
      <alignment vertical="center" shrinkToFit="1"/>
    </xf>
    <xf numFmtId="0" fontId="2" fillId="2" borderId="25" xfId="0" applyNumberFormat="1" applyFont="1" applyFill="1" applyBorder="1" applyAlignment="1">
      <alignment horizontal="center" vertical="center" shrinkToFit="1"/>
    </xf>
    <xf numFmtId="0" fontId="2" fillId="2" borderId="25" xfId="0" applyFont="1" applyFill="1" applyBorder="1" applyAlignment="1">
      <alignment horizontal="center" vertical="center" shrinkToFit="1"/>
    </xf>
    <xf numFmtId="0" fontId="2" fillId="2" borderId="27" xfId="0" applyFont="1" applyFill="1" applyBorder="1" applyAlignment="1">
      <alignment vertical="center" shrinkToFit="1"/>
    </xf>
    <xf numFmtId="0" fontId="2" fillId="0" borderId="57" xfId="0" applyFont="1" applyFill="1" applyBorder="1" applyAlignment="1">
      <alignment horizontal="center" vertical="center" shrinkToFit="1"/>
    </xf>
    <xf numFmtId="0" fontId="2" fillId="2" borderId="65" xfId="0" applyFont="1" applyFill="1" applyBorder="1" applyAlignment="1">
      <alignment horizontal="center" vertical="center" shrinkToFit="1"/>
    </xf>
    <xf numFmtId="0" fontId="2" fillId="2" borderId="85" xfId="0" applyFont="1" applyFill="1" applyBorder="1" applyAlignment="1">
      <alignment horizontal="center" vertical="center" shrinkToFit="1"/>
    </xf>
    <xf numFmtId="0" fontId="8" fillId="0" borderId="86" xfId="0" applyFont="1" applyBorder="1" applyAlignment="1">
      <alignment horizontal="center" vertical="center" shrinkToFit="1"/>
    </xf>
    <xf numFmtId="0" fontId="2" fillId="2" borderId="70" xfId="0" applyFont="1" applyFill="1" applyBorder="1" applyAlignment="1">
      <alignment horizontal="center" vertical="center" shrinkToFit="1"/>
    </xf>
    <xf numFmtId="0" fontId="10" fillId="0" borderId="0" xfId="0" applyFont="1" applyAlignment="1">
      <alignment vertical="top"/>
    </xf>
    <xf numFmtId="0" fontId="4" fillId="0" borderId="4" xfId="0" applyFont="1" applyBorder="1" applyAlignment="1">
      <alignment horizontal="center" vertical="center" shrinkToFit="1"/>
    </xf>
    <xf numFmtId="0" fontId="2" fillId="0" borderId="90" xfId="0" applyFont="1" applyBorder="1" applyAlignment="1">
      <alignment vertical="center" shrinkToFit="1"/>
    </xf>
    <xf numFmtId="0" fontId="2" fillId="0" borderId="79" xfId="0" applyFont="1" applyBorder="1" applyAlignment="1">
      <alignment vertical="center" shrinkToFit="1"/>
    </xf>
    <xf numFmtId="0" fontId="2" fillId="2" borderId="79" xfId="0" applyFont="1" applyFill="1" applyBorder="1" applyAlignment="1">
      <alignment vertical="center" shrinkToFit="1"/>
    </xf>
    <xf numFmtId="0" fontId="2" fillId="2" borderId="80" xfId="0" applyFont="1" applyFill="1" applyBorder="1" applyAlignment="1">
      <alignment vertical="center" shrinkToFit="1"/>
    </xf>
    <xf numFmtId="0" fontId="2" fillId="0" borderId="91" xfId="0" applyFont="1" applyBorder="1" applyAlignment="1">
      <alignment vertical="center" shrinkToFit="1"/>
    </xf>
    <xf numFmtId="0" fontId="2" fillId="2" borderId="92" xfId="0" applyFont="1" applyFill="1" applyBorder="1" applyAlignment="1">
      <alignment vertical="center" shrinkToFit="1"/>
    </xf>
    <xf numFmtId="0" fontId="2" fillId="0" borderId="92" xfId="0" applyFont="1" applyBorder="1" applyAlignment="1">
      <alignment vertical="center" shrinkToFit="1"/>
    </xf>
    <xf numFmtId="0" fontId="0" fillId="0" borderId="0" xfId="0" applyBorder="1">
      <alignment vertical="center"/>
    </xf>
    <xf numFmtId="0" fontId="0" fillId="0" borderId="49" xfId="0" applyBorder="1">
      <alignment vertical="center"/>
    </xf>
    <xf numFmtId="0" fontId="0" fillId="0" borderId="93" xfId="0" applyBorder="1">
      <alignment vertical="center"/>
    </xf>
    <xf numFmtId="0" fontId="12" fillId="0" borderId="0" xfId="0" applyFont="1" applyBorder="1">
      <alignment vertical="center"/>
    </xf>
    <xf numFmtId="0" fontId="12" fillId="0" borderId="49" xfId="0" applyFont="1" applyBorder="1">
      <alignment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12" fillId="0" borderId="49" xfId="0" applyFont="1" applyBorder="1" applyAlignment="1">
      <alignment vertical="center"/>
    </xf>
    <xf numFmtId="0" fontId="2" fillId="2" borderId="25" xfId="0" applyFont="1" applyFill="1" applyBorder="1" applyAlignment="1">
      <alignment horizontal="left" vertical="center" wrapText="1" shrinkToFit="1"/>
    </xf>
    <xf numFmtId="0" fontId="2" fillId="2" borderId="27" xfId="0" applyFont="1" applyFill="1" applyBorder="1" applyAlignment="1">
      <alignment horizontal="center" vertical="center" shrinkToFit="1"/>
    </xf>
    <xf numFmtId="0" fontId="4" fillId="0" borderId="95" xfId="0" applyFont="1" applyBorder="1" applyAlignment="1">
      <alignment horizontal="center" vertical="top" wrapText="1" shrinkToFit="1"/>
    </xf>
    <xf numFmtId="0" fontId="4" fillId="2" borderId="62" xfId="0" applyFont="1" applyFill="1" applyBorder="1" applyAlignment="1">
      <alignment horizontal="center" vertical="top" wrapText="1" shrinkToFit="1"/>
    </xf>
    <xf numFmtId="0" fontId="4" fillId="2" borderId="42" xfId="0" applyFont="1" applyFill="1" applyBorder="1" applyAlignment="1">
      <alignment horizontal="center" vertical="top" wrapText="1" shrinkToFit="1"/>
    </xf>
    <xf numFmtId="0" fontId="4" fillId="2" borderId="43" xfId="0" applyFont="1" applyFill="1" applyBorder="1" applyAlignment="1">
      <alignment horizontal="center" vertical="top" wrapText="1" shrinkToFit="1"/>
    </xf>
    <xf numFmtId="0" fontId="4" fillId="0" borderId="94" xfId="0" applyFont="1" applyBorder="1" applyAlignment="1">
      <alignment horizontal="center" vertical="top" wrapText="1" shrinkToFit="1"/>
    </xf>
    <xf numFmtId="0" fontId="4" fillId="2" borderId="1" xfId="0" applyFont="1" applyFill="1" applyBorder="1" applyAlignment="1">
      <alignment horizontal="center" vertical="top" wrapText="1" shrinkToFit="1"/>
    </xf>
    <xf numFmtId="0" fontId="4" fillId="2" borderId="2" xfId="0" applyFont="1" applyFill="1" applyBorder="1" applyAlignment="1">
      <alignment horizontal="center" vertical="top" wrapText="1" shrinkToFit="1"/>
    </xf>
    <xf numFmtId="0" fontId="4" fillId="2" borderId="75" xfId="0" applyFont="1" applyFill="1" applyBorder="1" applyAlignment="1">
      <alignment horizontal="center" vertical="top" wrapText="1" shrinkToFit="1"/>
    </xf>
    <xf numFmtId="0" fontId="4" fillId="2" borderId="41" xfId="0" applyFont="1" applyFill="1" applyBorder="1" applyAlignment="1">
      <alignment horizontal="center" vertical="top" wrapText="1" shrinkToFit="1"/>
    </xf>
    <xf numFmtId="0" fontId="4" fillId="2" borderId="74" xfId="0" applyFont="1" applyFill="1" applyBorder="1" applyAlignment="1">
      <alignment horizontal="center" vertical="top" wrapText="1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63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top" wrapText="1" shrinkToFit="1"/>
    </xf>
    <xf numFmtId="0" fontId="4" fillId="0" borderId="2" xfId="0" applyFont="1" applyBorder="1" applyAlignment="1">
      <alignment horizontal="center" vertical="top" shrinkToFit="1"/>
    </xf>
    <xf numFmtId="0" fontId="4" fillId="0" borderId="26" xfId="0" applyFont="1" applyBorder="1" applyAlignment="1">
      <alignment horizontal="center" vertical="top" shrinkToFit="1"/>
    </xf>
    <xf numFmtId="0" fontId="4" fillId="0" borderId="41" xfId="0" applyFont="1" applyBorder="1" applyAlignment="1">
      <alignment horizontal="center" vertical="top" wrapText="1" shrinkToFit="1"/>
    </xf>
    <xf numFmtId="0" fontId="4" fillId="0" borderId="42" xfId="0" applyFont="1" applyBorder="1" applyAlignment="1">
      <alignment horizontal="center" vertical="top" shrinkToFit="1"/>
    </xf>
    <xf numFmtId="0" fontId="4" fillId="0" borderId="44" xfId="0" applyFont="1" applyBorder="1" applyAlignment="1">
      <alignment horizontal="center" vertical="top" shrinkToFit="1"/>
    </xf>
    <xf numFmtId="0" fontId="4" fillId="0" borderId="62" xfId="0" applyFont="1" applyBorder="1" applyAlignment="1">
      <alignment horizontal="center" vertical="top" wrapText="1" shrinkToFit="1"/>
    </xf>
    <xf numFmtId="0" fontId="4" fillId="0" borderId="43" xfId="0" applyFont="1" applyBorder="1" applyAlignment="1">
      <alignment horizontal="center" vertical="top" shrinkToFit="1"/>
    </xf>
    <xf numFmtId="0" fontId="4" fillId="0" borderId="42" xfId="0" applyFont="1" applyBorder="1" applyAlignment="1">
      <alignment horizontal="center" vertical="top" wrapText="1" shrinkToFit="1"/>
    </xf>
    <xf numFmtId="0" fontId="4" fillId="0" borderId="44" xfId="0" applyFont="1" applyBorder="1" applyAlignment="1">
      <alignment horizontal="center" vertical="top" wrapText="1" shrinkToFit="1"/>
    </xf>
    <xf numFmtId="0" fontId="4" fillId="2" borderId="42" xfId="0" applyFont="1" applyFill="1" applyBorder="1" applyAlignment="1">
      <alignment horizontal="center" vertical="top" shrinkToFit="1"/>
    </xf>
    <xf numFmtId="0" fontId="4" fillId="2" borderId="43" xfId="0" applyFont="1" applyFill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 shrinkToFit="1"/>
    </xf>
    <xf numFmtId="0" fontId="4" fillId="0" borderId="26" xfId="0" applyFont="1" applyBorder="1" applyAlignment="1">
      <alignment horizontal="center" vertical="top" wrapText="1" shrinkToFit="1"/>
    </xf>
    <xf numFmtId="0" fontId="4" fillId="0" borderId="43" xfId="0" applyFont="1" applyBorder="1" applyAlignment="1">
      <alignment horizontal="center" vertical="top" wrapText="1" shrinkToFit="1"/>
    </xf>
    <xf numFmtId="0" fontId="4" fillId="0" borderId="41" xfId="0" applyFont="1" applyFill="1" applyBorder="1" applyAlignment="1">
      <alignment horizontal="center" vertical="top" wrapText="1" shrinkToFit="1"/>
    </xf>
    <xf numFmtId="0" fontId="4" fillId="0" borderId="42" xfId="0" applyFont="1" applyFill="1" applyBorder="1" applyAlignment="1">
      <alignment horizontal="center" vertical="top" shrinkToFit="1"/>
    </xf>
    <xf numFmtId="0" fontId="4" fillId="0" borderId="44" xfId="0" applyFont="1" applyFill="1" applyBorder="1" applyAlignment="1">
      <alignment horizontal="center" vertical="top" shrinkToFit="1"/>
    </xf>
    <xf numFmtId="0" fontId="4" fillId="0" borderId="87" xfId="0" applyFont="1" applyBorder="1" applyAlignment="1">
      <alignment horizontal="center" vertical="top" wrapText="1" shrinkToFit="1"/>
    </xf>
    <xf numFmtId="0" fontId="4" fillId="0" borderId="88" xfId="0" applyFont="1" applyBorder="1" applyAlignment="1">
      <alignment horizontal="center" vertical="top" wrapText="1" shrinkToFit="1"/>
    </xf>
    <xf numFmtId="0" fontId="4" fillId="0" borderId="89" xfId="0" applyFont="1" applyBorder="1" applyAlignment="1">
      <alignment horizontal="center" vertical="top" wrapText="1" shrinkToFit="1"/>
    </xf>
    <xf numFmtId="0" fontId="4" fillId="2" borderId="89" xfId="0" applyFont="1" applyFill="1" applyBorder="1" applyAlignment="1">
      <alignment horizontal="center" vertical="top" wrapText="1" shrinkToFit="1"/>
    </xf>
    <xf numFmtId="0" fontId="4" fillId="2" borderId="26" xfId="0" applyFont="1" applyFill="1" applyBorder="1" applyAlignment="1">
      <alignment horizontal="center" vertical="top" wrapText="1" shrinkToFit="1"/>
    </xf>
    <xf numFmtId="0" fontId="4" fillId="0" borderId="28" xfId="0" applyFont="1" applyBorder="1" applyAlignment="1">
      <alignment horizontal="center" vertical="center" shrinkToFit="1"/>
    </xf>
    <xf numFmtId="0" fontId="4" fillId="0" borderId="13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top" shrinkToFit="1"/>
    </xf>
    <xf numFmtId="0" fontId="4" fillId="0" borderId="74" xfId="0" applyFont="1" applyBorder="1" applyAlignment="1">
      <alignment horizontal="center" vertical="top" shrinkToFit="1"/>
    </xf>
    <xf numFmtId="0" fontId="2" fillId="0" borderId="3" xfId="0" applyFont="1" applyBorder="1" applyAlignment="1">
      <alignment vertical="center" shrinkToFit="1"/>
    </xf>
    <xf numFmtId="0" fontId="4" fillId="0" borderId="46" xfId="0" applyFont="1" applyBorder="1" applyAlignment="1">
      <alignment horizontal="center" vertical="center" shrinkToFit="1"/>
    </xf>
    <xf numFmtId="0" fontId="4" fillId="0" borderId="49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4" xfId="0" applyFont="1" applyBorder="1" applyAlignment="1">
      <alignment horizontal="center" vertical="center" shrinkToFit="1"/>
    </xf>
    <xf numFmtId="0" fontId="4" fillId="0" borderId="8" xfId="0" applyNumberFormat="1" applyFont="1" applyBorder="1" applyAlignment="1">
      <alignment horizontal="center" vertical="center" shrinkToFit="1"/>
    </xf>
    <xf numFmtId="0" fontId="4" fillId="0" borderId="4" xfId="0" applyNumberFormat="1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42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 shrinkToFit="1"/>
    </xf>
    <xf numFmtId="0" fontId="4" fillId="0" borderId="3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2" fillId="0" borderId="0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 shrinkToFit="1"/>
    </xf>
    <xf numFmtId="0" fontId="4" fillId="0" borderId="49" xfId="0" applyFont="1" applyBorder="1" applyAlignment="1">
      <alignment horizontal="center" vertical="top" shrinkToFit="1"/>
    </xf>
    <xf numFmtId="0" fontId="4" fillId="0" borderId="50" xfId="0" applyFont="1" applyBorder="1" applyAlignment="1">
      <alignment horizontal="center" vertical="top" shrinkToFit="1"/>
    </xf>
    <xf numFmtId="0" fontId="4" fillId="0" borderId="51" xfId="0" applyFont="1" applyBorder="1" applyAlignment="1">
      <alignment horizontal="center" vertical="top" shrinkToFit="1"/>
    </xf>
    <xf numFmtId="0" fontId="2" fillId="0" borderId="23" xfId="0" applyNumberFormat="1" applyFont="1" applyBorder="1" applyAlignment="1">
      <alignment horizontal="center" vertical="center" shrinkToFit="1"/>
    </xf>
    <xf numFmtId="0" fontId="2" fillId="0" borderId="5" xfId="0" applyNumberFormat="1" applyFont="1" applyBorder="1" applyAlignment="1">
      <alignment horizontal="center" vertical="center" shrinkToFit="1"/>
    </xf>
    <xf numFmtId="0" fontId="2" fillId="0" borderId="6" xfId="0" applyNumberFormat="1" applyFont="1" applyBorder="1" applyAlignment="1">
      <alignment horizontal="center" vertical="center" shrinkToFit="1"/>
    </xf>
    <xf numFmtId="0" fontId="4" fillId="0" borderId="45" xfId="0" applyFont="1" applyBorder="1" applyAlignment="1">
      <alignment horizontal="center" vertical="top" wrapText="1" shrinkToFit="1"/>
    </xf>
    <xf numFmtId="0" fontId="4" fillId="0" borderId="47" xfId="0" applyFont="1" applyBorder="1" applyAlignment="1">
      <alignment horizontal="center" vertical="top" wrapText="1" shrinkToFit="1"/>
    </xf>
    <xf numFmtId="0" fontId="4" fillId="0" borderId="52" xfId="0" applyFont="1" applyBorder="1" applyAlignment="1">
      <alignment horizontal="center" vertical="top" wrapText="1" shrinkToFit="1"/>
    </xf>
    <xf numFmtId="0" fontId="4" fillId="0" borderId="30" xfId="0" applyFont="1" applyBorder="1" applyAlignment="1">
      <alignment horizontal="center" vertical="top" shrinkToFit="1"/>
    </xf>
    <xf numFmtId="0" fontId="4" fillId="0" borderId="48" xfId="0" applyFont="1" applyBorder="1" applyAlignment="1">
      <alignment horizontal="center" vertical="top" shrinkToFit="1"/>
    </xf>
    <xf numFmtId="0" fontId="4" fillId="0" borderId="31" xfId="0" applyFont="1" applyBorder="1" applyAlignment="1">
      <alignment horizontal="center" vertical="top" shrinkToFit="1"/>
    </xf>
    <xf numFmtId="0" fontId="4" fillId="0" borderId="32" xfId="0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shrinkToFit="1"/>
    </xf>
    <xf numFmtId="0" fontId="4" fillId="0" borderId="46" xfId="0" applyFont="1" applyBorder="1" applyAlignment="1">
      <alignment horizontal="center" vertical="top" wrapText="1" shrinkToFit="1"/>
    </xf>
    <xf numFmtId="0" fontId="4" fillId="0" borderId="49" xfId="0" applyFont="1" applyBorder="1" applyAlignment="1">
      <alignment horizontal="center" vertical="top" wrapText="1" shrinkToFit="1"/>
    </xf>
    <xf numFmtId="0" fontId="4" fillId="0" borderId="50" xfId="0" applyFont="1" applyBorder="1" applyAlignment="1">
      <alignment horizontal="center" vertical="top" wrapText="1" shrinkToFit="1"/>
    </xf>
    <xf numFmtId="0" fontId="4" fillId="0" borderId="54" xfId="0" applyFont="1" applyBorder="1" applyAlignment="1">
      <alignment horizontal="center" vertical="top" wrapText="1" shrinkToFit="1"/>
    </xf>
    <xf numFmtId="0" fontId="4" fillId="0" borderId="47" xfId="0" applyFont="1" applyBorder="1" applyAlignment="1">
      <alignment horizontal="center" vertical="top" shrinkToFit="1"/>
    </xf>
    <xf numFmtId="0" fontId="4" fillId="0" borderId="52" xfId="0" applyFont="1" applyBorder="1" applyAlignment="1">
      <alignment horizontal="center" vertical="top" shrinkToFit="1"/>
    </xf>
    <xf numFmtId="0" fontId="4" fillId="0" borderId="33" xfId="0" applyFont="1" applyBorder="1" applyAlignment="1">
      <alignment horizontal="center" vertical="top" shrinkToFit="1"/>
    </xf>
    <xf numFmtId="0" fontId="4" fillId="0" borderId="34" xfId="0" applyFont="1" applyBorder="1" applyAlignment="1">
      <alignment horizontal="center" vertical="top" shrinkToFit="1"/>
    </xf>
    <xf numFmtId="0" fontId="4" fillId="0" borderId="37" xfId="0" applyFont="1" applyBorder="1" applyAlignment="1">
      <alignment horizontal="center" vertical="top" shrinkToFit="1"/>
    </xf>
    <xf numFmtId="0" fontId="4" fillId="0" borderId="36" xfId="0" applyFont="1" applyBorder="1" applyAlignment="1">
      <alignment horizontal="center" vertical="top" shrinkToFit="1"/>
    </xf>
    <xf numFmtId="0" fontId="4" fillId="0" borderId="35" xfId="0" applyFont="1" applyBorder="1" applyAlignment="1">
      <alignment horizontal="center" vertical="top" shrinkToFit="1"/>
    </xf>
    <xf numFmtId="0" fontId="4" fillId="0" borderId="53" xfId="0" applyFont="1" applyBorder="1" applyAlignment="1">
      <alignment horizontal="center" vertical="top" shrinkToFit="1"/>
    </xf>
    <xf numFmtId="0" fontId="2" fillId="0" borderId="9" xfId="0" applyFont="1" applyBorder="1" applyAlignment="1">
      <alignment horizontal="center" vertical="center" shrinkToFit="1"/>
    </xf>
    <xf numFmtId="0" fontId="2" fillId="0" borderId="12" xfId="0" applyFont="1" applyBorder="1" applyAlignment="1">
      <alignment horizontal="center" vertical="center" shrinkToFit="1"/>
    </xf>
    <xf numFmtId="0" fontId="6" fillId="0" borderId="10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 shrinkToFit="1"/>
    </xf>
    <xf numFmtId="0" fontId="2" fillId="0" borderId="14" xfId="0" applyFont="1" applyBorder="1" applyAlignment="1">
      <alignment horizontal="center" vertical="center" shrinkToFit="1"/>
    </xf>
    <xf numFmtId="0" fontId="2" fillId="0" borderId="8" xfId="0" applyFont="1" applyBorder="1" applyAlignment="1">
      <alignment horizontal="center" vertical="center" shrinkToFit="1"/>
    </xf>
    <xf numFmtId="0" fontId="2" fillId="0" borderId="11" xfId="0" applyFont="1" applyBorder="1" applyAlignment="1">
      <alignment horizontal="center" vertical="center" shrinkToFit="1"/>
    </xf>
    <xf numFmtId="0" fontId="2" fillId="0" borderId="8" xfId="0" applyNumberFormat="1" applyFont="1" applyBorder="1" applyAlignment="1">
      <alignment horizontal="center" vertical="center" shrinkToFit="1"/>
    </xf>
    <xf numFmtId="0" fontId="2" fillId="0" borderId="11" xfId="0" applyNumberFormat="1" applyFont="1" applyBorder="1" applyAlignment="1">
      <alignment horizontal="center" vertical="center" shrinkToFit="1"/>
    </xf>
  </cellXfs>
  <cellStyles count="2">
    <cellStyle name="EplDataRWStyle" xfId="1" xr:uid="{00000000-0005-0000-0000-000000000000}"/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101948</xdr:colOff>
      <xdr:row>112</xdr:row>
      <xdr:rowOff>83820</xdr:rowOff>
    </xdr:from>
    <xdr:to>
      <xdr:col>14</xdr:col>
      <xdr:colOff>0</xdr:colOff>
      <xdr:row>114</xdr:row>
      <xdr:rowOff>83820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 txBox="1"/>
          </xdr:nvSpPr>
          <xdr:spPr>
            <a:xfrm>
              <a:off x="14275148" y="23187660"/>
              <a:ext cx="3703205" cy="647700"/>
            </a:xfrm>
            <a:prstGeom prst="rect">
              <a:avLst/>
            </a:prstGeom>
            <a:solidFill>
              <a:schemeClr val="bg1">
                <a:alpha val="50000"/>
              </a:schemeClr>
            </a:solidFill>
          </xdr:spPr>
          <xdr:txBody>
            <a:bodyPr wrap="square" lIns="0" tIns="0" rIns="0" bIns="0" rtlCol="0" anchor="ctr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14:m>
                <m:oMath xmlns:m="http://schemas.openxmlformats.org/officeDocument/2006/math">
                  <m:sSub>
                    <m:sSubPr>
                      <m:ctrlPr>
                        <a:rPr lang="en-US" altLang="ko-KR" sz="12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altLang="ko-KR" sz="1200" b="0" i="1">
                          <a:latin typeface="Cambria Math" panose="02040503050406030204" pitchFamily="18" charset="0"/>
                        </a:rPr>
                        <m:t>𝑄</m:t>
                      </m:r>
                    </m:e>
                    <m:sub>
                      <m:r>
                        <a:rPr lang="en-US" altLang="ko-KR" sz="1200" b="0" i="1">
                          <a:latin typeface="Cambria Math" panose="02040503050406030204" pitchFamily="18" charset="0"/>
                        </a:rPr>
                        <m:t>𝐹</m:t>
                      </m:r>
                      <m:r>
                        <a:rPr lang="en-US" altLang="ko-KR" sz="1200" b="0" i="1">
                          <a:latin typeface="Cambria Math" panose="02040503050406030204" pitchFamily="18" charset="0"/>
                        </a:rPr>
                        <m:t>.</m:t>
                      </m:r>
                      <m:r>
                        <a:rPr lang="en-US" altLang="ko-KR" sz="1200" b="0" i="1">
                          <a:latin typeface="Cambria Math" panose="02040503050406030204" pitchFamily="18" charset="0"/>
                        </a:rPr>
                        <m:t>𝑂</m:t>
                      </m:r>
                      <m:r>
                        <a:rPr lang="en-US" altLang="ko-KR" sz="1200" b="0" i="1">
                          <a:latin typeface="Cambria Math" panose="02040503050406030204" pitchFamily="18" charset="0"/>
                        </a:rPr>
                        <m:t>.</m:t>
                      </m:r>
                    </m:sub>
                  </m:sSub>
                  <m:r>
                    <a:rPr lang="en-US" altLang="ko-KR" sz="1200" b="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n-US" altLang="ko-KR" sz="12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US" altLang="ko-KR" sz="1200" b="0" i="1">
                              <a:solidFill>
                                <a:srgbClr val="0000FF"/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̇"/>
                              <m:ctrlPr>
                                <a:rPr lang="en-US" altLang="ko-KR" sz="1200" b="0" i="1">
                                  <a:solidFill>
                                    <a:srgbClr val="0000FF"/>
                                  </a:solidFill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en-US" altLang="ko-KR" sz="1200" b="0" i="1">
                                  <a:solidFill>
                                    <a:srgbClr val="0000FF"/>
                                  </a:solidFill>
                                  <a:latin typeface="Cambria Math" panose="02040503050406030204" pitchFamily="18" charset="0"/>
                                </a:rPr>
                                <m:t>𝑚</m:t>
                              </m:r>
                            </m:e>
                          </m:acc>
                        </m:e>
                        <m:sub>
                          <m:r>
                            <a:rPr lang="en-US" altLang="ko-KR" sz="1200" b="0" i="1">
                              <a:solidFill>
                                <a:srgbClr val="0000FF"/>
                              </a:solidFill>
                              <a:latin typeface="Cambria Math" panose="02040503050406030204" pitchFamily="18" charset="0"/>
                            </a:rPr>
                            <m:t>𝐸𝑥h</m:t>
                          </m:r>
                          <m:r>
                            <a:rPr lang="en-US" altLang="ko-KR" sz="1200" b="0" i="1">
                              <a:solidFill>
                                <a:srgbClr val="0000FF"/>
                              </a:solidFill>
                              <a:latin typeface="Cambria Math" panose="02040503050406030204" pitchFamily="18" charset="0"/>
                            </a:rPr>
                            <m:t>. </m:t>
                          </m:r>
                          <m:r>
                            <a:rPr lang="en-US" altLang="ko-KR" sz="1200" b="0" i="1">
                              <a:solidFill>
                                <a:srgbClr val="0000FF"/>
                              </a:solidFill>
                              <a:latin typeface="Cambria Math" panose="02040503050406030204" pitchFamily="18" charset="0"/>
                            </a:rPr>
                            <m:t>𝑔𝑎𝑠</m:t>
                          </m:r>
                        </m:sub>
                      </m:sSub>
                      <m:r>
                        <a:rPr lang="en-US" altLang="ko-KR" sz="1200" b="0" i="1">
                          <a:solidFill>
                            <a:srgbClr val="0000FF"/>
                          </a:solidFill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∙</m:t>
                      </m:r>
                      <m:sSub>
                        <m:sSubPr>
                          <m:ctrlPr>
                            <a:rPr lang="en-US" altLang="ko-KR" sz="12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altLang="ko-KR" sz="1200" b="0" i="1">
                              <a:latin typeface="Cambria Math" panose="02040503050406030204" pitchFamily="18" charset="0"/>
                            </a:rPr>
                            <m:t>𝐶</m:t>
                          </m:r>
                        </m:e>
                        <m:sub>
                          <m:r>
                            <a:rPr lang="en-US" altLang="ko-KR" sz="1200" b="0" i="1">
                              <a:latin typeface="Cambria Math" panose="02040503050406030204" pitchFamily="18" charset="0"/>
                            </a:rPr>
                            <m:t>𝑝</m:t>
                          </m:r>
                        </m:sub>
                      </m:sSub>
                      <m:r>
                        <a:rPr lang="en-US" altLang="ko-KR" sz="1200" b="0" i="1">
                          <a:latin typeface="Cambria Math" panose="02040503050406030204" pitchFamily="18" charset="0"/>
                        </a:rPr>
                        <m:t>(</m:t>
                      </m:r>
                      <m:r>
                        <a:rPr lang="en-US" altLang="ko-KR" sz="1200" b="0" i="1">
                          <a:solidFill>
                            <a:srgbClr val="0000FF"/>
                          </a:solidFill>
                          <a:latin typeface="Cambria Math" panose="02040503050406030204" pitchFamily="18" charset="0"/>
                        </a:rPr>
                        <m:t>𝑀𝑂𝐶𝑆𝑇𝑒𝑚𝑝𝑆𝑒𝑡𝑃𝑜𝑖𝑛𝑡</m:t>
                      </m:r>
                      <m:r>
                        <a:rPr lang="en-US" altLang="ko-KR" sz="1200" b="0" i="1">
                          <a:latin typeface="Cambria Math" panose="02040503050406030204" pitchFamily="18" charset="0"/>
                        </a:rPr>
                        <m:t>−(</m:t>
                      </m:r>
                      <m:sSub>
                        <m:sSubPr>
                          <m:ctrlPr>
                            <a:rPr lang="en-US" altLang="ko-KR" sz="12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altLang="ko-KR" sz="12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𝑇</m:t>
                          </m:r>
                        </m:e>
                        <m:sub>
                          <m:r>
                            <a:rPr lang="en-US" altLang="ko-KR" sz="12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𝐸𝑥h</m:t>
                          </m:r>
                        </m:sub>
                      </m:sSub>
                      <m:r>
                        <a:rPr lang="en-US" altLang="ko-K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en-US" altLang="ko-KR" sz="1200" b="0" i="1">
                          <a:solidFill>
                            <a:srgbClr val="0000FF"/>
                          </a:solidFill>
                          <a:latin typeface="Cambria Math" panose="02040503050406030204" pitchFamily="18" charset="0"/>
                        </a:rPr>
                        <m:t>𝐻𝑒𝑎𝑡𝐿𝑜𝑠𝑠𝑇𝑒𝑚𝑝</m:t>
                      </m:r>
                      <m:r>
                        <a:rPr lang="en-US" altLang="ko-KR" sz="1200" b="0" i="1">
                          <a:latin typeface="Cambria Math" panose="02040503050406030204" pitchFamily="18" charset="0"/>
                        </a:rPr>
                        <m:t>))</m:t>
                      </m:r>
                    </m:num>
                    <m:den>
                      <m:r>
                        <a:rPr lang="en-US" altLang="ko-KR" sz="1200" b="0" i="1">
                          <a:solidFill>
                            <a:srgbClr val="0000FF"/>
                          </a:solidFill>
                          <a:latin typeface="Cambria Math" panose="02040503050406030204" pitchFamily="18" charset="0"/>
                        </a:rPr>
                        <m:t>𝐻𝑈𝐸𝑓𝑓𝑖</m:t>
                      </m:r>
                      <m:r>
                        <a:rPr lang="en-US" altLang="ko-KR" sz="1200" b="0" i="1">
                          <a:latin typeface="Cambria Math" panose="02040503050406030204" pitchFamily="18" charset="0"/>
                        </a:rPr>
                        <m:t>×</m:t>
                      </m:r>
                      <m:r>
                        <a:rPr lang="en-US" altLang="ko-K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</a:rPr>
                        <m:t>𝐿𝐻</m:t>
                      </m:r>
                      <m:sSub>
                        <m:sSubPr>
                          <m:ctrlPr>
                            <a:rPr lang="en-US" altLang="ko-KR" sz="1200" b="0" i="1">
                              <a:solidFill>
                                <a:schemeClr val="tx1"/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altLang="ko-KR" sz="1200" b="0" i="1">
                              <a:solidFill>
                                <a:schemeClr val="tx1"/>
                              </a:solidFill>
                              <a:latin typeface="Cambria Math" panose="02040503050406030204" pitchFamily="18" charset="0"/>
                            </a:rPr>
                            <m:t>𝑉</m:t>
                          </m:r>
                        </m:e>
                        <m:sub>
                          <m:r>
                            <a:rPr lang="en-US" altLang="ko-KR" sz="1200" b="0" i="1">
                              <a:solidFill>
                                <a:schemeClr val="tx1"/>
                              </a:solidFill>
                              <a:latin typeface="Cambria Math" panose="02040503050406030204" pitchFamily="18" charset="0"/>
                            </a:rPr>
                            <m:t>𝐹</m:t>
                          </m:r>
                          <m:r>
                            <a:rPr lang="en-US" altLang="ko-KR" sz="1200" b="0" i="1">
                              <a:solidFill>
                                <a:schemeClr val="tx1"/>
                              </a:solidFill>
                              <a:latin typeface="Cambria Math" panose="02040503050406030204" pitchFamily="18" charset="0"/>
                            </a:rPr>
                            <m:t>.</m:t>
                          </m:r>
                          <m:r>
                            <a:rPr lang="en-US" altLang="ko-KR" sz="1200" b="0" i="1">
                              <a:solidFill>
                                <a:schemeClr val="tx1"/>
                              </a:solidFill>
                              <a:latin typeface="Cambria Math" panose="02040503050406030204" pitchFamily="18" charset="0"/>
                            </a:rPr>
                            <m:t>𝑂</m:t>
                          </m:r>
                          <m:r>
                            <a:rPr lang="en-US" altLang="ko-KR" sz="1200" b="0" i="1">
                              <a:solidFill>
                                <a:schemeClr val="tx1"/>
                              </a:solidFill>
                              <a:latin typeface="Cambria Math" panose="02040503050406030204" pitchFamily="18" charset="0"/>
                            </a:rPr>
                            <m:t>.</m:t>
                          </m:r>
                        </m:sub>
                      </m:sSub>
                      <m:r>
                        <a:rPr lang="en-US" altLang="ko-K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</a:rPr>
                        <m:t>×</m:t>
                      </m:r>
                      <m:sSub>
                        <m:sSubPr>
                          <m:ctrlPr>
                            <a:rPr lang="en-US" altLang="ko-KR" sz="1200" b="0" i="1">
                              <a:solidFill>
                                <a:schemeClr val="tx1"/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altLang="ko-KR" sz="1200" b="0" i="1">
                              <a:solidFill>
                                <a:schemeClr val="tx1"/>
                              </a:solidFill>
                              <a:latin typeface="Cambria Math" panose="02040503050406030204" pitchFamily="18" charset="0"/>
                            </a:rPr>
                            <m:t>𝜌</m:t>
                          </m:r>
                        </m:e>
                        <m:sub>
                          <m:r>
                            <a:rPr lang="en-US" altLang="ko-KR" sz="1200" b="0" i="1">
                              <a:solidFill>
                                <a:schemeClr val="tx1"/>
                              </a:solidFill>
                              <a:latin typeface="Cambria Math" panose="02040503050406030204" pitchFamily="18" charset="0"/>
                            </a:rPr>
                            <m:t>𝐹</m:t>
                          </m:r>
                          <m:r>
                            <a:rPr lang="en-US" altLang="ko-KR" sz="1200" b="0" i="1">
                              <a:solidFill>
                                <a:schemeClr val="tx1"/>
                              </a:solidFill>
                              <a:latin typeface="Cambria Math" panose="02040503050406030204" pitchFamily="18" charset="0"/>
                            </a:rPr>
                            <m:t>.</m:t>
                          </m:r>
                          <m:r>
                            <a:rPr lang="en-US" altLang="ko-KR" sz="1200" b="0" i="1">
                              <a:solidFill>
                                <a:schemeClr val="tx1"/>
                              </a:solidFill>
                              <a:latin typeface="Cambria Math" panose="02040503050406030204" pitchFamily="18" charset="0"/>
                            </a:rPr>
                            <m:t>𝑂</m:t>
                          </m:r>
                        </m:sub>
                      </m:sSub>
                      <m:r>
                        <a:rPr lang="en-US" altLang="ko-K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</a:rPr>
                        <m:t> </m:t>
                      </m:r>
                    </m:den>
                  </m:f>
                </m:oMath>
              </a14:m>
              <a:r>
                <a:rPr lang="en-US" altLang="ko-KR"/>
                <a:t> </a:t>
              </a:r>
            </a:p>
          </xdr:txBody>
        </xdr:sp>
      </mc:Choice>
      <mc:Fallback xmlns="">
        <xdr:sp macro="" textlink="">
          <xdr:nvSpPr>
            <xdr:cNvPr id="4" name="TextBox 3"/>
            <xdr:cNvSpPr txBox="1"/>
          </xdr:nvSpPr>
          <xdr:spPr>
            <a:xfrm>
              <a:off x="14275148" y="23187660"/>
              <a:ext cx="3703205" cy="647700"/>
            </a:xfrm>
            <a:prstGeom prst="rect">
              <a:avLst/>
            </a:prstGeom>
            <a:solidFill>
              <a:schemeClr val="bg1">
                <a:alpha val="50000"/>
              </a:schemeClr>
            </a:solidFill>
          </xdr:spPr>
          <xdr:txBody>
            <a:bodyPr wrap="square" lIns="0" tIns="0" rIns="0" bIns="0" rtlCol="0" anchor="ctr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ko-KR" sz="1200" b="0" i="0">
                  <a:latin typeface="Cambria Math" panose="02040503050406030204" pitchFamily="18" charset="0"/>
                </a:rPr>
                <a:t>𝑄_(𝐹.𝑂.)=(</a:t>
              </a:r>
              <a:r>
                <a:rPr lang="en-US" altLang="ko-KR" sz="1200" b="0" i="0">
                  <a:solidFill>
                    <a:srgbClr val="0000FF"/>
                  </a:solidFill>
                  <a:latin typeface="Cambria Math" panose="02040503050406030204" pitchFamily="18" charset="0"/>
                </a:rPr>
                <a:t>𝑚 ̇_(𝐸𝑥ℎ. 𝑔𝑎𝑠)</a:t>
              </a:r>
              <a:r>
                <a:rPr lang="en-US" altLang="ko-KR" sz="1200" b="0" i="0">
                  <a:solidFill>
                    <a:srgbClr val="0000FF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en-US" altLang="ko-KR" sz="1200" b="0" i="0">
                  <a:latin typeface="Cambria Math" panose="02040503050406030204" pitchFamily="18" charset="0"/>
                </a:rPr>
                <a:t>𝐶_𝑝 (</a:t>
              </a:r>
              <a:r>
                <a:rPr lang="en-US" altLang="ko-KR" sz="1200" b="0" i="0">
                  <a:solidFill>
                    <a:srgbClr val="0000FF"/>
                  </a:solidFill>
                  <a:latin typeface="Cambria Math" panose="02040503050406030204" pitchFamily="18" charset="0"/>
                </a:rPr>
                <a:t>𝑀𝑂𝐶𝑆𝑇𝑒𝑚𝑝𝑆𝑒𝑡𝑃𝑜𝑖𝑛𝑡</a:t>
              </a:r>
              <a:r>
                <a:rPr lang="en-US" altLang="ko-KR" sz="1200" b="0" i="0">
                  <a:latin typeface="Cambria Math" panose="02040503050406030204" pitchFamily="18" charset="0"/>
                </a:rPr>
                <a:t>−(</a:t>
              </a:r>
              <a:r>
                <a:rPr lang="en-US" altLang="ko-KR" sz="12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𝑇_𝐸𝑥ℎ</a:t>
              </a:r>
              <a:r>
                <a:rPr lang="en-US" altLang="ko-KR" sz="1200" b="0" i="0">
                  <a:solidFill>
                    <a:schemeClr val="tx1"/>
                  </a:solidFill>
                  <a:latin typeface="Cambria Math" panose="02040503050406030204" pitchFamily="18" charset="0"/>
                </a:rPr>
                <a:t>−</a:t>
              </a:r>
              <a:r>
                <a:rPr lang="en-US" altLang="ko-KR" sz="1200" b="0" i="0">
                  <a:solidFill>
                    <a:srgbClr val="0000FF"/>
                  </a:solidFill>
                  <a:latin typeface="Cambria Math" panose="02040503050406030204" pitchFamily="18" charset="0"/>
                </a:rPr>
                <a:t>𝐻𝑒𝑎𝑡𝐿𝑜𝑠𝑠𝑇𝑒𝑚𝑝</a:t>
              </a:r>
              <a:r>
                <a:rPr lang="en-US" altLang="ko-KR" sz="1200" b="0" i="0">
                  <a:latin typeface="Cambria Math" panose="02040503050406030204" pitchFamily="18" charset="0"/>
                </a:rPr>
                <a:t>)))/(</a:t>
              </a:r>
              <a:r>
                <a:rPr lang="en-US" altLang="ko-KR" sz="1200" b="0" i="0">
                  <a:solidFill>
                    <a:srgbClr val="0000FF"/>
                  </a:solidFill>
                  <a:latin typeface="Cambria Math" panose="02040503050406030204" pitchFamily="18" charset="0"/>
                </a:rPr>
                <a:t>𝐻𝑈𝐸𝑓𝑓𝑖</a:t>
              </a:r>
              <a:r>
                <a:rPr lang="en-US" altLang="ko-KR" sz="1200" b="0" i="0">
                  <a:latin typeface="Cambria Math" panose="02040503050406030204" pitchFamily="18" charset="0"/>
                </a:rPr>
                <a:t>×</a:t>
              </a:r>
              <a:r>
                <a:rPr lang="en-US" altLang="ko-KR" sz="1200" b="0" i="0">
                  <a:solidFill>
                    <a:schemeClr val="tx1"/>
                  </a:solidFill>
                  <a:latin typeface="Cambria Math" panose="02040503050406030204" pitchFamily="18" charset="0"/>
                </a:rPr>
                <a:t>𝐿𝐻𝑉_(𝐹.𝑂.)×𝜌_(𝐹.𝑂)  )</a:t>
              </a:r>
              <a:r>
                <a:rPr lang="en-US" altLang="ko-KR"/>
                <a:t> 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190"/>
  <sheetViews>
    <sheetView tabSelected="1" topLeftCell="A175" zoomScale="70" zoomScaleNormal="70" workbookViewId="0">
      <selection activeCell="B5" sqref="B5:B112"/>
    </sheetView>
  </sheetViews>
  <sheetFormatPr defaultColWidth="9" defaultRowHeight="15.5" x14ac:dyDescent="0.45"/>
  <cols>
    <col min="1" max="1" width="9.9140625" style="1" customWidth="1"/>
    <col min="2" max="2" width="21.4140625" style="64" bestFit="1" customWidth="1"/>
    <col min="3" max="3" width="26.33203125" style="64" bestFit="1" customWidth="1"/>
    <col min="4" max="4" width="31.08203125" style="65" bestFit="1" customWidth="1"/>
    <col min="5" max="5" width="7.58203125" style="65" bestFit="1" customWidth="1"/>
    <col min="6" max="6" width="36.9140625" style="2" bestFit="1" customWidth="1"/>
    <col min="7" max="7" width="52.58203125" style="1" bestFit="1" customWidth="1"/>
    <col min="8" max="8" width="60" style="1" hidden="1" customWidth="1"/>
    <col min="9" max="9" width="9" style="3"/>
    <col min="10" max="13" width="9" style="2"/>
    <col min="14" max="14" width="40.08203125" style="1" bestFit="1" customWidth="1"/>
    <col min="15" max="15" width="19.5" style="1" bestFit="1" customWidth="1"/>
    <col min="16" max="16384" width="9" style="1"/>
  </cols>
  <sheetData>
    <row r="1" spans="1:15" x14ac:dyDescent="0.45">
      <c r="A1" s="1" t="s">
        <v>607</v>
      </c>
      <c r="B1" s="199" t="s">
        <v>606</v>
      </c>
      <c r="C1" s="19"/>
      <c r="D1" s="20"/>
      <c r="E1" s="20"/>
    </row>
    <row r="2" spans="1:15" ht="16" thickBot="1" x14ac:dyDescent="0.5">
      <c r="A2" s="1" t="s">
        <v>604</v>
      </c>
      <c r="B2" s="257" t="s">
        <v>0</v>
      </c>
      <c r="C2" s="257"/>
      <c r="D2" s="257"/>
      <c r="E2" s="257"/>
      <c r="F2" s="257"/>
      <c r="G2" s="257"/>
      <c r="H2" s="257"/>
      <c r="I2" s="257"/>
      <c r="J2" s="257"/>
      <c r="K2" s="257"/>
      <c r="L2" s="257"/>
      <c r="M2" s="257"/>
      <c r="N2" s="257"/>
    </row>
    <row r="3" spans="1:15" ht="15.65" customHeight="1" x14ac:dyDescent="0.45">
      <c r="A3" s="253" t="s">
        <v>603</v>
      </c>
      <c r="B3" s="266" t="s">
        <v>15</v>
      </c>
      <c r="C3" s="266" t="s">
        <v>16</v>
      </c>
      <c r="D3" s="264" t="s">
        <v>18</v>
      </c>
      <c r="E3" s="253" t="s">
        <v>602</v>
      </c>
      <c r="F3" s="258" t="s">
        <v>13</v>
      </c>
      <c r="G3" s="260" t="s">
        <v>11</v>
      </c>
      <c r="H3" s="260" t="s">
        <v>12</v>
      </c>
      <c r="I3" s="262" t="s">
        <v>5</v>
      </c>
      <c r="J3" s="260" t="s">
        <v>2</v>
      </c>
      <c r="K3" s="260"/>
      <c r="L3" s="260"/>
      <c r="M3" s="268" t="s">
        <v>555</v>
      </c>
      <c r="N3" s="228" t="s">
        <v>7</v>
      </c>
      <c r="O3" s="228" t="s">
        <v>605</v>
      </c>
    </row>
    <row r="4" spans="1:15" ht="16.25" customHeight="1" thickBot="1" x14ac:dyDescent="0.5">
      <c r="A4" s="254"/>
      <c r="B4" s="267"/>
      <c r="C4" s="267"/>
      <c r="D4" s="265"/>
      <c r="E4" s="254"/>
      <c r="F4" s="259"/>
      <c r="G4" s="261"/>
      <c r="H4" s="261"/>
      <c r="I4" s="263"/>
      <c r="J4" s="200" t="s">
        <v>3</v>
      </c>
      <c r="K4" s="200" t="s">
        <v>4</v>
      </c>
      <c r="L4" s="200" t="s">
        <v>1</v>
      </c>
      <c r="M4" s="269"/>
      <c r="N4" s="229"/>
      <c r="O4" s="229"/>
    </row>
    <row r="5" spans="1:15" ht="46.5" x14ac:dyDescent="0.45">
      <c r="A5" s="82">
        <v>11</v>
      </c>
      <c r="B5" s="255" t="s">
        <v>571</v>
      </c>
      <c r="C5" s="230" t="s">
        <v>614</v>
      </c>
      <c r="D5" s="233" t="s">
        <v>690</v>
      </c>
      <c r="E5" s="82">
        <v>0</v>
      </c>
      <c r="F5" s="179" t="s">
        <v>467</v>
      </c>
      <c r="G5" s="83" t="s">
        <v>466</v>
      </c>
      <c r="H5" s="84" t="s">
        <v>17</v>
      </c>
      <c r="I5" s="31">
        <v>1</v>
      </c>
      <c r="J5" s="29">
        <v>0</v>
      </c>
      <c r="K5" s="29">
        <v>10</v>
      </c>
      <c r="L5" s="29" t="s">
        <v>6</v>
      </c>
      <c r="M5" s="29">
        <v>1</v>
      </c>
      <c r="N5" s="79" t="s">
        <v>558</v>
      </c>
      <c r="O5" s="79" t="str">
        <f>CONCATENATE("IF_CommPara[",E5,"]")</f>
        <v>IF_CommPara[0]</v>
      </c>
    </row>
    <row r="6" spans="1:15" ht="15" customHeight="1" x14ac:dyDescent="0.45">
      <c r="A6" s="71">
        <v>11</v>
      </c>
      <c r="B6" s="234"/>
      <c r="C6" s="242"/>
      <c r="D6" s="238"/>
      <c r="E6" s="71">
        <v>1</v>
      </c>
      <c r="F6" s="67" t="s">
        <v>464</v>
      </c>
      <c r="G6" s="50" t="s">
        <v>465</v>
      </c>
      <c r="H6" s="50" t="s">
        <v>295</v>
      </c>
      <c r="I6" s="11">
        <v>1</v>
      </c>
      <c r="J6" s="8">
        <v>0</v>
      </c>
      <c r="K6" s="8">
        <v>8</v>
      </c>
      <c r="L6" s="8" t="s">
        <v>87</v>
      </c>
      <c r="M6" s="8">
        <v>1</v>
      </c>
      <c r="N6" s="74"/>
      <c r="O6" s="74" t="str">
        <f t="shared" ref="O6:O68" si="0">CONCATENATE("IF_CommPara[",E6,"]")</f>
        <v>IF_CommPara[1]</v>
      </c>
    </row>
    <row r="7" spans="1:15" ht="31" x14ac:dyDescent="0.45">
      <c r="A7" s="71">
        <v>11</v>
      </c>
      <c r="B7" s="234"/>
      <c r="C7" s="242"/>
      <c r="D7" s="238"/>
      <c r="E7" s="71">
        <v>2</v>
      </c>
      <c r="F7" s="67" t="s">
        <v>294</v>
      </c>
      <c r="G7" s="50" t="s">
        <v>557</v>
      </c>
      <c r="H7" s="9" t="s">
        <v>295</v>
      </c>
      <c r="I7" s="11">
        <v>0</v>
      </c>
      <c r="J7" s="8">
        <v>0</v>
      </c>
      <c r="K7" s="8">
        <v>1</v>
      </c>
      <c r="L7" s="8" t="s">
        <v>87</v>
      </c>
      <c r="M7" s="8">
        <v>1</v>
      </c>
      <c r="N7" s="74" t="s">
        <v>558</v>
      </c>
      <c r="O7" s="74" t="str">
        <f t="shared" si="0"/>
        <v>IF_CommPara[2]</v>
      </c>
    </row>
    <row r="8" spans="1:15" ht="31" x14ac:dyDescent="0.45">
      <c r="A8" s="71">
        <v>11</v>
      </c>
      <c r="B8" s="234"/>
      <c r="C8" s="242"/>
      <c r="D8" s="239"/>
      <c r="E8" s="75">
        <v>3</v>
      </c>
      <c r="F8" s="188" t="s">
        <v>681</v>
      </c>
      <c r="G8" s="77" t="s">
        <v>682</v>
      </c>
      <c r="H8" s="77"/>
      <c r="I8" s="16">
        <v>0</v>
      </c>
      <c r="J8" s="14">
        <v>0</v>
      </c>
      <c r="K8" s="14">
        <v>1</v>
      </c>
      <c r="L8" s="14" t="s">
        <v>87</v>
      </c>
      <c r="M8" s="14">
        <v>1</v>
      </c>
      <c r="N8" s="78" t="s">
        <v>683</v>
      </c>
      <c r="O8" s="78" t="str">
        <f t="shared" si="0"/>
        <v>IF_CommPara[3]</v>
      </c>
    </row>
    <row r="9" spans="1:15" ht="15.65" customHeight="1" x14ac:dyDescent="0.45">
      <c r="A9" s="85" t="s">
        <v>569</v>
      </c>
      <c r="B9" s="234"/>
      <c r="C9" s="242"/>
      <c r="D9" s="238" t="s">
        <v>689</v>
      </c>
      <c r="E9" s="198">
        <v>4</v>
      </c>
      <c r="F9" s="189" t="s">
        <v>684</v>
      </c>
      <c r="G9" s="216"/>
      <c r="H9" s="216"/>
      <c r="I9" s="191"/>
      <c r="J9" s="192"/>
      <c r="K9" s="192"/>
      <c r="L9" s="192"/>
      <c r="M9" s="192"/>
      <c r="N9" s="217"/>
      <c r="O9" s="217" t="str">
        <f t="shared" si="0"/>
        <v>IF_CommPara[4]</v>
      </c>
    </row>
    <row r="10" spans="1:15" ht="15.65" customHeight="1" x14ac:dyDescent="0.45">
      <c r="A10" s="85" t="s">
        <v>569</v>
      </c>
      <c r="B10" s="234"/>
      <c r="C10" s="242"/>
      <c r="D10" s="238"/>
      <c r="E10" s="85" t="s">
        <v>567</v>
      </c>
      <c r="F10" s="176" t="s">
        <v>567</v>
      </c>
      <c r="G10" s="86"/>
      <c r="H10" s="86"/>
      <c r="I10" s="87"/>
      <c r="J10" s="88"/>
      <c r="K10" s="88"/>
      <c r="L10" s="88"/>
      <c r="M10" s="88"/>
      <c r="N10" s="89"/>
      <c r="O10" s="89" t="str">
        <f t="shared" si="0"/>
        <v>IF_CommPara[...]</v>
      </c>
    </row>
    <row r="11" spans="1:15" ht="16.25" customHeight="1" thickBot="1" x14ac:dyDescent="0.5">
      <c r="A11" s="90" t="s">
        <v>569</v>
      </c>
      <c r="B11" s="234"/>
      <c r="C11" s="243"/>
      <c r="D11" s="244"/>
      <c r="E11" s="90">
        <v>49</v>
      </c>
      <c r="F11" s="180" t="s">
        <v>566</v>
      </c>
      <c r="G11" s="91"/>
      <c r="H11" s="91"/>
      <c r="I11" s="92"/>
      <c r="J11" s="93"/>
      <c r="K11" s="93"/>
      <c r="L11" s="93"/>
      <c r="M11" s="93"/>
      <c r="N11" s="94"/>
      <c r="O11" s="94" t="str">
        <f t="shared" si="0"/>
        <v>IF_CommPara[49]</v>
      </c>
    </row>
    <row r="12" spans="1:15" ht="17.399999999999999" customHeight="1" x14ac:dyDescent="0.45">
      <c r="A12" s="82">
        <v>11</v>
      </c>
      <c r="B12" s="234"/>
      <c r="C12" s="230" t="s">
        <v>691</v>
      </c>
      <c r="D12" s="233" t="s">
        <v>583</v>
      </c>
      <c r="E12" s="82">
        <v>50</v>
      </c>
      <c r="F12" s="179" t="s">
        <v>463</v>
      </c>
      <c r="G12" s="30" t="s">
        <v>515</v>
      </c>
      <c r="H12" s="84" t="s">
        <v>590</v>
      </c>
      <c r="I12" s="31">
        <v>20</v>
      </c>
      <c r="J12" s="29">
        <v>0</v>
      </c>
      <c r="K12" s="29">
        <v>120</v>
      </c>
      <c r="L12" s="29" t="s">
        <v>10</v>
      </c>
      <c r="M12" s="29">
        <v>100</v>
      </c>
      <c r="N12" s="79"/>
      <c r="O12" s="79" t="str">
        <f t="shared" si="0"/>
        <v>IF_CommPara[50]</v>
      </c>
    </row>
    <row r="13" spans="1:15" ht="32" x14ac:dyDescent="0.45">
      <c r="A13" s="71">
        <v>11</v>
      </c>
      <c r="B13" s="234"/>
      <c r="C13" s="231"/>
      <c r="D13" s="238"/>
      <c r="E13" s="71">
        <v>51</v>
      </c>
      <c r="F13" s="67" t="s">
        <v>513</v>
      </c>
      <c r="G13" s="10" t="s">
        <v>514</v>
      </c>
      <c r="H13" s="50" t="s">
        <v>591</v>
      </c>
      <c r="I13" s="11">
        <v>50</v>
      </c>
      <c r="J13" s="8">
        <v>0</v>
      </c>
      <c r="K13" s="8">
        <v>120</v>
      </c>
      <c r="L13" s="8" t="s">
        <v>10</v>
      </c>
      <c r="M13" s="8">
        <v>100</v>
      </c>
      <c r="N13" s="74"/>
      <c r="O13" s="74" t="str">
        <f t="shared" si="0"/>
        <v>IF_CommPara[51]</v>
      </c>
    </row>
    <row r="14" spans="1:15" ht="31" x14ac:dyDescent="0.45">
      <c r="A14" s="116">
        <v>11</v>
      </c>
      <c r="B14" s="234"/>
      <c r="C14" s="231"/>
      <c r="D14" s="238"/>
      <c r="E14" s="116">
        <v>52</v>
      </c>
      <c r="F14" s="168" t="s">
        <v>512</v>
      </c>
      <c r="G14" s="133" t="s">
        <v>516</v>
      </c>
      <c r="H14" s="133"/>
      <c r="I14" s="132">
        <v>5</v>
      </c>
      <c r="J14" s="120">
        <v>0</v>
      </c>
      <c r="K14" s="120">
        <v>120</v>
      </c>
      <c r="L14" s="120" t="s">
        <v>10</v>
      </c>
      <c r="M14" s="120">
        <v>100</v>
      </c>
      <c r="N14" s="81"/>
      <c r="O14" s="81" t="str">
        <f t="shared" si="0"/>
        <v>IF_CommPara[52]</v>
      </c>
    </row>
    <row r="15" spans="1:15" ht="32" x14ac:dyDescent="0.45">
      <c r="A15" s="116">
        <v>11</v>
      </c>
      <c r="B15" s="234"/>
      <c r="C15" s="231"/>
      <c r="D15" s="238"/>
      <c r="E15" s="116">
        <v>53</v>
      </c>
      <c r="F15" s="168" t="s">
        <v>468</v>
      </c>
      <c r="G15" s="133" t="s">
        <v>517</v>
      </c>
      <c r="H15" s="133" t="s">
        <v>591</v>
      </c>
      <c r="I15" s="132">
        <v>10</v>
      </c>
      <c r="J15" s="120">
        <v>0</v>
      </c>
      <c r="K15" s="120">
        <v>100</v>
      </c>
      <c r="L15" s="120" t="s">
        <v>62</v>
      </c>
      <c r="M15" s="120">
        <v>10</v>
      </c>
      <c r="N15" s="81"/>
      <c r="O15" s="81" t="str">
        <f t="shared" si="0"/>
        <v>IF_CommPara[53]</v>
      </c>
    </row>
    <row r="16" spans="1:15" ht="15" customHeight="1" x14ac:dyDescent="0.45">
      <c r="A16" s="122" t="s">
        <v>569</v>
      </c>
      <c r="B16" s="234"/>
      <c r="C16" s="231"/>
      <c r="D16" s="239"/>
      <c r="E16" s="122">
        <v>54</v>
      </c>
      <c r="F16" s="169" t="s">
        <v>564</v>
      </c>
      <c r="G16" s="124"/>
      <c r="H16" s="124"/>
      <c r="I16" s="124"/>
      <c r="J16" s="124"/>
      <c r="K16" s="124"/>
      <c r="L16" s="124"/>
      <c r="M16" s="124"/>
      <c r="N16" s="127"/>
      <c r="O16" s="127" t="str">
        <f t="shared" si="0"/>
        <v>IF_CommPara[54]</v>
      </c>
    </row>
    <row r="17" spans="1:15" ht="15" customHeight="1" x14ac:dyDescent="0.45">
      <c r="A17" s="129">
        <v>11</v>
      </c>
      <c r="B17" s="234"/>
      <c r="C17" s="231"/>
      <c r="D17" s="236" t="s">
        <v>685</v>
      </c>
      <c r="E17" s="129">
        <v>55</v>
      </c>
      <c r="F17" s="170" t="s">
        <v>469</v>
      </c>
      <c r="G17" s="131" t="s">
        <v>484</v>
      </c>
      <c r="H17" s="131"/>
      <c r="I17" s="37">
        <v>1</v>
      </c>
      <c r="J17" s="35">
        <v>0</v>
      </c>
      <c r="K17" s="35">
        <v>10</v>
      </c>
      <c r="L17" s="35" t="s">
        <v>62</v>
      </c>
      <c r="M17" s="35">
        <v>10</v>
      </c>
      <c r="N17" s="128"/>
      <c r="O17" s="128" t="str">
        <f t="shared" si="0"/>
        <v>IF_CommPara[55]</v>
      </c>
    </row>
    <row r="18" spans="1:15" ht="15" customHeight="1" x14ac:dyDescent="0.45">
      <c r="A18" s="116">
        <v>11</v>
      </c>
      <c r="B18" s="234"/>
      <c r="C18" s="231"/>
      <c r="D18" s="234"/>
      <c r="E18" s="116">
        <v>56</v>
      </c>
      <c r="F18" s="168" t="s">
        <v>475</v>
      </c>
      <c r="G18" s="117" t="s">
        <v>470</v>
      </c>
      <c r="H18" s="117"/>
      <c r="I18" s="132">
        <v>1</v>
      </c>
      <c r="J18" s="120">
        <v>0</v>
      </c>
      <c r="K18" s="120">
        <v>10</v>
      </c>
      <c r="L18" s="120" t="s">
        <v>62</v>
      </c>
      <c r="M18" s="120">
        <v>10</v>
      </c>
      <c r="N18" s="81"/>
      <c r="O18" s="81" t="str">
        <f t="shared" si="0"/>
        <v>IF_CommPara[56]</v>
      </c>
    </row>
    <row r="19" spans="1:15" ht="15" customHeight="1" x14ac:dyDescent="0.45">
      <c r="A19" s="116">
        <v>11</v>
      </c>
      <c r="B19" s="234"/>
      <c r="C19" s="231"/>
      <c r="D19" s="234"/>
      <c r="E19" s="116">
        <v>57</v>
      </c>
      <c r="F19" s="168" t="s">
        <v>476</v>
      </c>
      <c r="G19" s="117" t="s">
        <v>471</v>
      </c>
      <c r="H19" s="117"/>
      <c r="I19" s="132">
        <v>5</v>
      </c>
      <c r="J19" s="120">
        <v>0</v>
      </c>
      <c r="K19" s="120">
        <v>1000</v>
      </c>
      <c r="L19" s="120" t="s">
        <v>472</v>
      </c>
      <c r="M19" s="120">
        <v>10</v>
      </c>
      <c r="N19" s="81"/>
      <c r="O19" s="81" t="str">
        <f t="shared" si="0"/>
        <v>IF_CommPara[57]</v>
      </c>
    </row>
    <row r="20" spans="1:15" ht="15" customHeight="1" x14ac:dyDescent="0.45">
      <c r="A20" s="116">
        <v>11</v>
      </c>
      <c r="B20" s="234"/>
      <c r="C20" s="231"/>
      <c r="D20" s="234"/>
      <c r="E20" s="116">
        <v>58</v>
      </c>
      <c r="F20" s="168" t="s">
        <v>687</v>
      </c>
      <c r="G20" s="117" t="s">
        <v>688</v>
      </c>
      <c r="H20" s="117"/>
      <c r="I20" s="132">
        <v>180</v>
      </c>
      <c r="J20" s="120">
        <v>0</v>
      </c>
      <c r="K20" s="120">
        <v>3600</v>
      </c>
      <c r="L20" s="120" t="s">
        <v>62</v>
      </c>
      <c r="M20" s="120">
        <v>100</v>
      </c>
      <c r="N20" s="81"/>
      <c r="O20" s="81" t="str">
        <f t="shared" si="0"/>
        <v>IF_CommPara[58]</v>
      </c>
    </row>
    <row r="21" spans="1:15" ht="15" customHeight="1" x14ac:dyDescent="0.45">
      <c r="A21" s="122" t="s">
        <v>569</v>
      </c>
      <c r="B21" s="234"/>
      <c r="C21" s="231"/>
      <c r="D21" s="235"/>
      <c r="E21" s="122">
        <v>59</v>
      </c>
      <c r="F21" s="169" t="s">
        <v>686</v>
      </c>
      <c r="G21" s="124"/>
      <c r="H21" s="124"/>
      <c r="I21" s="124"/>
      <c r="J21" s="124"/>
      <c r="K21" s="124"/>
      <c r="L21" s="124"/>
      <c r="M21" s="124"/>
      <c r="N21" s="127"/>
      <c r="O21" s="127" t="str">
        <f t="shared" si="0"/>
        <v>IF_CommPara[59]</v>
      </c>
    </row>
    <row r="22" spans="1:15" ht="31" x14ac:dyDescent="0.45">
      <c r="A22" s="129">
        <v>11</v>
      </c>
      <c r="B22" s="234"/>
      <c r="C22" s="231"/>
      <c r="D22" s="236" t="s">
        <v>584</v>
      </c>
      <c r="E22" s="129">
        <v>60</v>
      </c>
      <c r="F22" s="170" t="s">
        <v>559</v>
      </c>
      <c r="G22" s="130" t="s">
        <v>518</v>
      </c>
      <c r="H22" s="131" t="s">
        <v>69</v>
      </c>
      <c r="I22" s="37">
        <v>50</v>
      </c>
      <c r="J22" s="35">
        <v>0</v>
      </c>
      <c r="K22" s="35">
        <v>800</v>
      </c>
      <c r="L22" s="35" t="s">
        <v>53</v>
      </c>
      <c r="M22" s="35">
        <v>10</v>
      </c>
      <c r="N22" s="128"/>
      <c r="O22" s="128" t="str">
        <f t="shared" si="0"/>
        <v>IF_CommPara[60]</v>
      </c>
    </row>
    <row r="23" spans="1:15" ht="17.399999999999999" customHeight="1" x14ac:dyDescent="0.45">
      <c r="A23" s="116">
        <v>11</v>
      </c>
      <c r="B23" s="234"/>
      <c r="C23" s="231"/>
      <c r="D23" s="234"/>
      <c r="E23" s="116">
        <v>61</v>
      </c>
      <c r="F23" s="168" t="s">
        <v>560</v>
      </c>
      <c r="G23" s="117" t="s">
        <v>482</v>
      </c>
      <c r="H23" s="117" t="s">
        <v>73</v>
      </c>
      <c r="I23" s="132">
        <v>300</v>
      </c>
      <c r="J23" s="120">
        <v>0</v>
      </c>
      <c r="K23" s="120">
        <v>800</v>
      </c>
      <c r="L23" s="120" t="s">
        <v>53</v>
      </c>
      <c r="M23" s="120">
        <v>10</v>
      </c>
      <c r="N23" s="81"/>
      <c r="O23" s="81" t="str">
        <f t="shared" si="0"/>
        <v>IF_CommPara[61]</v>
      </c>
    </row>
    <row r="24" spans="1:15" ht="17.399999999999999" customHeight="1" x14ac:dyDescent="0.45">
      <c r="A24" s="71">
        <v>11</v>
      </c>
      <c r="B24" s="234"/>
      <c r="C24" s="231"/>
      <c r="D24" s="234"/>
      <c r="E24" s="71">
        <v>62</v>
      </c>
      <c r="F24" s="67" t="s">
        <v>561</v>
      </c>
      <c r="G24" s="9" t="s">
        <v>70</v>
      </c>
      <c r="H24" s="9" t="s">
        <v>74</v>
      </c>
      <c r="I24" s="11">
        <v>300</v>
      </c>
      <c r="J24" s="8">
        <v>0</v>
      </c>
      <c r="K24" s="8">
        <v>800</v>
      </c>
      <c r="L24" s="8" t="s">
        <v>53</v>
      </c>
      <c r="M24" s="8">
        <v>10</v>
      </c>
      <c r="N24" s="74"/>
      <c r="O24" s="74" t="str">
        <f t="shared" si="0"/>
        <v>IF_CommPara[62]</v>
      </c>
    </row>
    <row r="25" spans="1:15" ht="17.399999999999999" customHeight="1" x14ac:dyDescent="0.45">
      <c r="A25" s="71">
        <v>11</v>
      </c>
      <c r="B25" s="234"/>
      <c r="C25" s="231"/>
      <c r="D25" s="234"/>
      <c r="E25" s="71">
        <v>63</v>
      </c>
      <c r="F25" s="67" t="s">
        <v>562</v>
      </c>
      <c r="G25" s="9" t="s">
        <v>71</v>
      </c>
      <c r="H25" s="9" t="s">
        <v>75</v>
      </c>
      <c r="I25" s="11">
        <v>300</v>
      </c>
      <c r="J25" s="8">
        <v>0</v>
      </c>
      <c r="K25" s="8">
        <v>800</v>
      </c>
      <c r="L25" s="8" t="s">
        <v>53</v>
      </c>
      <c r="M25" s="8">
        <v>10</v>
      </c>
      <c r="N25" s="74"/>
      <c r="O25" s="74" t="str">
        <f t="shared" si="0"/>
        <v>IF_CommPara[63]</v>
      </c>
    </row>
    <row r="26" spans="1:15" ht="17.399999999999999" customHeight="1" x14ac:dyDescent="0.45">
      <c r="A26" s="75">
        <v>11</v>
      </c>
      <c r="B26" s="234"/>
      <c r="C26" s="231"/>
      <c r="D26" s="235"/>
      <c r="E26" s="75">
        <v>64</v>
      </c>
      <c r="F26" s="188" t="s">
        <v>563</v>
      </c>
      <c r="G26" s="76" t="s">
        <v>72</v>
      </c>
      <c r="H26" s="77" t="s">
        <v>234</v>
      </c>
      <c r="I26" s="16">
        <v>300</v>
      </c>
      <c r="J26" s="14">
        <v>0</v>
      </c>
      <c r="K26" s="14">
        <v>800</v>
      </c>
      <c r="L26" s="14" t="s">
        <v>53</v>
      </c>
      <c r="M26" s="14">
        <v>10</v>
      </c>
      <c r="N26" s="78"/>
      <c r="O26" s="78" t="str">
        <f t="shared" si="0"/>
        <v>IF_CommPara[64]</v>
      </c>
    </row>
    <row r="27" spans="1:15" ht="15" customHeight="1" x14ac:dyDescent="0.45">
      <c r="A27" s="95" t="s">
        <v>569</v>
      </c>
      <c r="B27" s="234"/>
      <c r="C27" s="231"/>
      <c r="D27" s="220" t="s">
        <v>692</v>
      </c>
      <c r="E27" s="95">
        <v>65</v>
      </c>
      <c r="F27" s="195" t="s">
        <v>565</v>
      </c>
      <c r="G27" s="96"/>
      <c r="H27" s="97"/>
      <c r="I27" s="98"/>
      <c r="J27" s="99"/>
      <c r="K27" s="99"/>
      <c r="L27" s="99"/>
      <c r="M27" s="99"/>
      <c r="N27" s="100"/>
      <c r="O27" s="100" t="str">
        <f t="shared" si="0"/>
        <v>IF_CommPara[65]</v>
      </c>
    </row>
    <row r="28" spans="1:15" ht="15" customHeight="1" x14ac:dyDescent="0.45">
      <c r="A28" s="85" t="s">
        <v>569</v>
      </c>
      <c r="B28" s="234"/>
      <c r="C28" s="231"/>
      <c r="D28" s="240"/>
      <c r="E28" s="85" t="s">
        <v>567</v>
      </c>
      <c r="F28" s="176" t="s">
        <v>567</v>
      </c>
      <c r="G28" s="101"/>
      <c r="H28" s="86"/>
      <c r="I28" s="87"/>
      <c r="J28" s="88"/>
      <c r="K28" s="88"/>
      <c r="L28" s="88"/>
      <c r="M28" s="88"/>
      <c r="N28" s="89"/>
      <c r="O28" s="89" t="str">
        <f t="shared" si="0"/>
        <v>IF_CommPara[...]</v>
      </c>
    </row>
    <row r="29" spans="1:15" ht="15.65" customHeight="1" thickBot="1" x14ac:dyDescent="0.5">
      <c r="A29" s="90" t="s">
        <v>569</v>
      </c>
      <c r="B29" s="234"/>
      <c r="C29" s="232"/>
      <c r="D29" s="241"/>
      <c r="E29" s="90">
        <v>99</v>
      </c>
      <c r="F29" s="180" t="s">
        <v>568</v>
      </c>
      <c r="G29" s="102"/>
      <c r="H29" s="91"/>
      <c r="I29" s="92"/>
      <c r="J29" s="93"/>
      <c r="K29" s="93"/>
      <c r="L29" s="93"/>
      <c r="M29" s="93"/>
      <c r="N29" s="94"/>
      <c r="O29" s="94" t="str">
        <f t="shared" si="0"/>
        <v>IF_CommPara[99]</v>
      </c>
    </row>
    <row r="30" spans="1:15" ht="15" customHeight="1" x14ac:dyDescent="0.45">
      <c r="A30" s="110" t="s">
        <v>569</v>
      </c>
      <c r="B30" s="234"/>
      <c r="C30" s="230" t="s">
        <v>601</v>
      </c>
      <c r="D30" s="245" t="s">
        <v>579</v>
      </c>
      <c r="E30" s="110">
        <v>100</v>
      </c>
      <c r="F30" s="167" t="s">
        <v>477</v>
      </c>
      <c r="G30" s="111"/>
      <c r="H30" s="112"/>
      <c r="I30" s="113">
        <v>0</v>
      </c>
      <c r="J30" s="114">
        <v>0</v>
      </c>
      <c r="K30" s="114">
        <v>1000</v>
      </c>
      <c r="L30" s="114" t="s">
        <v>87</v>
      </c>
      <c r="M30" s="114">
        <v>1</v>
      </c>
      <c r="N30" s="115"/>
      <c r="O30" s="115" t="str">
        <f t="shared" si="0"/>
        <v>IF_CommPara[100]</v>
      </c>
    </row>
    <row r="31" spans="1:15" ht="15" customHeight="1" x14ac:dyDescent="0.45">
      <c r="A31" s="116" t="s">
        <v>569</v>
      </c>
      <c r="B31" s="234"/>
      <c r="C31" s="231"/>
      <c r="D31" s="246"/>
      <c r="E31" s="116">
        <v>101</v>
      </c>
      <c r="F31" s="168" t="s">
        <v>478</v>
      </c>
      <c r="G31" s="117"/>
      <c r="H31" s="118"/>
      <c r="I31" s="119">
        <v>0</v>
      </c>
      <c r="J31" s="120">
        <v>0</v>
      </c>
      <c r="K31" s="120">
        <v>1000</v>
      </c>
      <c r="L31" s="120" t="s">
        <v>87</v>
      </c>
      <c r="M31" s="120">
        <v>1</v>
      </c>
      <c r="N31" s="121"/>
      <c r="O31" s="121" t="str">
        <f t="shared" si="0"/>
        <v>IF_CommPara[101]</v>
      </c>
    </row>
    <row r="32" spans="1:15" ht="15" customHeight="1" x14ac:dyDescent="0.45">
      <c r="A32" s="116" t="s">
        <v>569</v>
      </c>
      <c r="B32" s="234"/>
      <c r="C32" s="231"/>
      <c r="D32" s="246"/>
      <c r="E32" s="116">
        <v>102</v>
      </c>
      <c r="F32" s="168" t="s">
        <v>479</v>
      </c>
      <c r="G32" s="117"/>
      <c r="H32" s="118"/>
      <c r="I32" s="119">
        <v>0</v>
      </c>
      <c r="J32" s="120">
        <v>0</v>
      </c>
      <c r="K32" s="120">
        <v>1000</v>
      </c>
      <c r="L32" s="120" t="s">
        <v>87</v>
      </c>
      <c r="M32" s="120">
        <v>1</v>
      </c>
      <c r="N32" s="121"/>
      <c r="O32" s="121" t="str">
        <f t="shared" si="0"/>
        <v>IF_CommPara[102]</v>
      </c>
    </row>
    <row r="33" spans="1:15" ht="15" customHeight="1" x14ac:dyDescent="0.45">
      <c r="A33" s="116" t="s">
        <v>569</v>
      </c>
      <c r="B33" s="234"/>
      <c r="C33" s="231"/>
      <c r="D33" s="246"/>
      <c r="E33" s="116">
        <v>103</v>
      </c>
      <c r="F33" s="168" t="s">
        <v>480</v>
      </c>
      <c r="G33" s="117"/>
      <c r="H33" s="118"/>
      <c r="I33" s="119">
        <v>0</v>
      </c>
      <c r="J33" s="120">
        <v>0</v>
      </c>
      <c r="K33" s="120">
        <v>1000</v>
      </c>
      <c r="L33" s="120" t="s">
        <v>87</v>
      </c>
      <c r="M33" s="120">
        <v>1</v>
      </c>
      <c r="N33" s="121"/>
      <c r="O33" s="121" t="str">
        <f t="shared" si="0"/>
        <v>IF_CommPara[103]</v>
      </c>
    </row>
    <row r="34" spans="1:15" ht="15" customHeight="1" x14ac:dyDescent="0.45">
      <c r="A34" s="122" t="s">
        <v>569</v>
      </c>
      <c r="B34" s="234"/>
      <c r="C34" s="231"/>
      <c r="D34" s="247"/>
      <c r="E34" s="122">
        <v>104</v>
      </c>
      <c r="F34" s="169" t="s">
        <v>481</v>
      </c>
      <c r="G34" s="123"/>
      <c r="H34" s="124"/>
      <c r="I34" s="125">
        <v>0</v>
      </c>
      <c r="J34" s="126">
        <v>0</v>
      </c>
      <c r="K34" s="126">
        <v>1000</v>
      </c>
      <c r="L34" s="126" t="s">
        <v>87</v>
      </c>
      <c r="M34" s="126">
        <v>1</v>
      </c>
      <c r="N34" s="127"/>
      <c r="O34" s="127" t="str">
        <f t="shared" si="0"/>
        <v>IF_CommPara[104]</v>
      </c>
    </row>
    <row r="35" spans="1:15" ht="31.5" x14ac:dyDescent="0.45">
      <c r="A35" s="70">
        <v>11</v>
      </c>
      <c r="B35" s="234"/>
      <c r="C35" s="231"/>
      <c r="D35" s="238" t="s">
        <v>580</v>
      </c>
      <c r="E35" s="70">
        <v>105</v>
      </c>
      <c r="F35" s="66" t="s">
        <v>305</v>
      </c>
      <c r="G35" s="24" t="s">
        <v>21</v>
      </c>
      <c r="H35" s="24" t="s">
        <v>20</v>
      </c>
      <c r="I35" s="26">
        <v>10</v>
      </c>
      <c r="J35" s="27">
        <v>0</v>
      </c>
      <c r="K35" s="27">
        <v>100</v>
      </c>
      <c r="L35" s="27" t="s">
        <v>43</v>
      </c>
      <c r="M35" s="27">
        <v>100</v>
      </c>
      <c r="N35" s="53" t="s">
        <v>24</v>
      </c>
      <c r="O35" s="53" t="str">
        <f t="shared" si="0"/>
        <v>IF_CommPara[105]</v>
      </c>
    </row>
    <row r="36" spans="1:15" ht="31.5" x14ac:dyDescent="0.45">
      <c r="A36" s="71">
        <v>11</v>
      </c>
      <c r="B36" s="234"/>
      <c r="C36" s="231"/>
      <c r="D36" s="234"/>
      <c r="E36" s="71">
        <v>106</v>
      </c>
      <c r="F36" s="67" t="s">
        <v>483</v>
      </c>
      <c r="G36" s="9" t="s">
        <v>550</v>
      </c>
      <c r="H36" s="10" t="s">
        <v>19</v>
      </c>
      <c r="I36" s="11">
        <v>20</v>
      </c>
      <c r="J36" s="8">
        <v>0</v>
      </c>
      <c r="K36" s="8">
        <v>100</v>
      </c>
      <c r="L36" s="8" t="s">
        <v>43</v>
      </c>
      <c r="M36" s="8">
        <v>100</v>
      </c>
      <c r="N36" s="12" t="s">
        <v>24</v>
      </c>
      <c r="O36" s="12" t="str">
        <f t="shared" si="0"/>
        <v>IF_CommPara[106]</v>
      </c>
    </row>
    <row r="37" spans="1:15" ht="17.399999999999999" customHeight="1" x14ac:dyDescent="0.45">
      <c r="A37" s="116">
        <v>11</v>
      </c>
      <c r="B37" s="234"/>
      <c r="C37" s="231"/>
      <c r="D37" s="234"/>
      <c r="E37" s="116">
        <v>107</v>
      </c>
      <c r="F37" s="168" t="s">
        <v>548</v>
      </c>
      <c r="G37" s="117" t="s">
        <v>551</v>
      </c>
      <c r="H37" s="118" t="s">
        <v>22</v>
      </c>
      <c r="I37" s="132">
        <v>45</v>
      </c>
      <c r="J37" s="120">
        <v>0</v>
      </c>
      <c r="K37" s="120">
        <v>100</v>
      </c>
      <c r="L37" s="120" t="s">
        <v>43</v>
      </c>
      <c r="M37" s="120">
        <v>100</v>
      </c>
      <c r="N37" s="121"/>
      <c r="O37" s="121" t="str">
        <f t="shared" si="0"/>
        <v>IF_CommPara[107]</v>
      </c>
    </row>
    <row r="38" spans="1:15" ht="17.399999999999999" customHeight="1" x14ac:dyDescent="0.45">
      <c r="A38" s="116">
        <v>11</v>
      </c>
      <c r="B38" s="234"/>
      <c r="C38" s="231"/>
      <c r="D38" s="234"/>
      <c r="E38" s="116">
        <v>108</v>
      </c>
      <c r="F38" s="168" t="s">
        <v>549</v>
      </c>
      <c r="G38" s="117" t="s">
        <v>552</v>
      </c>
      <c r="H38" s="118" t="s">
        <v>23</v>
      </c>
      <c r="I38" s="132">
        <v>30</v>
      </c>
      <c r="J38" s="120">
        <v>0</v>
      </c>
      <c r="K38" s="120">
        <v>100</v>
      </c>
      <c r="L38" s="120" t="s">
        <v>43</v>
      </c>
      <c r="M38" s="120">
        <v>100</v>
      </c>
      <c r="N38" s="121"/>
      <c r="O38" s="121" t="str">
        <f t="shared" si="0"/>
        <v>IF_CommPara[108]</v>
      </c>
    </row>
    <row r="39" spans="1:15" ht="17.399999999999999" customHeight="1" x14ac:dyDescent="0.45">
      <c r="A39" s="116">
        <v>11</v>
      </c>
      <c r="B39" s="234"/>
      <c r="C39" s="231"/>
      <c r="D39" s="234"/>
      <c r="E39" s="116">
        <v>109</v>
      </c>
      <c r="F39" s="168" t="s">
        <v>67</v>
      </c>
      <c r="G39" s="117" t="s">
        <v>31</v>
      </c>
      <c r="H39" s="118" t="s">
        <v>34</v>
      </c>
      <c r="I39" s="132">
        <v>10</v>
      </c>
      <c r="J39" s="120">
        <v>0</v>
      </c>
      <c r="K39" s="120">
        <v>100</v>
      </c>
      <c r="L39" s="120" t="s">
        <v>8</v>
      </c>
      <c r="M39" s="120">
        <v>100</v>
      </c>
      <c r="N39" s="121"/>
      <c r="O39" s="121" t="str">
        <f t="shared" si="0"/>
        <v>IF_CommPara[109]</v>
      </c>
    </row>
    <row r="40" spans="1:15" ht="15" customHeight="1" x14ac:dyDescent="0.45">
      <c r="A40" s="116">
        <v>11</v>
      </c>
      <c r="B40" s="234"/>
      <c r="C40" s="231"/>
      <c r="D40" s="234"/>
      <c r="E40" s="116">
        <v>110</v>
      </c>
      <c r="F40" s="168" t="s">
        <v>296</v>
      </c>
      <c r="G40" s="117" t="s">
        <v>298</v>
      </c>
      <c r="H40" s="118"/>
      <c r="I40" s="132">
        <v>5</v>
      </c>
      <c r="J40" s="120">
        <v>0</v>
      </c>
      <c r="K40" s="120">
        <v>10</v>
      </c>
      <c r="L40" s="120" t="s">
        <v>62</v>
      </c>
      <c r="M40" s="120">
        <v>10</v>
      </c>
      <c r="N40" s="121"/>
      <c r="O40" s="121" t="str">
        <f t="shared" si="0"/>
        <v>IF_CommPara[110]</v>
      </c>
    </row>
    <row r="41" spans="1:15" ht="15" customHeight="1" x14ac:dyDescent="0.45">
      <c r="A41" s="116">
        <v>11</v>
      </c>
      <c r="B41" s="234"/>
      <c r="C41" s="231"/>
      <c r="D41" s="234"/>
      <c r="E41" s="116">
        <v>111</v>
      </c>
      <c r="F41" s="168" t="s">
        <v>297</v>
      </c>
      <c r="G41" s="117" t="s">
        <v>299</v>
      </c>
      <c r="H41" s="118"/>
      <c r="I41" s="132">
        <v>1</v>
      </c>
      <c r="J41" s="120">
        <v>0</v>
      </c>
      <c r="K41" s="120">
        <v>10</v>
      </c>
      <c r="L41" s="120" t="s">
        <v>62</v>
      </c>
      <c r="M41" s="120">
        <v>10</v>
      </c>
      <c r="N41" s="121"/>
      <c r="O41" s="121" t="str">
        <f t="shared" si="0"/>
        <v>IF_CommPara[111]</v>
      </c>
    </row>
    <row r="42" spans="1:15" ht="15" customHeight="1" x14ac:dyDescent="0.45">
      <c r="A42" s="116" t="s">
        <v>569</v>
      </c>
      <c r="B42" s="234"/>
      <c r="C42" s="231"/>
      <c r="D42" s="234"/>
      <c r="E42" s="116">
        <v>112</v>
      </c>
      <c r="F42" s="168" t="s">
        <v>496</v>
      </c>
      <c r="G42" s="117"/>
      <c r="H42" s="118"/>
      <c r="I42" s="132">
        <v>0</v>
      </c>
      <c r="J42" s="120">
        <v>0</v>
      </c>
      <c r="K42" s="120">
        <v>1000</v>
      </c>
      <c r="L42" s="120" t="s">
        <v>87</v>
      </c>
      <c r="M42" s="120">
        <v>1</v>
      </c>
      <c r="N42" s="121"/>
      <c r="O42" s="121" t="str">
        <f t="shared" si="0"/>
        <v>IF_CommPara[112]</v>
      </c>
    </row>
    <row r="43" spans="1:15" ht="15" customHeight="1" x14ac:dyDescent="0.45">
      <c r="A43" s="116" t="s">
        <v>569</v>
      </c>
      <c r="B43" s="234"/>
      <c r="C43" s="231"/>
      <c r="D43" s="234"/>
      <c r="E43" s="116">
        <v>113</v>
      </c>
      <c r="F43" s="168" t="s">
        <v>497</v>
      </c>
      <c r="G43" s="117"/>
      <c r="H43" s="118"/>
      <c r="I43" s="132">
        <v>0</v>
      </c>
      <c r="J43" s="120">
        <v>0</v>
      </c>
      <c r="K43" s="120">
        <v>1000</v>
      </c>
      <c r="L43" s="120" t="s">
        <v>87</v>
      </c>
      <c r="M43" s="120">
        <v>1</v>
      </c>
      <c r="N43" s="121"/>
      <c r="O43" s="121" t="str">
        <f t="shared" si="0"/>
        <v>IF_CommPara[113]</v>
      </c>
    </row>
    <row r="44" spans="1:15" ht="15" customHeight="1" x14ac:dyDescent="0.45">
      <c r="A44" s="122" t="s">
        <v>569</v>
      </c>
      <c r="B44" s="234"/>
      <c r="C44" s="231"/>
      <c r="D44" s="235"/>
      <c r="E44" s="122">
        <v>114</v>
      </c>
      <c r="F44" s="169" t="s">
        <v>498</v>
      </c>
      <c r="G44" s="123"/>
      <c r="H44" s="124"/>
      <c r="I44" s="134">
        <v>0</v>
      </c>
      <c r="J44" s="126">
        <v>0</v>
      </c>
      <c r="K44" s="126">
        <v>1000</v>
      </c>
      <c r="L44" s="126" t="s">
        <v>87</v>
      </c>
      <c r="M44" s="126">
        <v>1</v>
      </c>
      <c r="N44" s="127"/>
      <c r="O44" s="127" t="str">
        <f t="shared" si="0"/>
        <v>IF_CommPara[114]</v>
      </c>
    </row>
    <row r="45" spans="1:15" ht="17.399999999999999" customHeight="1" x14ac:dyDescent="0.45">
      <c r="A45" s="72">
        <v>11</v>
      </c>
      <c r="B45" s="234"/>
      <c r="C45" s="231"/>
      <c r="D45" s="238" t="s">
        <v>581</v>
      </c>
      <c r="E45" s="72">
        <v>115</v>
      </c>
      <c r="F45" s="68" t="s">
        <v>68</v>
      </c>
      <c r="G45" s="51" t="s">
        <v>25</v>
      </c>
      <c r="H45" s="47" t="s">
        <v>28</v>
      </c>
      <c r="I45" s="48">
        <v>100</v>
      </c>
      <c r="J45" s="46">
        <v>0</v>
      </c>
      <c r="K45" s="46">
        <v>100</v>
      </c>
      <c r="L45" s="46" t="s">
        <v>473</v>
      </c>
      <c r="M45" s="46">
        <v>100</v>
      </c>
      <c r="N45" s="49"/>
      <c r="O45" s="49" t="str">
        <f t="shared" si="0"/>
        <v>IF_CommPara[115]</v>
      </c>
    </row>
    <row r="46" spans="1:15" ht="15" customHeight="1" x14ac:dyDescent="0.45">
      <c r="A46" s="116" t="s">
        <v>569</v>
      </c>
      <c r="B46" s="234"/>
      <c r="C46" s="231"/>
      <c r="D46" s="234"/>
      <c r="E46" s="116">
        <v>116</v>
      </c>
      <c r="F46" s="168" t="s">
        <v>499</v>
      </c>
      <c r="G46" s="117"/>
      <c r="H46" s="118"/>
      <c r="I46" s="132">
        <v>0</v>
      </c>
      <c r="J46" s="120">
        <v>0</v>
      </c>
      <c r="K46" s="120">
        <v>1000</v>
      </c>
      <c r="L46" s="120" t="s">
        <v>87</v>
      </c>
      <c r="M46" s="120">
        <v>1</v>
      </c>
      <c r="N46" s="121"/>
      <c r="O46" s="121" t="str">
        <f t="shared" si="0"/>
        <v>IF_CommPara[116]</v>
      </c>
    </row>
    <row r="47" spans="1:15" ht="15" customHeight="1" x14ac:dyDescent="0.45">
      <c r="A47" s="116" t="s">
        <v>569</v>
      </c>
      <c r="B47" s="234"/>
      <c r="C47" s="231"/>
      <c r="D47" s="234"/>
      <c r="E47" s="116">
        <v>117</v>
      </c>
      <c r="F47" s="168" t="s">
        <v>444</v>
      </c>
      <c r="G47" s="117"/>
      <c r="H47" s="118"/>
      <c r="I47" s="132">
        <v>0</v>
      </c>
      <c r="J47" s="120">
        <v>0</v>
      </c>
      <c r="K47" s="120">
        <v>1000</v>
      </c>
      <c r="L47" s="120" t="s">
        <v>87</v>
      </c>
      <c r="M47" s="120">
        <v>1</v>
      </c>
      <c r="N47" s="121"/>
      <c r="O47" s="121" t="str">
        <f t="shared" si="0"/>
        <v>IF_CommPara[117]</v>
      </c>
    </row>
    <row r="48" spans="1:15" ht="15" customHeight="1" x14ac:dyDescent="0.45">
      <c r="A48" s="116" t="s">
        <v>569</v>
      </c>
      <c r="B48" s="234"/>
      <c r="C48" s="231"/>
      <c r="D48" s="234"/>
      <c r="E48" s="116">
        <v>118</v>
      </c>
      <c r="F48" s="168" t="s">
        <v>445</v>
      </c>
      <c r="G48" s="117"/>
      <c r="H48" s="118"/>
      <c r="I48" s="132">
        <v>0</v>
      </c>
      <c r="J48" s="120">
        <v>0</v>
      </c>
      <c r="K48" s="120">
        <v>1000</v>
      </c>
      <c r="L48" s="120" t="s">
        <v>87</v>
      </c>
      <c r="M48" s="120">
        <v>1</v>
      </c>
      <c r="N48" s="121"/>
      <c r="O48" s="121" t="str">
        <f t="shared" si="0"/>
        <v>IF_CommPara[118]</v>
      </c>
    </row>
    <row r="49" spans="1:15" ht="15" customHeight="1" x14ac:dyDescent="0.45">
      <c r="A49" s="122" t="s">
        <v>569</v>
      </c>
      <c r="B49" s="234"/>
      <c r="C49" s="231"/>
      <c r="D49" s="235"/>
      <c r="E49" s="122">
        <v>119</v>
      </c>
      <c r="F49" s="169" t="s">
        <v>500</v>
      </c>
      <c r="G49" s="123"/>
      <c r="H49" s="124"/>
      <c r="I49" s="134">
        <v>0</v>
      </c>
      <c r="J49" s="126">
        <v>0</v>
      </c>
      <c r="K49" s="126">
        <v>1000</v>
      </c>
      <c r="L49" s="126" t="s">
        <v>87</v>
      </c>
      <c r="M49" s="126">
        <v>1</v>
      </c>
      <c r="N49" s="127"/>
      <c r="O49" s="127" t="str">
        <f t="shared" si="0"/>
        <v>IF_CommPara[119]</v>
      </c>
    </row>
    <row r="50" spans="1:15" ht="15" customHeight="1" x14ac:dyDescent="0.45">
      <c r="A50" s="72">
        <v>11</v>
      </c>
      <c r="B50" s="234"/>
      <c r="C50" s="231"/>
      <c r="D50" s="238" t="s">
        <v>582</v>
      </c>
      <c r="E50" s="72">
        <v>120</v>
      </c>
      <c r="F50" s="68" t="s">
        <v>79</v>
      </c>
      <c r="G50" s="51" t="s">
        <v>80</v>
      </c>
      <c r="H50" s="52" t="s">
        <v>78</v>
      </c>
      <c r="I50" s="48">
        <v>422</v>
      </c>
      <c r="J50" s="46">
        <v>0</v>
      </c>
      <c r="K50" s="46">
        <v>800</v>
      </c>
      <c r="L50" s="46" t="s">
        <v>9</v>
      </c>
      <c r="M50" s="46">
        <v>10</v>
      </c>
      <c r="N50" s="49"/>
      <c r="O50" s="49" t="str">
        <f t="shared" si="0"/>
        <v>IF_CommPara[120]</v>
      </c>
    </row>
    <row r="51" spans="1:15" ht="31" x14ac:dyDescent="0.45">
      <c r="A51" s="116">
        <v>11</v>
      </c>
      <c r="B51" s="234"/>
      <c r="C51" s="231"/>
      <c r="D51" s="234"/>
      <c r="E51" s="116">
        <v>121</v>
      </c>
      <c r="F51" s="168" t="s">
        <v>76</v>
      </c>
      <c r="G51" s="117" t="s">
        <v>81</v>
      </c>
      <c r="H51" s="135" t="s">
        <v>77</v>
      </c>
      <c r="I51" s="132">
        <v>410</v>
      </c>
      <c r="J51" s="120">
        <v>0</v>
      </c>
      <c r="K51" s="120">
        <v>800</v>
      </c>
      <c r="L51" s="120" t="s">
        <v>9</v>
      </c>
      <c r="M51" s="120">
        <v>10</v>
      </c>
      <c r="N51" s="121"/>
      <c r="O51" s="121" t="str">
        <f t="shared" si="0"/>
        <v>IF_CommPara[121]</v>
      </c>
    </row>
    <row r="52" spans="1:15" ht="47" x14ac:dyDescent="0.45">
      <c r="A52" s="116">
        <v>11</v>
      </c>
      <c r="B52" s="234"/>
      <c r="C52" s="231"/>
      <c r="D52" s="234"/>
      <c r="E52" s="116">
        <v>122</v>
      </c>
      <c r="F52" s="168" t="s">
        <v>304</v>
      </c>
      <c r="G52" s="133" t="s">
        <v>82</v>
      </c>
      <c r="H52" s="135" t="s">
        <v>26</v>
      </c>
      <c r="I52" s="132">
        <v>5</v>
      </c>
      <c r="J52" s="120">
        <v>0</v>
      </c>
      <c r="K52" s="120">
        <v>800</v>
      </c>
      <c r="L52" s="120" t="s">
        <v>53</v>
      </c>
      <c r="M52" s="120">
        <v>10</v>
      </c>
      <c r="N52" s="121"/>
      <c r="O52" s="121" t="str">
        <f t="shared" si="0"/>
        <v>IF_CommPara[122]</v>
      </c>
    </row>
    <row r="53" spans="1:15" ht="15" customHeight="1" x14ac:dyDescent="0.45">
      <c r="A53" s="116" t="s">
        <v>569</v>
      </c>
      <c r="B53" s="234"/>
      <c r="C53" s="231"/>
      <c r="D53" s="234"/>
      <c r="E53" s="116">
        <v>123</v>
      </c>
      <c r="F53" s="168" t="s">
        <v>501</v>
      </c>
      <c r="G53" s="133"/>
      <c r="H53" s="135"/>
      <c r="I53" s="132">
        <v>0</v>
      </c>
      <c r="J53" s="120">
        <v>0</v>
      </c>
      <c r="K53" s="120">
        <v>1000</v>
      </c>
      <c r="L53" s="120" t="s">
        <v>87</v>
      </c>
      <c r="M53" s="120">
        <v>1</v>
      </c>
      <c r="N53" s="121"/>
      <c r="O53" s="121" t="str">
        <f t="shared" si="0"/>
        <v>IF_CommPara[123]</v>
      </c>
    </row>
    <row r="54" spans="1:15" ht="15" customHeight="1" x14ac:dyDescent="0.45">
      <c r="A54" s="122" t="s">
        <v>569</v>
      </c>
      <c r="B54" s="234"/>
      <c r="C54" s="231"/>
      <c r="D54" s="235"/>
      <c r="E54" s="122">
        <v>124</v>
      </c>
      <c r="F54" s="169" t="s">
        <v>502</v>
      </c>
      <c r="G54" s="136"/>
      <c r="H54" s="137"/>
      <c r="I54" s="134">
        <v>0</v>
      </c>
      <c r="J54" s="126">
        <v>0</v>
      </c>
      <c r="K54" s="126">
        <v>1000</v>
      </c>
      <c r="L54" s="126" t="s">
        <v>87</v>
      </c>
      <c r="M54" s="126">
        <v>1</v>
      </c>
      <c r="N54" s="127"/>
      <c r="O54" s="127" t="str">
        <f t="shared" si="0"/>
        <v>IF_CommPara[124]</v>
      </c>
    </row>
    <row r="55" spans="1:15" ht="17.399999999999999" customHeight="1" x14ac:dyDescent="0.45">
      <c r="A55" s="72">
        <v>11</v>
      </c>
      <c r="B55" s="234"/>
      <c r="C55" s="231"/>
      <c r="D55" s="238" t="s">
        <v>615</v>
      </c>
      <c r="E55" s="72">
        <v>125</v>
      </c>
      <c r="F55" s="68" t="s">
        <v>486</v>
      </c>
      <c r="G55" s="51" t="s">
        <v>487</v>
      </c>
      <c r="H55" s="47" t="s">
        <v>44</v>
      </c>
      <c r="I55" s="48">
        <v>600</v>
      </c>
      <c r="J55" s="46">
        <v>0</v>
      </c>
      <c r="K55" s="46">
        <v>3600</v>
      </c>
      <c r="L55" s="46" t="s">
        <v>62</v>
      </c>
      <c r="M55" s="46">
        <v>10</v>
      </c>
      <c r="N55" s="49"/>
      <c r="O55" s="49" t="str">
        <f t="shared" si="0"/>
        <v>IF_CommPara[125]</v>
      </c>
    </row>
    <row r="56" spans="1:15" ht="15" customHeight="1" x14ac:dyDescent="0.45">
      <c r="A56" s="116">
        <v>11</v>
      </c>
      <c r="B56" s="234"/>
      <c r="C56" s="231"/>
      <c r="D56" s="234"/>
      <c r="E56" s="116">
        <v>126</v>
      </c>
      <c r="F56" s="168" t="s">
        <v>489</v>
      </c>
      <c r="G56" s="117" t="s">
        <v>488</v>
      </c>
      <c r="H56" s="118"/>
      <c r="I56" s="132">
        <v>1200</v>
      </c>
      <c r="J56" s="120">
        <v>0</v>
      </c>
      <c r="K56" s="120">
        <v>3600</v>
      </c>
      <c r="L56" s="120" t="s">
        <v>62</v>
      </c>
      <c r="M56" s="120">
        <v>10</v>
      </c>
      <c r="N56" s="121"/>
      <c r="O56" s="121" t="str">
        <f t="shared" si="0"/>
        <v>IF_CommPara[126]</v>
      </c>
    </row>
    <row r="57" spans="1:15" ht="15" customHeight="1" x14ac:dyDescent="0.45">
      <c r="A57" s="116" t="s">
        <v>569</v>
      </c>
      <c r="B57" s="234"/>
      <c r="C57" s="231"/>
      <c r="D57" s="234"/>
      <c r="E57" s="116">
        <v>127</v>
      </c>
      <c r="F57" s="168" t="s">
        <v>485</v>
      </c>
      <c r="G57" s="117"/>
      <c r="H57" s="118"/>
      <c r="I57" s="132">
        <v>0</v>
      </c>
      <c r="J57" s="120">
        <v>0</v>
      </c>
      <c r="K57" s="120">
        <v>1000</v>
      </c>
      <c r="L57" s="120" t="s">
        <v>87</v>
      </c>
      <c r="M57" s="120">
        <v>1</v>
      </c>
      <c r="N57" s="121"/>
      <c r="O57" s="121" t="str">
        <f t="shared" si="0"/>
        <v>IF_CommPara[127]</v>
      </c>
    </row>
    <row r="58" spans="1:15" ht="15" customHeight="1" x14ac:dyDescent="0.45">
      <c r="A58" s="116" t="s">
        <v>569</v>
      </c>
      <c r="B58" s="234"/>
      <c r="C58" s="231"/>
      <c r="D58" s="234"/>
      <c r="E58" s="116">
        <v>128</v>
      </c>
      <c r="F58" s="168" t="s">
        <v>503</v>
      </c>
      <c r="G58" s="117"/>
      <c r="H58" s="118"/>
      <c r="I58" s="132">
        <v>0</v>
      </c>
      <c r="J58" s="120">
        <v>0</v>
      </c>
      <c r="K58" s="120">
        <v>1000</v>
      </c>
      <c r="L58" s="120" t="s">
        <v>87</v>
      </c>
      <c r="M58" s="120">
        <v>1</v>
      </c>
      <c r="N58" s="121"/>
      <c r="O58" s="121" t="str">
        <f t="shared" si="0"/>
        <v>IF_CommPara[128]</v>
      </c>
    </row>
    <row r="59" spans="1:15" ht="15" customHeight="1" x14ac:dyDescent="0.45">
      <c r="A59" s="122" t="s">
        <v>569</v>
      </c>
      <c r="B59" s="234"/>
      <c r="C59" s="231"/>
      <c r="D59" s="235"/>
      <c r="E59" s="122">
        <v>129</v>
      </c>
      <c r="F59" s="169" t="s">
        <v>504</v>
      </c>
      <c r="G59" s="123"/>
      <c r="H59" s="124"/>
      <c r="I59" s="134">
        <v>0</v>
      </c>
      <c r="J59" s="126">
        <v>0</v>
      </c>
      <c r="K59" s="126">
        <v>1000</v>
      </c>
      <c r="L59" s="126" t="s">
        <v>87</v>
      </c>
      <c r="M59" s="126">
        <v>1</v>
      </c>
      <c r="N59" s="127"/>
      <c r="O59" s="127" t="str">
        <f t="shared" si="0"/>
        <v>IF_CommPara[129]</v>
      </c>
    </row>
    <row r="60" spans="1:15" ht="17.399999999999999" customHeight="1" x14ac:dyDescent="0.45">
      <c r="A60" s="72">
        <v>11</v>
      </c>
      <c r="B60" s="234"/>
      <c r="C60" s="231"/>
      <c r="D60" s="238" t="s">
        <v>585</v>
      </c>
      <c r="E60" s="72">
        <v>130</v>
      </c>
      <c r="F60" s="68" t="s">
        <v>64</v>
      </c>
      <c r="G60" s="51" t="s">
        <v>27</v>
      </c>
      <c r="H60" s="47" t="s">
        <v>44</v>
      </c>
      <c r="I60" s="48">
        <v>100</v>
      </c>
      <c r="J60" s="46">
        <v>0</v>
      </c>
      <c r="K60" s="46">
        <v>100</v>
      </c>
      <c r="L60" s="46" t="s">
        <v>474</v>
      </c>
      <c r="M60" s="46">
        <v>100</v>
      </c>
      <c r="N60" s="49"/>
      <c r="O60" s="49" t="str">
        <f t="shared" si="0"/>
        <v>IF_CommPara[130]</v>
      </c>
    </row>
    <row r="61" spans="1:15" ht="15" customHeight="1" x14ac:dyDescent="0.45">
      <c r="A61" s="116" t="s">
        <v>569</v>
      </c>
      <c r="B61" s="234"/>
      <c r="C61" s="231"/>
      <c r="D61" s="234"/>
      <c r="E61" s="116">
        <v>131</v>
      </c>
      <c r="F61" s="168" t="s">
        <v>446</v>
      </c>
      <c r="G61" s="117"/>
      <c r="H61" s="118"/>
      <c r="I61" s="132">
        <v>0</v>
      </c>
      <c r="J61" s="120">
        <v>0</v>
      </c>
      <c r="K61" s="120">
        <v>1000</v>
      </c>
      <c r="L61" s="120" t="s">
        <v>87</v>
      </c>
      <c r="M61" s="120">
        <v>1</v>
      </c>
      <c r="N61" s="121"/>
      <c r="O61" s="121" t="str">
        <f t="shared" si="0"/>
        <v>IF_CommPara[131]</v>
      </c>
    </row>
    <row r="62" spans="1:15" ht="15" customHeight="1" x14ac:dyDescent="0.45">
      <c r="A62" s="116" t="s">
        <v>569</v>
      </c>
      <c r="B62" s="234"/>
      <c r="C62" s="231"/>
      <c r="D62" s="234"/>
      <c r="E62" s="116">
        <v>132</v>
      </c>
      <c r="F62" s="168" t="s">
        <v>447</v>
      </c>
      <c r="G62" s="117"/>
      <c r="H62" s="118"/>
      <c r="I62" s="132">
        <v>0</v>
      </c>
      <c r="J62" s="120">
        <v>0</v>
      </c>
      <c r="K62" s="120">
        <v>1000</v>
      </c>
      <c r="L62" s="120" t="s">
        <v>87</v>
      </c>
      <c r="M62" s="120">
        <v>1</v>
      </c>
      <c r="N62" s="121"/>
      <c r="O62" s="121" t="str">
        <f t="shared" si="0"/>
        <v>IF_CommPara[132]</v>
      </c>
    </row>
    <row r="63" spans="1:15" ht="15" customHeight="1" x14ac:dyDescent="0.45">
      <c r="A63" s="116" t="s">
        <v>569</v>
      </c>
      <c r="B63" s="234"/>
      <c r="C63" s="231"/>
      <c r="D63" s="234"/>
      <c r="E63" s="116">
        <v>133</v>
      </c>
      <c r="F63" s="168" t="s">
        <v>448</v>
      </c>
      <c r="G63" s="117"/>
      <c r="H63" s="118"/>
      <c r="I63" s="132">
        <v>0</v>
      </c>
      <c r="J63" s="120">
        <v>0</v>
      </c>
      <c r="K63" s="120">
        <v>1000</v>
      </c>
      <c r="L63" s="120" t="s">
        <v>87</v>
      </c>
      <c r="M63" s="120">
        <v>1</v>
      </c>
      <c r="N63" s="121"/>
      <c r="O63" s="121" t="str">
        <f t="shared" si="0"/>
        <v>IF_CommPara[133]</v>
      </c>
    </row>
    <row r="64" spans="1:15" ht="15" customHeight="1" x14ac:dyDescent="0.45">
      <c r="A64" s="122" t="s">
        <v>569</v>
      </c>
      <c r="B64" s="234"/>
      <c r="C64" s="231"/>
      <c r="D64" s="235"/>
      <c r="E64" s="122">
        <v>134</v>
      </c>
      <c r="F64" s="169" t="s">
        <v>505</v>
      </c>
      <c r="G64" s="123"/>
      <c r="H64" s="124"/>
      <c r="I64" s="134">
        <v>0</v>
      </c>
      <c r="J64" s="126">
        <v>0</v>
      </c>
      <c r="K64" s="126">
        <v>1000</v>
      </c>
      <c r="L64" s="126" t="s">
        <v>87</v>
      </c>
      <c r="M64" s="126">
        <v>1</v>
      </c>
      <c r="N64" s="127"/>
      <c r="O64" s="127" t="str">
        <f t="shared" si="0"/>
        <v>IF_CommPara[134]</v>
      </c>
    </row>
    <row r="65" spans="1:15" ht="17.399999999999999" customHeight="1" x14ac:dyDescent="0.45">
      <c r="A65" s="129">
        <v>11</v>
      </c>
      <c r="B65" s="234"/>
      <c r="C65" s="231"/>
      <c r="D65" s="236" t="s">
        <v>586</v>
      </c>
      <c r="E65" s="129">
        <v>135</v>
      </c>
      <c r="F65" s="170" t="s">
        <v>65</v>
      </c>
      <c r="G65" s="131" t="s">
        <v>32</v>
      </c>
      <c r="H65" s="36" t="s">
        <v>33</v>
      </c>
      <c r="I65" s="37">
        <v>10</v>
      </c>
      <c r="J65" s="35">
        <v>0</v>
      </c>
      <c r="K65" s="35">
        <v>100</v>
      </c>
      <c r="L65" s="35" t="s">
        <v>8</v>
      </c>
      <c r="M65" s="35">
        <v>100</v>
      </c>
      <c r="N65" s="138"/>
      <c r="O65" s="138" t="str">
        <f t="shared" si="0"/>
        <v>IF_CommPara[135]</v>
      </c>
    </row>
    <row r="66" spans="1:15" ht="15" customHeight="1" x14ac:dyDescent="0.45">
      <c r="A66" s="116">
        <v>11</v>
      </c>
      <c r="B66" s="234"/>
      <c r="C66" s="231"/>
      <c r="D66" s="234"/>
      <c r="E66" s="116">
        <v>136</v>
      </c>
      <c r="F66" s="168" t="s">
        <v>66</v>
      </c>
      <c r="G66" s="117" t="s">
        <v>29</v>
      </c>
      <c r="H66" s="118" t="s">
        <v>14</v>
      </c>
      <c r="I66" s="132">
        <v>600</v>
      </c>
      <c r="J66" s="120">
        <v>0</v>
      </c>
      <c r="K66" s="120">
        <v>3600</v>
      </c>
      <c r="L66" s="120" t="s">
        <v>30</v>
      </c>
      <c r="M66" s="120">
        <v>10</v>
      </c>
      <c r="N66" s="121" t="s">
        <v>45</v>
      </c>
      <c r="O66" s="121" t="str">
        <f t="shared" si="0"/>
        <v>IF_CommPara[136]</v>
      </c>
    </row>
    <row r="67" spans="1:15" ht="15" customHeight="1" x14ac:dyDescent="0.45">
      <c r="A67" s="116" t="s">
        <v>569</v>
      </c>
      <c r="B67" s="234"/>
      <c r="C67" s="231"/>
      <c r="D67" s="234"/>
      <c r="E67" s="116">
        <v>137</v>
      </c>
      <c r="F67" s="168" t="s">
        <v>449</v>
      </c>
      <c r="G67" s="117"/>
      <c r="H67" s="118"/>
      <c r="I67" s="132">
        <v>0</v>
      </c>
      <c r="J67" s="120">
        <v>0</v>
      </c>
      <c r="K67" s="120">
        <v>1000</v>
      </c>
      <c r="L67" s="120" t="s">
        <v>87</v>
      </c>
      <c r="M67" s="120">
        <v>1</v>
      </c>
      <c r="N67" s="121"/>
      <c r="O67" s="121" t="str">
        <f t="shared" si="0"/>
        <v>IF_CommPara[137]</v>
      </c>
    </row>
    <row r="68" spans="1:15" ht="15" customHeight="1" x14ac:dyDescent="0.45">
      <c r="A68" s="116" t="s">
        <v>569</v>
      </c>
      <c r="B68" s="234"/>
      <c r="C68" s="231"/>
      <c r="D68" s="234"/>
      <c r="E68" s="116">
        <v>138</v>
      </c>
      <c r="F68" s="168" t="s">
        <v>506</v>
      </c>
      <c r="G68" s="117"/>
      <c r="H68" s="118"/>
      <c r="I68" s="132">
        <v>0</v>
      </c>
      <c r="J68" s="120">
        <v>0</v>
      </c>
      <c r="K68" s="120">
        <v>1000</v>
      </c>
      <c r="L68" s="120" t="s">
        <v>87</v>
      </c>
      <c r="M68" s="120">
        <v>1</v>
      </c>
      <c r="N68" s="121"/>
      <c r="O68" s="121" t="str">
        <f t="shared" si="0"/>
        <v>IF_CommPara[138]</v>
      </c>
    </row>
    <row r="69" spans="1:15" ht="15" customHeight="1" x14ac:dyDescent="0.45">
      <c r="A69" s="122" t="s">
        <v>569</v>
      </c>
      <c r="B69" s="234"/>
      <c r="C69" s="231"/>
      <c r="D69" s="235"/>
      <c r="E69" s="122">
        <v>139</v>
      </c>
      <c r="F69" s="169" t="s">
        <v>507</v>
      </c>
      <c r="G69" s="123"/>
      <c r="H69" s="124"/>
      <c r="I69" s="134">
        <v>0</v>
      </c>
      <c r="J69" s="126">
        <v>0</v>
      </c>
      <c r="K69" s="126">
        <v>1000</v>
      </c>
      <c r="L69" s="126" t="s">
        <v>87</v>
      </c>
      <c r="M69" s="126">
        <v>1</v>
      </c>
      <c r="N69" s="127"/>
      <c r="O69" s="127" t="str">
        <f t="shared" ref="O69:O112" si="1">CONCATENATE("IF_CommPara[",E69,"]")</f>
        <v>IF_CommPara[139]</v>
      </c>
    </row>
    <row r="70" spans="1:15" ht="15" customHeight="1" x14ac:dyDescent="0.45">
      <c r="A70" s="72" t="s">
        <v>569</v>
      </c>
      <c r="B70" s="234"/>
      <c r="C70" s="231"/>
      <c r="D70" s="238" t="s">
        <v>587</v>
      </c>
      <c r="E70" s="72">
        <v>140</v>
      </c>
      <c r="F70" s="68" t="s">
        <v>450</v>
      </c>
      <c r="G70" s="51"/>
      <c r="H70" s="47"/>
      <c r="I70" s="48">
        <v>0</v>
      </c>
      <c r="J70" s="46">
        <v>0</v>
      </c>
      <c r="K70" s="46">
        <v>1000</v>
      </c>
      <c r="L70" s="46" t="s">
        <v>87</v>
      </c>
      <c r="M70" s="46">
        <v>1</v>
      </c>
      <c r="N70" s="49"/>
      <c r="O70" s="49" t="str">
        <f t="shared" si="1"/>
        <v>IF_CommPara[140]</v>
      </c>
    </row>
    <row r="71" spans="1:15" ht="15" customHeight="1" x14ac:dyDescent="0.45">
      <c r="A71" s="116" t="s">
        <v>569</v>
      </c>
      <c r="B71" s="234"/>
      <c r="C71" s="231"/>
      <c r="D71" s="234"/>
      <c r="E71" s="116">
        <v>141</v>
      </c>
      <c r="F71" s="168" t="s">
        <v>451</v>
      </c>
      <c r="G71" s="117"/>
      <c r="H71" s="118"/>
      <c r="I71" s="132">
        <v>0</v>
      </c>
      <c r="J71" s="120">
        <v>0</v>
      </c>
      <c r="K71" s="120">
        <v>1000</v>
      </c>
      <c r="L71" s="120" t="s">
        <v>87</v>
      </c>
      <c r="M71" s="120">
        <v>1</v>
      </c>
      <c r="N71" s="121"/>
      <c r="O71" s="121" t="str">
        <f t="shared" si="1"/>
        <v>IF_CommPara[141]</v>
      </c>
    </row>
    <row r="72" spans="1:15" ht="15" customHeight="1" x14ac:dyDescent="0.45">
      <c r="A72" s="116" t="s">
        <v>569</v>
      </c>
      <c r="B72" s="234"/>
      <c r="C72" s="231"/>
      <c r="D72" s="234"/>
      <c r="E72" s="116">
        <v>142</v>
      </c>
      <c r="F72" s="168" t="s">
        <v>452</v>
      </c>
      <c r="G72" s="117"/>
      <c r="H72" s="118"/>
      <c r="I72" s="132">
        <v>0</v>
      </c>
      <c r="J72" s="120">
        <v>0</v>
      </c>
      <c r="K72" s="120">
        <v>1000</v>
      </c>
      <c r="L72" s="120" t="s">
        <v>87</v>
      </c>
      <c r="M72" s="120">
        <v>1</v>
      </c>
      <c r="N72" s="121"/>
      <c r="O72" s="121" t="str">
        <f t="shared" si="1"/>
        <v>IF_CommPara[142]</v>
      </c>
    </row>
    <row r="73" spans="1:15" ht="15" customHeight="1" x14ac:dyDescent="0.45">
      <c r="A73" s="116" t="s">
        <v>569</v>
      </c>
      <c r="B73" s="234"/>
      <c r="C73" s="231"/>
      <c r="D73" s="234"/>
      <c r="E73" s="116">
        <v>143</v>
      </c>
      <c r="F73" s="168" t="s">
        <v>453</v>
      </c>
      <c r="G73" s="117"/>
      <c r="H73" s="118"/>
      <c r="I73" s="132">
        <v>0</v>
      </c>
      <c r="J73" s="120">
        <v>0</v>
      </c>
      <c r="K73" s="120">
        <v>1000</v>
      </c>
      <c r="L73" s="120" t="s">
        <v>87</v>
      </c>
      <c r="M73" s="120">
        <v>1</v>
      </c>
      <c r="N73" s="121"/>
      <c r="O73" s="121" t="str">
        <f t="shared" si="1"/>
        <v>IF_CommPara[143]</v>
      </c>
    </row>
    <row r="74" spans="1:15" ht="15" customHeight="1" x14ac:dyDescent="0.45">
      <c r="A74" s="122" t="s">
        <v>569</v>
      </c>
      <c r="B74" s="234"/>
      <c r="C74" s="231"/>
      <c r="D74" s="235"/>
      <c r="E74" s="122">
        <v>144</v>
      </c>
      <c r="F74" s="169" t="s">
        <v>454</v>
      </c>
      <c r="G74" s="123"/>
      <c r="H74" s="124"/>
      <c r="I74" s="134">
        <v>0</v>
      </c>
      <c r="J74" s="126">
        <v>0</v>
      </c>
      <c r="K74" s="126">
        <v>1000</v>
      </c>
      <c r="L74" s="126" t="s">
        <v>87</v>
      </c>
      <c r="M74" s="126">
        <v>1</v>
      </c>
      <c r="N74" s="127"/>
      <c r="O74" s="127" t="str">
        <f t="shared" si="1"/>
        <v>IF_CommPara[144]</v>
      </c>
    </row>
    <row r="75" spans="1:15" ht="15" customHeight="1" x14ac:dyDescent="0.45">
      <c r="A75" s="72" t="s">
        <v>569</v>
      </c>
      <c r="B75" s="234"/>
      <c r="C75" s="231"/>
      <c r="D75" s="238" t="s">
        <v>588</v>
      </c>
      <c r="E75" s="72">
        <v>145</v>
      </c>
      <c r="F75" s="68" t="s">
        <v>455</v>
      </c>
      <c r="G75" s="51"/>
      <c r="H75" s="47"/>
      <c r="I75" s="48">
        <v>0</v>
      </c>
      <c r="J75" s="46">
        <v>0</v>
      </c>
      <c r="K75" s="46">
        <v>1000</v>
      </c>
      <c r="L75" s="46" t="s">
        <v>87</v>
      </c>
      <c r="M75" s="46">
        <v>1</v>
      </c>
      <c r="N75" s="49"/>
      <c r="O75" s="49" t="str">
        <f t="shared" si="1"/>
        <v>IF_CommPara[145]</v>
      </c>
    </row>
    <row r="76" spans="1:15" ht="15" customHeight="1" x14ac:dyDescent="0.45">
      <c r="A76" s="116" t="s">
        <v>569</v>
      </c>
      <c r="B76" s="234"/>
      <c r="C76" s="231"/>
      <c r="D76" s="234"/>
      <c r="E76" s="116">
        <v>146</v>
      </c>
      <c r="F76" s="168" t="s">
        <v>456</v>
      </c>
      <c r="G76" s="117"/>
      <c r="H76" s="118"/>
      <c r="I76" s="132">
        <v>0</v>
      </c>
      <c r="J76" s="120">
        <v>0</v>
      </c>
      <c r="K76" s="120">
        <v>1000</v>
      </c>
      <c r="L76" s="120" t="s">
        <v>87</v>
      </c>
      <c r="M76" s="120">
        <v>1</v>
      </c>
      <c r="N76" s="121"/>
      <c r="O76" s="121" t="str">
        <f t="shared" si="1"/>
        <v>IF_CommPara[146]</v>
      </c>
    </row>
    <row r="77" spans="1:15" ht="15" customHeight="1" x14ac:dyDescent="0.45">
      <c r="A77" s="116" t="s">
        <v>569</v>
      </c>
      <c r="B77" s="234"/>
      <c r="C77" s="231"/>
      <c r="D77" s="234"/>
      <c r="E77" s="116">
        <v>147</v>
      </c>
      <c r="F77" s="168" t="s">
        <v>457</v>
      </c>
      <c r="G77" s="117"/>
      <c r="H77" s="118"/>
      <c r="I77" s="132">
        <v>0</v>
      </c>
      <c r="J77" s="120">
        <v>0</v>
      </c>
      <c r="K77" s="120">
        <v>1000</v>
      </c>
      <c r="L77" s="120" t="s">
        <v>87</v>
      </c>
      <c r="M77" s="120">
        <v>1</v>
      </c>
      <c r="N77" s="121"/>
      <c r="O77" s="121" t="str">
        <f t="shared" si="1"/>
        <v>IF_CommPara[147]</v>
      </c>
    </row>
    <row r="78" spans="1:15" ht="15" customHeight="1" x14ac:dyDescent="0.45">
      <c r="A78" s="116" t="s">
        <v>569</v>
      </c>
      <c r="B78" s="234"/>
      <c r="C78" s="231"/>
      <c r="D78" s="234"/>
      <c r="E78" s="116">
        <v>148</v>
      </c>
      <c r="F78" s="168" t="s">
        <v>458</v>
      </c>
      <c r="G78" s="117"/>
      <c r="H78" s="118"/>
      <c r="I78" s="132">
        <v>0</v>
      </c>
      <c r="J78" s="120">
        <v>0</v>
      </c>
      <c r="K78" s="120">
        <v>1000</v>
      </c>
      <c r="L78" s="120" t="s">
        <v>87</v>
      </c>
      <c r="M78" s="120">
        <v>1</v>
      </c>
      <c r="N78" s="121"/>
      <c r="O78" s="121" t="str">
        <f t="shared" si="1"/>
        <v>IF_CommPara[148]</v>
      </c>
    </row>
    <row r="79" spans="1:15" ht="15.65" customHeight="1" thickBot="1" x14ac:dyDescent="0.5">
      <c r="A79" s="139" t="s">
        <v>569</v>
      </c>
      <c r="B79" s="234"/>
      <c r="C79" s="231"/>
      <c r="D79" s="237"/>
      <c r="E79" s="139">
        <v>149</v>
      </c>
      <c r="F79" s="171" t="s">
        <v>459</v>
      </c>
      <c r="G79" s="140"/>
      <c r="H79" s="141"/>
      <c r="I79" s="142">
        <v>0</v>
      </c>
      <c r="J79" s="143">
        <v>0</v>
      </c>
      <c r="K79" s="143">
        <v>1000</v>
      </c>
      <c r="L79" s="143" t="s">
        <v>87</v>
      </c>
      <c r="M79" s="143">
        <v>1</v>
      </c>
      <c r="N79" s="144"/>
      <c r="O79" s="144" t="str">
        <f t="shared" si="1"/>
        <v>IF_CommPara[149]</v>
      </c>
    </row>
    <row r="80" spans="1:15" ht="15.65" customHeight="1" x14ac:dyDescent="0.45">
      <c r="A80" s="110" t="s">
        <v>569</v>
      </c>
      <c r="B80" s="234"/>
      <c r="C80" s="230" t="s">
        <v>600</v>
      </c>
      <c r="D80" s="233" t="s">
        <v>613</v>
      </c>
      <c r="E80" s="110">
        <v>150</v>
      </c>
      <c r="F80" s="167" t="s">
        <v>573</v>
      </c>
      <c r="G80" s="111"/>
      <c r="H80" s="112"/>
      <c r="I80" s="145"/>
      <c r="J80" s="114"/>
      <c r="K80" s="114"/>
      <c r="L80" s="114"/>
      <c r="M80" s="114"/>
      <c r="N80" s="115"/>
      <c r="O80" s="115" t="str">
        <f t="shared" si="1"/>
        <v>IF_CommPara[150]</v>
      </c>
    </row>
    <row r="81" spans="1:15" ht="15.65" customHeight="1" x14ac:dyDescent="0.45">
      <c r="A81" s="116" t="s">
        <v>569</v>
      </c>
      <c r="B81" s="234"/>
      <c r="C81" s="231"/>
      <c r="D81" s="234"/>
      <c r="E81" s="116">
        <v>151</v>
      </c>
      <c r="F81" s="168" t="s">
        <v>572</v>
      </c>
      <c r="G81" s="117"/>
      <c r="H81" s="118"/>
      <c r="I81" s="132"/>
      <c r="J81" s="120"/>
      <c r="K81" s="120"/>
      <c r="L81" s="120"/>
      <c r="M81" s="120"/>
      <c r="N81" s="121"/>
      <c r="O81" s="121" t="str">
        <f t="shared" si="1"/>
        <v>IF_CommPara[151]</v>
      </c>
    </row>
    <row r="82" spans="1:15" ht="15.65" customHeight="1" x14ac:dyDescent="0.45">
      <c r="A82" s="116" t="s">
        <v>569</v>
      </c>
      <c r="B82" s="234"/>
      <c r="C82" s="231"/>
      <c r="D82" s="234"/>
      <c r="E82" s="116">
        <v>152</v>
      </c>
      <c r="F82" s="168" t="s">
        <v>574</v>
      </c>
      <c r="G82" s="117"/>
      <c r="H82" s="118"/>
      <c r="I82" s="132"/>
      <c r="J82" s="120"/>
      <c r="K82" s="120"/>
      <c r="L82" s="120"/>
      <c r="M82" s="120"/>
      <c r="N82" s="121"/>
      <c r="O82" s="121" t="str">
        <f t="shared" si="1"/>
        <v>IF_CommPara[152]</v>
      </c>
    </row>
    <row r="83" spans="1:15" ht="15.65" customHeight="1" x14ac:dyDescent="0.45">
      <c r="A83" s="116" t="s">
        <v>569</v>
      </c>
      <c r="B83" s="234"/>
      <c r="C83" s="231"/>
      <c r="D83" s="234"/>
      <c r="E83" s="116">
        <v>153</v>
      </c>
      <c r="F83" s="168" t="s">
        <v>575</v>
      </c>
      <c r="G83" s="117"/>
      <c r="H83" s="118"/>
      <c r="I83" s="132"/>
      <c r="J83" s="120"/>
      <c r="K83" s="120"/>
      <c r="L83" s="120"/>
      <c r="M83" s="120"/>
      <c r="N83" s="121"/>
      <c r="O83" s="121" t="str">
        <f t="shared" si="1"/>
        <v>IF_CommPara[153]</v>
      </c>
    </row>
    <row r="84" spans="1:15" ht="15.65" customHeight="1" x14ac:dyDescent="0.45">
      <c r="A84" s="122" t="s">
        <v>569</v>
      </c>
      <c r="B84" s="234"/>
      <c r="C84" s="231"/>
      <c r="D84" s="235"/>
      <c r="E84" s="122">
        <v>154</v>
      </c>
      <c r="F84" s="169" t="s">
        <v>576</v>
      </c>
      <c r="G84" s="123"/>
      <c r="H84" s="124"/>
      <c r="I84" s="134"/>
      <c r="J84" s="126"/>
      <c r="K84" s="126"/>
      <c r="L84" s="126"/>
      <c r="M84" s="126"/>
      <c r="N84" s="127"/>
      <c r="O84" s="127" t="str">
        <f t="shared" si="1"/>
        <v>IF_CommPara[154]</v>
      </c>
    </row>
    <row r="85" spans="1:15" ht="17.399999999999999" customHeight="1" x14ac:dyDescent="0.45">
      <c r="A85" s="72">
        <v>12</v>
      </c>
      <c r="B85" s="234"/>
      <c r="C85" s="231"/>
      <c r="D85" s="236" t="s">
        <v>589</v>
      </c>
      <c r="E85" s="72">
        <v>155</v>
      </c>
      <c r="F85" s="68" t="s">
        <v>35</v>
      </c>
      <c r="G85" s="51" t="s">
        <v>235</v>
      </c>
      <c r="H85" s="47" t="s">
        <v>36</v>
      </c>
      <c r="I85" s="48">
        <v>600</v>
      </c>
      <c r="J85" s="46">
        <v>0</v>
      </c>
      <c r="K85" s="46">
        <v>3600</v>
      </c>
      <c r="L85" s="46" t="s">
        <v>30</v>
      </c>
      <c r="M85" s="46">
        <v>10</v>
      </c>
      <c r="N85" s="49" t="s">
        <v>45</v>
      </c>
      <c r="O85" s="49" t="str">
        <f t="shared" si="1"/>
        <v>IF_CommPara[155]</v>
      </c>
    </row>
    <row r="86" spans="1:15" ht="15" customHeight="1" x14ac:dyDescent="0.45">
      <c r="A86" s="116" t="s">
        <v>569</v>
      </c>
      <c r="B86" s="234"/>
      <c r="C86" s="231"/>
      <c r="D86" s="234"/>
      <c r="E86" s="116">
        <v>156</v>
      </c>
      <c r="F86" s="168" t="s">
        <v>460</v>
      </c>
      <c r="G86" s="117"/>
      <c r="H86" s="118"/>
      <c r="I86" s="132">
        <v>0</v>
      </c>
      <c r="J86" s="120">
        <v>0</v>
      </c>
      <c r="K86" s="120">
        <v>1000</v>
      </c>
      <c r="L86" s="120" t="s">
        <v>87</v>
      </c>
      <c r="M86" s="120">
        <v>1</v>
      </c>
      <c r="N86" s="121"/>
      <c r="O86" s="121" t="str">
        <f t="shared" si="1"/>
        <v>IF_CommPara[156]</v>
      </c>
    </row>
    <row r="87" spans="1:15" ht="15" customHeight="1" x14ac:dyDescent="0.45">
      <c r="A87" s="116" t="s">
        <v>569</v>
      </c>
      <c r="B87" s="234"/>
      <c r="C87" s="231"/>
      <c r="D87" s="234"/>
      <c r="E87" s="116">
        <v>157</v>
      </c>
      <c r="F87" s="168" t="s">
        <v>461</v>
      </c>
      <c r="G87" s="117"/>
      <c r="H87" s="118"/>
      <c r="I87" s="132">
        <v>0</v>
      </c>
      <c r="J87" s="120">
        <v>0</v>
      </c>
      <c r="K87" s="120">
        <v>1000</v>
      </c>
      <c r="L87" s="120" t="s">
        <v>87</v>
      </c>
      <c r="M87" s="120">
        <v>1</v>
      </c>
      <c r="N87" s="121"/>
      <c r="O87" s="121" t="str">
        <f t="shared" si="1"/>
        <v>IF_CommPara[157]</v>
      </c>
    </row>
    <row r="88" spans="1:15" ht="15" customHeight="1" x14ac:dyDescent="0.45">
      <c r="A88" s="116" t="s">
        <v>569</v>
      </c>
      <c r="B88" s="234"/>
      <c r="C88" s="231"/>
      <c r="D88" s="234"/>
      <c r="E88" s="116">
        <v>158</v>
      </c>
      <c r="F88" s="168" t="s">
        <v>462</v>
      </c>
      <c r="G88" s="117"/>
      <c r="H88" s="118"/>
      <c r="I88" s="132">
        <v>0</v>
      </c>
      <c r="J88" s="120">
        <v>0</v>
      </c>
      <c r="K88" s="120">
        <v>1000</v>
      </c>
      <c r="L88" s="120" t="s">
        <v>87</v>
      </c>
      <c r="M88" s="120">
        <v>1</v>
      </c>
      <c r="N88" s="121"/>
      <c r="O88" s="121" t="str">
        <f t="shared" si="1"/>
        <v>IF_CommPara[158]</v>
      </c>
    </row>
    <row r="89" spans="1:15" ht="15" customHeight="1" x14ac:dyDescent="0.45">
      <c r="A89" s="122" t="s">
        <v>569</v>
      </c>
      <c r="B89" s="234"/>
      <c r="C89" s="231"/>
      <c r="D89" s="235"/>
      <c r="E89" s="122">
        <v>159</v>
      </c>
      <c r="F89" s="169" t="s">
        <v>508</v>
      </c>
      <c r="G89" s="123"/>
      <c r="H89" s="124"/>
      <c r="I89" s="134">
        <v>0</v>
      </c>
      <c r="J89" s="126">
        <v>0</v>
      </c>
      <c r="K89" s="126">
        <v>1000</v>
      </c>
      <c r="L89" s="126" t="s">
        <v>87</v>
      </c>
      <c r="M89" s="126">
        <v>1</v>
      </c>
      <c r="N89" s="127"/>
      <c r="O89" s="127" t="str">
        <f t="shared" si="1"/>
        <v>IF_CommPara[159]</v>
      </c>
    </row>
    <row r="90" spans="1:15" ht="17.399999999999999" customHeight="1" x14ac:dyDescent="0.45">
      <c r="A90" s="129">
        <v>12</v>
      </c>
      <c r="B90" s="234"/>
      <c r="C90" s="231"/>
      <c r="D90" s="236" t="s">
        <v>592</v>
      </c>
      <c r="E90" s="129">
        <v>160</v>
      </c>
      <c r="F90" s="170" t="s">
        <v>232</v>
      </c>
      <c r="G90" s="131" t="s">
        <v>233</v>
      </c>
      <c r="H90" s="146" t="s">
        <v>236</v>
      </c>
      <c r="I90" s="37">
        <v>36000</v>
      </c>
      <c r="J90" s="35">
        <v>0</v>
      </c>
      <c r="K90" s="35">
        <v>65000</v>
      </c>
      <c r="L90" s="35" t="s">
        <v>30</v>
      </c>
      <c r="M90" s="35">
        <v>1</v>
      </c>
      <c r="N90" s="138"/>
      <c r="O90" s="138" t="str">
        <f t="shared" si="1"/>
        <v>IF_CommPara[160]</v>
      </c>
    </row>
    <row r="91" spans="1:15" ht="15" customHeight="1" x14ac:dyDescent="0.45">
      <c r="A91" s="147">
        <v>12</v>
      </c>
      <c r="B91" s="234"/>
      <c r="C91" s="231"/>
      <c r="D91" s="234"/>
      <c r="E91" s="147">
        <v>161</v>
      </c>
      <c r="F91" s="172" t="s">
        <v>229</v>
      </c>
      <c r="G91" s="51" t="s">
        <v>230</v>
      </c>
      <c r="H91" s="47" t="s">
        <v>231</v>
      </c>
      <c r="I91" s="48">
        <v>3</v>
      </c>
      <c r="J91" s="46">
        <v>0</v>
      </c>
      <c r="K91" s="46">
        <v>100</v>
      </c>
      <c r="L91" s="120" t="s">
        <v>30</v>
      </c>
      <c r="M91" s="120">
        <v>10</v>
      </c>
      <c r="N91" s="49"/>
      <c r="O91" s="49" t="str">
        <f t="shared" si="1"/>
        <v>IF_CommPara[161]</v>
      </c>
    </row>
    <row r="92" spans="1:15" ht="17.399999999999999" customHeight="1" x14ac:dyDescent="0.45">
      <c r="A92" s="147">
        <v>12</v>
      </c>
      <c r="B92" s="234"/>
      <c r="C92" s="231"/>
      <c r="D92" s="234"/>
      <c r="E92" s="147">
        <v>162</v>
      </c>
      <c r="F92" s="172" t="s">
        <v>491</v>
      </c>
      <c r="G92" s="51" t="s">
        <v>493</v>
      </c>
      <c r="H92" s="47" t="s">
        <v>239</v>
      </c>
      <c r="I92" s="48">
        <v>120</v>
      </c>
      <c r="J92" s="46">
        <v>0</v>
      </c>
      <c r="K92" s="46">
        <v>3600</v>
      </c>
      <c r="L92" s="120" t="s">
        <v>30</v>
      </c>
      <c r="M92" s="120">
        <v>10</v>
      </c>
      <c r="N92" s="49"/>
      <c r="O92" s="49" t="str">
        <f t="shared" si="1"/>
        <v>IF_CommPara[162]</v>
      </c>
    </row>
    <row r="93" spans="1:15" ht="17.399999999999999" customHeight="1" x14ac:dyDescent="0.45">
      <c r="A93" s="147">
        <v>12</v>
      </c>
      <c r="B93" s="234"/>
      <c r="C93" s="231"/>
      <c r="D93" s="234"/>
      <c r="E93" s="147">
        <v>163</v>
      </c>
      <c r="F93" s="172" t="s">
        <v>492</v>
      </c>
      <c r="G93" s="51" t="s">
        <v>494</v>
      </c>
      <c r="H93" s="47" t="s">
        <v>238</v>
      </c>
      <c r="I93" s="48">
        <v>120</v>
      </c>
      <c r="J93" s="46">
        <v>0</v>
      </c>
      <c r="K93" s="46">
        <v>3600</v>
      </c>
      <c r="L93" s="120" t="s">
        <v>30</v>
      </c>
      <c r="M93" s="120">
        <v>10</v>
      </c>
      <c r="N93" s="49"/>
      <c r="O93" s="49" t="str">
        <f t="shared" si="1"/>
        <v>IF_CommPara[163]</v>
      </c>
    </row>
    <row r="94" spans="1:15" ht="17.399999999999999" customHeight="1" x14ac:dyDescent="0.45">
      <c r="A94" s="116">
        <v>12</v>
      </c>
      <c r="B94" s="234"/>
      <c r="C94" s="231"/>
      <c r="D94" s="234"/>
      <c r="E94" s="116">
        <v>164</v>
      </c>
      <c r="F94" s="168" t="s">
        <v>51</v>
      </c>
      <c r="G94" s="117" t="s">
        <v>46</v>
      </c>
      <c r="H94" s="118" t="s">
        <v>48</v>
      </c>
      <c r="I94" s="132">
        <v>20</v>
      </c>
      <c r="J94" s="120">
        <v>0</v>
      </c>
      <c r="K94" s="120">
        <v>100</v>
      </c>
      <c r="L94" s="120" t="s">
        <v>54</v>
      </c>
      <c r="M94" s="120">
        <v>100</v>
      </c>
      <c r="N94" s="121"/>
      <c r="O94" s="121" t="str">
        <f t="shared" si="1"/>
        <v>IF_CommPara[164]</v>
      </c>
    </row>
    <row r="95" spans="1:15" ht="17.399999999999999" customHeight="1" x14ac:dyDescent="0.45">
      <c r="A95" s="116">
        <v>12</v>
      </c>
      <c r="B95" s="234"/>
      <c r="C95" s="231"/>
      <c r="D95" s="234"/>
      <c r="E95" s="116">
        <v>165</v>
      </c>
      <c r="F95" s="168" t="s">
        <v>50</v>
      </c>
      <c r="G95" s="117" t="s">
        <v>47</v>
      </c>
      <c r="H95" s="118" t="s">
        <v>49</v>
      </c>
      <c r="I95" s="132">
        <v>10</v>
      </c>
      <c r="J95" s="120">
        <v>0</v>
      </c>
      <c r="K95" s="120">
        <v>100</v>
      </c>
      <c r="L95" s="120" t="s">
        <v>54</v>
      </c>
      <c r="M95" s="120">
        <v>100</v>
      </c>
      <c r="N95" s="121"/>
      <c r="O95" s="121" t="str">
        <f t="shared" si="1"/>
        <v>IF_CommPara[165]</v>
      </c>
    </row>
    <row r="96" spans="1:15" ht="17.399999999999999" customHeight="1" x14ac:dyDescent="0.45">
      <c r="A96" s="116">
        <v>12</v>
      </c>
      <c r="B96" s="234"/>
      <c r="C96" s="231"/>
      <c r="D96" s="234"/>
      <c r="E96" s="116">
        <v>166</v>
      </c>
      <c r="F96" s="168" t="s">
        <v>97</v>
      </c>
      <c r="G96" s="117" t="s">
        <v>306</v>
      </c>
      <c r="H96" s="118" t="s">
        <v>101</v>
      </c>
      <c r="I96" s="132">
        <v>1.5</v>
      </c>
      <c r="J96" s="120" t="s">
        <v>6</v>
      </c>
      <c r="K96" s="120" t="s">
        <v>6</v>
      </c>
      <c r="L96" s="120" t="s">
        <v>6</v>
      </c>
      <c r="M96" s="120">
        <v>100</v>
      </c>
      <c r="N96" s="148" t="s">
        <v>213</v>
      </c>
      <c r="O96" s="148" t="str">
        <f t="shared" si="1"/>
        <v>IF_CommPara[166]</v>
      </c>
    </row>
    <row r="97" spans="1:15" ht="17.399999999999999" customHeight="1" x14ac:dyDescent="0.45">
      <c r="A97" s="116">
        <v>12</v>
      </c>
      <c r="B97" s="234"/>
      <c r="C97" s="231"/>
      <c r="D97" s="234"/>
      <c r="E97" s="116">
        <v>167</v>
      </c>
      <c r="F97" s="168" t="s">
        <v>210</v>
      </c>
      <c r="G97" s="149" t="s">
        <v>237</v>
      </c>
      <c r="H97" s="118" t="s">
        <v>211</v>
      </c>
      <c r="I97" s="120">
        <v>3</v>
      </c>
      <c r="J97" s="120">
        <v>0</v>
      </c>
      <c r="K97" s="120">
        <v>100</v>
      </c>
      <c r="L97" s="120" t="s">
        <v>54</v>
      </c>
      <c r="M97" s="120">
        <v>100</v>
      </c>
      <c r="N97" s="148" t="s">
        <v>214</v>
      </c>
      <c r="O97" s="148" t="str">
        <f t="shared" si="1"/>
        <v>IF_CommPara[167]</v>
      </c>
    </row>
    <row r="98" spans="1:15" ht="15" customHeight="1" x14ac:dyDescent="0.45">
      <c r="A98" s="150">
        <v>12</v>
      </c>
      <c r="B98" s="234"/>
      <c r="C98" s="231"/>
      <c r="D98" s="234"/>
      <c r="E98" s="150">
        <v>168</v>
      </c>
      <c r="F98" s="173" t="s">
        <v>98</v>
      </c>
      <c r="G98" s="149" t="s">
        <v>102</v>
      </c>
      <c r="H98" s="151"/>
      <c r="I98" s="120">
        <v>1.5</v>
      </c>
      <c r="J98" s="120">
        <v>0</v>
      </c>
      <c r="K98" s="120">
        <v>100</v>
      </c>
      <c r="L98" s="120" t="s">
        <v>54</v>
      </c>
      <c r="M98" s="120">
        <v>100</v>
      </c>
      <c r="N98" s="148" t="s">
        <v>213</v>
      </c>
      <c r="O98" s="148" t="str">
        <f t="shared" si="1"/>
        <v>IF_CommPara[168]</v>
      </c>
    </row>
    <row r="99" spans="1:15" ht="15" customHeight="1" x14ac:dyDescent="0.45">
      <c r="A99" s="150">
        <v>12</v>
      </c>
      <c r="B99" s="234"/>
      <c r="C99" s="231"/>
      <c r="D99" s="234"/>
      <c r="E99" s="150">
        <v>169</v>
      </c>
      <c r="F99" s="173" t="s">
        <v>99</v>
      </c>
      <c r="G99" s="149" t="s">
        <v>103</v>
      </c>
      <c r="H99" s="151"/>
      <c r="I99" s="48">
        <v>50</v>
      </c>
      <c r="J99" s="46">
        <v>0</v>
      </c>
      <c r="K99" s="46">
        <v>100</v>
      </c>
      <c r="L99" s="120" t="s">
        <v>8</v>
      </c>
      <c r="M99" s="120">
        <v>100</v>
      </c>
      <c r="N99" s="148" t="s">
        <v>215</v>
      </c>
      <c r="O99" s="148" t="str">
        <f t="shared" si="1"/>
        <v>IF_CommPara[169]</v>
      </c>
    </row>
    <row r="100" spans="1:15" ht="15" customHeight="1" x14ac:dyDescent="0.45">
      <c r="A100" s="116">
        <v>12</v>
      </c>
      <c r="B100" s="234"/>
      <c r="C100" s="231"/>
      <c r="D100" s="234"/>
      <c r="E100" s="116">
        <v>170</v>
      </c>
      <c r="F100" s="168" t="s">
        <v>100</v>
      </c>
      <c r="G100" s="117" t="s">
        <v>104</v>
      </c>
      <c r="H100" s="118"/>
      <c r="I100" s="48">
        <v>0</v>
      </c>
      <c r="J100" s="46">
        <v>0</v>
      </c>
      <c r="K100" s="46">
        <v>100</v>
      </c>
      <c r="L100" s="120" t="s">
        <v>8</v>
      </c>
      <c r="M100" s="120">
        <v>100</v>
      </c>
      <c r="N100" s="121" t="s">
        <v>215</v>
      </c>
      <c r="O100" s="121" t="str">
        <f t="shared" si="1"/>
        <v>IF_CommPara[170]</v>
      </c>
    </row>
    <row r="101" spans="1:15" ht="15" customHeight="1" x14ac:dyDescent="0.45">
      <c r="A101" s="72" t="s">
        <v>569</v>
      </c>
      <c r="B101" s="234"/>
      <c r="C101" s="231"/>
      <c r="D101" s="234"/>
      <c r="E101" s="72">
        <v>171</v>
      </c>
      <c r="F101" s="68" t="s">
        <v>546</v>
      </c>
      <c r="G101" s="51"/>
      <c r="H101" s="47"/>
      <c r="I101" s="48">
        <v>0</v>
      </c>
      <c r="J101" s="46">
        <v>0</v>
      </c>
      <c r="K101" s="46">
        <v>1000</v>
      </c>
      <c r="L101" s="120" t="s">
        <v>87</v>
      </c>
      <c r="M101" s="120">
        <v>1</v>
      </c>
      <c r="N101" s="49"/>
      <c r="O101" s="49" t="str">
        <f t="shared" si="1"/>
        <v>IF_CommPara[171]</v>
      </c>
    </row>
    <row r="102" spans="1:15" ht="15" customHeight="1" x14ac:dyDescent="0.45">
      <c r="A102" s="72" t="s">
        <v>569</v>
      </c>
      <c r="B102" s="234"/>
      <c r="C102" s="231"/>
      <c r="D102" s="234"/>
      <c r="E102" s="72">
        <v>172</v>
      </c>
      <c r="F102" s="68" t="s">
        <v>545</v>
      </c>
      <c r="G102" s="51"/>
      <c r="H102" s="47"/>
      <c r="I102" s="48">
        <v>0</v>
      </c>
      <c r="J102" s="46">
        <v>0</v>
      </c>
      <c r="K102" s="46">
        <v>1000</v>
      </c>
      <c r="L102" s="46" t="s">
        <v>87</v>
      </c>
      <c r="M102" s="46">
        <v>1</v>
      </c>
      <c r="N102" s="49"/>
      <c r="O102" s="49" t="str">
        <f t="shared" si="1"/>
        <v>IF_CommPara[172]</v>
      </c>
    </row>
    <row r="103" spans="1:15" ht="15" customHeight="1" x14ac:dyDescent="0.45">
      <c r="A103" s="72" t="s">
        <v>569</v>
      </c>
      <c r="B103" s="234"/>
      <c r="C103" s="231"/>
      <c r="D103" s="234"/>
      <c r="E103" s="72">
        <v>173</v>
      </c>
      <c r="F103" s="68" t="s">
        <v>544</v>
      </c>
      <c r="G103" s="51"/>
      <c r="H103" s="47"/>
      <c r="I103" s="48">
        <v>0</v>
      </c>
      <c r="J103" s="46">
        <v>0</v>
      </c>
      <c r="K103" s="46">
        <v>1000</v>
      </c>
      <c r="L103" s="46" t="s">
        <v>87</v>
      </c>
      <c r="M103" s="46">
        <v>1</v>
      </c>
      <c r="N103" s="49"/>
      <c r="O103" s="49" t="str">
        <f t="shared" si="1"/>
        <v>IF_CommPara[173]</v>
      </c>
    </row>
    <row r="104" spans="1:15" ht="15" customHeight="1" x14ac:dyDescent="0.45">
      <c r="A104" s="152" t="s">
        <v>569</v>
      </c>
      <c r="B104" s="234"/>
      <c r="C104" s="231"/>
      <c r="D104" s="235"/>
      <c r="E104" s="152">
        <v>174</v>
      </c>
      <c r="F104" s="174" t="s">
        <v>543</v>
      </c>
      <c r="G104" s="153"/>
      <c r="H104" s="154"/>
      <c r="I104" s="155">
        <v>0</v>
      </c>
      <c r="J104" s="156">
        <v>0</v>
      </c>
      <c r="K104" s="156">
        <v>1000</v>
      </c>
      <c r="L104" s="156" t="s">
        <v>87</v>
      </c>
      <c r="M104" s="156">
        <v>1</v>
      </c>
      <c r="N104" s="157"/>
      <c r="O104" s="157" t="str">
        <f t="shared" si="1"/>
        <v>IF_CommPara[174]</v>
      </c>
    </row>
    <row r="105" spans="1:15" ht="17.399999999999999" customHeight="1" x14ac:dyDescent="0.45">
      <c r="A105" s="129">
        <v>12</v>
      </c>
      <c r="B105" s="234"/>
      <c r="C105" s="231"/>
      <c r="D105" s="236" t="s">
        <v>593</v>
      </c>
      <c r="E105" s="129">
        <v>175</v>
      </c>
      <c r="F105" s="170" t="s">
        <v>60</v>
      </c>
      <c r="G105" s="131" t="s">
        <v>61</v>
      </c>
      <c r="H105" s="36" t="s">
        <v>246</v>
      </c>
      <c r="I105" s="37">
        <v>60</v>
      </c>
      <c r="J105" s="35">
        <v>0</v>
      </c>
      <c r="K105" s="35">
        <v>3600</v>
      </c>
      <c r="L105" s="35" t="s">
        <v>62</v>
      </c>
      <c r="M105" s="35">
        <v>10</v>
      </c>
      <c r="N105" s="158"/>
      <c r="O105" s="158" t="str">
        <f t="shared" si="1"/>
        <v>IF_CommPara[175]</v>
      </c>
    </row>
    <row r="106" spans="1:15" ht="17.399999999999999" customHeight="1" x14ac:dyDescent="0.45">
      <c r="A106" s="116">
        <v>12</v>
      </c>
      <c r="B106" s="234"/>
      <c r="C106" s="231"/>
      <c r="D106" s="234"/>
      <c r="E106" s="116">
        <v>176</v>
      </c>
      <c r="F106" s="168" t="s">
        <v>490</v>
      </c>
      <c r="G106" s="117" t="s">
        <v>63</v>
      </c>
      <c r="H106" s="118" t="s">
        <v>240</v>
      </c>
      <c r="I106" s="132">
        <v>600</v>
      </c>
      <c r="J106" s="120">
        <v>0</v>
      </c>
      <c r="K106" s="120">
        <v>3600</v>
      </c>
      <c r="L106" s="120" t="s">
        <v>30</v>
      </c>
      <c r="M106" s="120">
        <v>10</v>
      </c>
      <c r="N106" s="121"/>
      <c r="O106" s="121" t="str">
        <f t="shared" si="1"/>
        <v>IF_CommPara[176]</v>
      </c>
    </row>
    <row r="107" spans="1:15" ht="15" customHeight="1" x14ac:dyDescent="0.45">
      <c r="A107" s="116" t="s">
        <v>569</v>
      </c>
      <c r="B107" s="234"/>
      <c r="C107" s="231"/>
      <c r="D107" s="234"/>
      <c r="E107" s="116">
        <v>177</v>
      </c>
      <c r="F107" s="168" t="s">
        <v>509</v>
      </c>
      <c r="G107" s="117"/>
      <c r="H107" s="118"/>
      <c r="I107" s="132">
        <v>0</v>
      </c>
      <c r="J107" s="120">
        <v>0</v>
      </c>
      <c r="K107" s="120">
        <v>1000</v>
      </c>
      <c r="L107" s="120" t="s">
        <v>87</v>
      </c>
      <c r="M107" s="120">
        <v>1</v>
      </c>
      <c r="N107" s="121"/>
      <c r="O107" s="121" t="str">
        <f t="shared" si="1"/>
        <v>IF_CommPara[177]</v>
      </c>
    </row>
    <row r="108" spans="1:15" ht="15" customHeight="1" x14ac:dyDescent="0.45">
      <c r="A108" s="116" t="s">
        <v>569</v>
      </c>
      <c r="B108" s="234"/>
      <c r="C108" s="231"/>
      <c r="D108" s="234"/>
      <c r="E108" s="116">
        <v>178</v>
      </c>
      <c r="F108" s="168" t="s">
        <v>510</v>
      </c>
      <c r="G108" s="117"/>
      <c r="H108" s="118"/>
      <c r="I108" s="132">
        <v>0</v>
      </c>
      <c r="J108" s="120">
        <v>0</v>
      </c>
      <c r="K108" s="120">
        <v>1000</v>
      </c>
      <c r="L108" s="120" t="s">
        <v>87</v>
      </c>
      <c r="M108" s="120">
        <v>1</v>
      </c>
      <c r="N108" s="121"/>
      <c r="O108" s="121" t="str">
        <f t="shared" si="1"/>
        <v>IF_CommPara[178]</v>
      </c>
    </row>
    <row r="109" spans="1:15" ht="15.65" customHeight="1" thickBot="1" x14ac:dyDescent="0.5">
      <c r="A109" s="139" t="s">
        <v>569</v>
      </c>
      <c r="B109" s="234"/>
      <c r="C109" s="232"/>
      <c r="D109" s="237"/>
      <c r="E109" s="139">
        <v>179</v>
      </c>
      <c r="F109" s="171" t="s">
        <v>511</v>
      </c>
      <c r="G109" s="140"/>
      <c r="H109" s="141"/>
      <c r="I109" s="142">
        <v>0</v>
      </c>
      <c r="J109" s="143">
        <v>0</v>
      </c>
      <c r="K109" s="143">
        <v>1000</v>
      </c>
      <c r="L109" s="143" t="s">
        <v>87</v>
      </c>
      <c r="M109" s="143">
        <v>1</v>
      </c>
      <c r="N109" s="144"/>
      <c r="O109" s="144" t="str">
        <f t="shared" si="1"/>
        <v>IF_CommPara[179]</v>
      </c>
    </row>
    <row r="110" spans="1:15" ht="17.399999999999999" customHeight="1" x14ac:dyDescent="0.45">
      <c r="A110" s="103" t="s">
        <v>569</v>
      </c>
      <c r="B110" s="234"/>
      <c r="C110" s="223" t="s">
        <v>694</v>
      </c>
      <c r="D110" s="226" t="s">
        <v>695</v>
      </c>
      <c r="E110" s="103">
        <v>180</v>
      </c>
      <c r="F110" s="175" t="s">
        <v>577</v>
      </c>
      <c r="G110" s="104"/>
      <c r="H110" s="105"/>
      <c r="I110" s="159"/>
      <c r="J110" s="106"/>
      <c r="K110" s="106"/>
      <c r="L110" s="106"/>
      <c r="M110" s="106"/>
      <c r="N110" s="107"/>
      <c r="O110" s="107" t="str">
        <f t="shared" si="1"/>
        <v>IF_CommPara[180]</v>
      </c>
    </row>
    <row r="111" spans="1:15" ht="17.399999999999999" customHeight="1" x14ac:dyDescent="0.45">
      <c r="A111" s="85" t="s">
        <v>569</v>
      </c>
      <c r="B111" s="234"/>
      <c r="C111" s="224"/>
      <c r="D111" s="220"/>
      <c r="E111" s="85" t="s">
        <v>567</v>
      </c>
      <c r="F111" s="176" t="s">
        <v>567</v>
      </c>
      <c r="G111" s="101"/>
      <c r="H111" s="108"/>
      <c r="I111" s="87"/>
      <c r="J111" s="88"/>
      <c r="K111" s="88"/>
      <c r="L111" s="88"/>
      <c r="M111" s="88"/>
      <c r="N111" s="109"/>
      <c r="O111" s="109" t="str">
        <f t="shared" si="1"/>
        <v>IF_CommPara[...]</v>
      </c>
    </row>
    <row r="112" spans="1:15" ht="17.399999999999999" customHeight="1" thickBot="1" x14ac:dyDescent="0.5">
      <c r="A112" s="196" t="s">
        <v>569</v>
      </c>
      <c r="B112" s="256"/>
      <c r="C112" s="225"/>
      <c r="D112" s="227"/>
      <c r="E112" s="196">
        <v>199</v>
      </c>
      <c r="F112" s="177" t="s">
        <v>570</v>
      </c>
      <c r="G112" s="163"/>
      <c r="H112" s="164"/>
      <c r="I112" s="165"/>
      <c r="J112" s="162"/>
      <c r="K112" s="162"/>
      <c r="L112" s="162"/>
      <c r="M112" s="162"/>
      <c r="N112" s="166"/>
      <c r="O112" s="166" t="str">
        <f t="shared" si="1"/>
        <v>IF_CommPara[199]</v>
      </c>
    </row>
    <row r="113" spans="1:15" ht="16.25" customHeight="1" thickTop="1" x14ac:dyDescent="0.45">
      <c r="A113" s="197" t="s">
        <v>578</v>
      </c>
      <c r="B113" s="234" t="s">
        <v>608</v>
      </c>
      <c r="C113" s="248" t="s">
        <v>693</v>
      </c>
      <c r="D113" s="222" t="s">
        <v>707</v>
      </c>
      <c r="E113" s="197">
        <v>0</v>
      </c>
      <c r="F113" s="181" t="s">
        <v>105</v>
      </c>
      <c r="G113" s="182" t="s">
        <v>106</v>
      </c>
      <c r="H113" s="183" t="s">
        <v>553</v>
      </c>
      <c r="I113" s="184">
        <v>6</v>
      </c>
      <c r="J113" s="185">
        <v>0</v>
      </c>
      <c r="K113" s="185">
        <v>12</v>
      </c>
      <c r="L113" s="185" t="s">
        <v>6</v>
      </c>
      <c r="M113" s="186">
        <v>1</v>
      </c>
      <c r="N113" s="187"/>
      <c r="O113" s="201" t="str">
        <f>CONCATENATE("IF_No#Para[",E113,"]")</f>
        <v>IF_No#Para[0]</v>
      </c>
    </row>
    <row r="114" spans="1:15" ht="17.399999999999999" customHeight="1" x14ac:dyDescent="0.45">
      <c r="A114" s="80" t="s">
        <v>578</v>
      </c>
      <c r="B114" s="234"/>
      <c r="C114" s="242"/>
      <c r="D114" s="218"/>
      <c r="E114" s="80">
        <v>1</v>
      </c>
      <c r="F114" s="178" t="s">
        <v>212</v>
      </c>
      <c r="G114" s="56" t="s">
        <v>495</v>
      </c>
      <c r="H114" s="57" t="s">
        <v>554</v>
      </c>
      <c r="I114" s="58">
        <v>1</v>
      </c>
      <c r="J114" s="55">
        <v>0</v>
      </c>
      <c r="K114" s="55">
        <v>800</v>
      </c>
      <c r="L114" s="55" t="s">
        <v>9</v>
      </c>
      <c r="M114" s="63">
        <v>10</v>
      </c>
      <c r="N114" s="13"/>
      <c r="O114" s="202" t="str">
        <f t="shared" ref="O114:O177" si="2">CONCATENATE("IF_No#Para[",E114,"]")</f>
        <v>IF_No#Para[1]</v>
      </c>
    </row>
    <row r="115" spans="1:15" ht="15" customHeight="1" x14ac:dyDescent="0.45">
      <c r="A115" s="70" t="s">
        <v>578</v>
      </c>
      <c r="B115" s="234"/>
      <c r="C115" s="242"/>
      <c r="D115" s="218" t="s">
        <v>698</v>
      </c>
      <c r="E115" s="70">
        <v>2</v>
      </c>
      <c r="F115" s="66" t="s">
        <v>107</v>
      </c>
      <c r="G115" s="24" t="s">
        <v>107</v>
      </c>
      <c r="H115" s="24" t="s">
        <v>107</v>
      </c>
      <c r="I115" s="26">
        <v>0</v>
      </c>
      <c r="J115" s="27">
        <v>0</v>
      </c>
      <c r="K115" s="8">
        <v>120</v>
      </c>
      <c r="L115" s="8" t="s">
        <v>8</v>
      </c>
      <c r="M115" s="59">
        <v>100</v>
      </c>
      <c r="N115" s="13" t="s">
        <v>216</v>
      </c>
      <c r="O115" s="202" t="str">
        <f t="shared" si="2"/>
        <v>IF_No#Para[2]</v>
      </c>
    </row>
    <row r="116" spans="1:15" ht="15" customHeight="1" x14ac:dyDescent="0.45">
      <c r="A116" s="71" t="s">
        <v>578</v>
      </c>
      <c r="B116" s="234"/>
      <c r="C116" s="242"/>
      <c r="D116" s="218"/>
      <c r="E116" s="71">
        <v>3</v>
      </c>
      <c r="F116" s="67" t="s">
        <v>108</v>
      </c>
      <c r="G116" s="9" t="s">
        <v>108</v>
      </c>
      <c r="H116" s="9" t="s">
        <v>108</v>
      </c>
      <c r="I116" s="11">
        <v>10</v>
      </c>
      <c r="J116" s="8">
        <v>0</v>
      </c>
      <c r="K116" s="8">
        <v>120</v>
      </c>
      <c r="L116" s="8" t="s">
        <v>8</v>
      </c>
      <c r="M116" s="59">
        <v>100</v>
      </c>
      <c r="N116" s="13" t="s">
        <v>216</v>
      </c>
      <c r="O116" s="202" t="str">
        <f t="shared" si="2"/>
        <v>IF_No#Para[3]</v>
      </c>
    </row>
    <row r="117" spans="1:15" ht="15" customHeight="1" x14ac:dyDescent="0.45">
      <c r="A117" s="71" t="s">
        <v>578</v>
      </c>
      <c r="B117" s="234"/>
      <c r="C117" s="242"/>
      <c r="D117" s="218"/>
      <c r="E117" s="71">
        <v>4</v>
      </c>
      <c r="F117" s="67" t="s">
        <v>109</v>
      </c>
      <c r="G117" s="9" t="s">
        <v>109</v>
      </c>
      <c r="H117" s="9" t="s">
        <v>109</v>
      </c>
      <c r="I117" s="11">
        <v>25</v>
      </c>
      <c r="J117" s="8">
        <v>0</v>
      </c>
      <c r="K117" s="8">
        <v>120</v>
      </c>
      <c r="L117" s="8" t="s">
        <v>8</v>
      </c>
      <c r="M117" s="59">
        <v>100</v>
      </c>
      <c r="N117" s="28" t="s">
        <v>216</v>
      </c>
      <c r="O117" s="202" t="str">
        <f t="shared" si="2"/>
        <v>IF_No#Para[4]</v>
      </c>
    </row>
    <row r="118" spans="1:15" ht="15" customHeight="1" x14ac:dyDescent="0.45">
      <c r="A118" s="71" t="s">
        <v>578</v>
      </c>
      <c r="B118" s="234"/>
      <c r="C118" s="242"/>
      <c r="D118" s="218"/>
      <c r="E118" s="71">
        <v>5</v>
      </c>
      <c r="F118" s="67" t="s">
        <v>110</v>
      </c>
      <c r="G118" s="9" t="s">
        <v>110</v>
      </c>
      <c r="H118" s="9" t="s">
        <v>110</v>
      </c>
      <c r="I118" s="11">
        <v>50</v>
      </c>
      <c r="J118" s="8">
        <v>0</v>
      </c>
      <c r="K118" s="8">
        <v>120</v>
      </c>
      <c r="L118" s="8" t="s">
        <v>8</v>
      </c>
      <c r="M118" s="59">
        <v>100</v>
      </c>
      <c r="N118" s="28" t="s">
        <v>216</v>
      </c>
      <c r="O118" s="202" t="str">
        <f t="shared" si="2"/>
        <v>IF_No#Para[5]</v>
      </c>
    </row>
    <row r="119" spans="1:15" ht="15" customHeight="1" x14ac:dyDescent="0.45">
      <c r="A119" s="71" t="s">
        <v>578</v>
      </c>
      <c r="B119" s="234"/>
      <c r="C119" s="242"/>
      <c r="D119" s="218"/>
      <c r="E119" s="71">
        <v>6</v>
      </c>
      <c r="F119" s="67" t="s">
        <v>111</v>
      </c>
      <c r="G119" s="9" t="s">
        <v>111</v>
      </c>
      <c r="H119" s="9" t="s">
        <v>111</v>
      </c>
      <c r="I119" s="11">
        <v>75</v>
      </c>
      <c r="J119" s="8">
        <v>0</v>
      </c>
      <c r="K119" s="8">
        <v>120</v>
      </c>
      <c r="L119" s="8" t="s">
        <v>8</v>
      </c>
      <c r="M119" s="59">
        <v>100</v>
      </c>
      <c r="N119" s="28" t="s">
        <v>216</v>
      </c>
      <c r="O119" s="202" t="str">
        <f t="shared" si="2"/>
        <v>IF_No#Para[6]</v>
      </c>
    </row>
    <row r="120" spans="1:15" ht="15" customHeight="1" x14ac:dyDescent="0.45">
      <c r="A120" s="71" t="s">
        <v>578</v>
      </c>
      <c r="B120" s="234"/>
      <c r="C120" s="242"/>
      <c r="D120" s="218"/>
      <c r="E120" s="71">
        <v>7</v>
      </c>
      <c r="F120" s="67" t="s">
        <v>112</v>
      </c>
      <c r="G120" s="9" t="s">
        <v>112</v>
      </c>
      <c r="H120" s="9" t="s">
        <v>112</v>
      </c>
      <c r="I120" s="11">
        <v>100</v>
      </c>
      <c r="J120" s="8">
        <v>0</v>
      </c>
      <c r="K120" s="8">
        <v>120</v>
      </c>
      <c r="L120" s="8" t="s">
        <v>8</v>
      </c>
      <c r="M120" s="59">
        <v>100</v>
      </c>
      <c r="N120" s="28" t="s">
        <v>216</v>
      </c>
      <c r="O120" s="202" t="str">
        <f t="shared" si="2"/>
        <v>IF_No#Para[7]</v>
      </c>
    </row>
    <row r="121" spans="1:15" ht="15" customHeight="1" x14ac:dyDescent="0.45">
      <c r="A121" s="71" t="s">
        <v>578</v>
      </c>
      <c r="B121" s="234"/>
      <c r="C121" s="242"/>
      <c r="D121" s="218"/>
      <c r="E121" s="71">
        <v>8</v>
      </c>
      <c r="F121" s="67" t="s">
        <v>113</v>
      </c>
      <c r="G121" s="9" t="s">
        <v>113</v>
      </c>
      <c r="H121" s="9" t="s">
        <v>113</v>
      </c>
      <c r="I121" s="11">
        <v>110</v>
      </c>
      <c r="J121" s="8">
        <v>0</v>
      </c>
      <c r="K121" s="8">
        <v>120</v>
      </c>
      <c r="L121" s="8" t="s">
        <v>8</v>
      </c>
      <c r="M121" s="59">
        <v>100</v>
      </c>
      <c r="N121" s="28" t="s">
        <v>216</v>
      </c>
      <c r="O121" s="202" t="str">
        <f t="shared" si="2"/>
        <v>IF_No#Para[8]</v>
      </c>
    </row>
    <row r="122" spans="1:15" ht="15" customHeight="1" x14ac:dyDescent="0.45">
      <c r="A122" s="71" t="s">
        <v>578</v>
      </c>
      <c r="B122" s="234"/>
      <c r="C122" s="242"/>
      <c r="D122" s="218"/>
      <c r="E122" s="71">
        <v>9</v>
      </c>
      <c r="F122" s="67" t="s">
        <v>114</v>
      </c>
      <c r="G122" s="9" t="s">
        <v>114</v>
      </c>
      <c r="H122" s="9" t="s">
        <v>114</v>
      </c>
      <c r="I122" s="11">
        <v>111</v>
      </c>
      <c r="J122" s="8">
        <v>0</v>
      </c>
      <c r="K122" s="8">
        <v>120</v>
      </c>
      <c r="L122" s="8" t="s">
        <v>8</v>
      </c>
      <c r="M122" s="59">
        <v>100</v>
      </c>
      <c r="N122" s="28" t="s">
        <v>216</v>
      </c>
      <c r="O122" s="202" t="str">
        <f t="shared" si="2"/>
        <v>IF_No#Para[9]</v>
      </c>
    </row>
    <row r="123" spans="1:15" ht="15" customHeight="1" x14ac:dyDescent="0.45">
      <c r="A123" s="71" t="s">
        <v>578</v>
      </c>
      <c r="B123" s="234"/>
      <c r="C123" s="242"/>
      <c r="D123" s="218"/>
      <c r="E123" s="71">
        <v>10</v>
      </c>
      <c r="F123" s="67" t="s">
        <v>115</v>
      </c>
      <c r="G123" s="9" t="s">
        <v>115</v>
      </c>
      <c r="H123" s="9" t="s">
        <v>115</v>
      </c>
      <c r="I123" s="11">
        <v>112</v>
      </c>
      <c r="J123" s="8">
        <v>0</v>
      </c>
      <c r="K123" s="8">
        <v>120</v>
      </c>
      <c r="L123" s="8" t="s">
        <v>8</v>
      </c>
      <c r="M123" s="59">
        <v>100</v>
      </c>
      <c r="N123" s="28" t="s">
        <v>216</v>
      </c>
      <c r="O123" s="202" t="str">
        <f t="shared" si="2"/>
        <v>IF_No#Para[10]</v>
      </c>
    </row>
    <row r="124" spans="1:15" ht="15" customHeight="1" x14ac:dyDescent="0.45">
      <c r="A124" s="71" t="s">
        <v>578</v>
      </c>
      <c r="B124" s="234"/>
      <c r="C124" s="242"/>
      <c r="D124" s="218"/>
      <c r="E124" s="71">
        <v>11</v>
      </c>
      <c r="F124" s="67" t="s">
        <v>116</v>
      </c>
      <c r="G124" s="9" t="s">
        <v>116</v>
      </c>
      <c r="H124" s="9" t="s">
        <v>116</v>
      </c>
      <c r="I124" s="11">
        <v>113</v>
      </c>
      <c r="J124" s="8">
        <v>0</v>
      </c>
      <c r="K124" s="8">
        <v>120</v>
      </c>
      <c r="L124" s="8" t="s">
        <v>8</v>
      </c>
      <c r="M124" s="59">
        <v>100</v>
      </c>
      <c r="N124" s="28" t="s">
        <v>216</v>
      </c>
      <c r="O124" s="202" t="str">
        <f t="shared" si="2"/>
        <v>IF_No#Para[11]</v>
      </c>
    </row>
    <row r="125" spans="1:15" ht="15" customHeight="1" x14ac:dyDescent="0.45">
      <c r="A125" s="71" t="s">
        <v>578</v>
      </c>
      <c r="B125" s="234"/>
      <c r="C125" s="242"/>
      <c r="D125" s="218"/>
      <c r="E125" s="71">
        <v>12</v>
      </c>
      <c r="F125" s="67" t="s">
        <v>117</v>
      </c>
      <c r="G125" s="9" t="s">
        <v>117</v>
      </c>
      <c r="H125" s="9" t="s">
        <v>117</v>
      </c>
      <c r="I125" s="11">
        <v>114</v>
      </c>
      <c r="J125" s="8">
        <v>0</v>
      </c>
      <c r="K125" s="8">
        <v>120</v>
      </c>
      <c r="L125" s="8" t="s">
        <v>8</v>
      </c>
      <c r="M125" s="59">
        <v>100</v>
      </c>
      <c r="N125" s="28" t="s">
        <v>216</v>
      </c>
      <c r="O125" s="202" t="str">
        <f t="shared" si="2"/>
        <v>IF_No#Para[12]</v>
      </c>
    </row>
    <row r="126" spans="1:15" ht="15" customHeight="1" x14ac:dyDescent="0.45">
      <c r="A126" s="71" t="s">
        <v>578</v>
      </c>
      <c r="B126" s="234"/>
      <c r="C126" s="242"/>
      <c r="D126" s="218"/>
      <c r="E126" s="71">
        <v>13</v>
      </c>
      <c r="F126" s="67" t="s">
        <v>118</v>
      </c>
      <c r="G126" s="9" t="s">
        <v>118</v>
      </c>
      <c r="H126" s="9" t="s">
        <v>118</v>
      </c>
      <c r="I126" s="11">
        <v>115</v>
      </c>
      <c r="J126" s="8">
        <v>0</v>
      </c>
      <c r="K126" s="8">
        <v>120</v>
      </c>
      <c r="L126" s="8" t="s">
        <v>8</v>
      </c>
      <c r="M126" s="59">
        <v>100</v>
      </c>
      <c r="N126" s="28" t="s">
        <v>216</v>
      </c>
      <c r="O126" s="202" t="str">
        <f t="shared" si="2"/>
        <v>IF_No#Para[13]</v>
      </c>
    </row>
    <row r="127" spans="1:15" ht="17.399999999999999" customHeight="1" x14ac:dyDescent="0.45">
      <c r="A127" s="71" t="s">
        <v>578</v>
      </c>
      <c r="B127" s="234"/>
      <c r="C127" s="242"/>
      <c r="D127" s="218" t="s">
        <v>699</v>
      </c>
      <c r="E127" s="71">
        <v>14</v>
      </c>
      <c r="F127" s="67" t="s">
        <v>52</v>
      </c>
      <c r="G127" s="9" t="s">
        <v>130</v>
      </c>
      <c r="H127" s="10" t="s">
        <v>142</v>
      </c>
      <c r="I127" s="11">
        <v>3700</v>
      </c>
      <c r="J127" s="8">
        <v>0</v>
      </c>
      <c r="K127" s="8">
        <v>30000</v>
      </c>
      <c r="L127" s="8" t="s">
        <v>556</v>
      </c>
      <c r="M127" s="59">
        <v>1</v>
      </c>
      <c r="N127" s="28" t="s">
        <v>217</v>
      </c>
      <c r="O127" s="202" t="str">
        <f t="shared" si="2"/>
        <v>IF_No#Para[14]</v>
      </c>
    </row>
    <row r="128" spans="1:15" ht="17.399999999999999" customHeight="1" x14ac:dyDescent="0.45">
      <c r="A128" s="71" t="s">
        <v>578</v>
      </c>
      <c r="B128" s="234"/>
      <c r="C128" s="242"/>
      <c r="D128" s="218"/>
      <c r="E128" s="71">
        <v>15</v>
      </c>
      <c r="F128" s="67" t="s">
        <v>119</v>
      </c>
      <c r="G128" s="9" t="s">
        <v>131</v>
      </c>
      <c r="H128" s="10" t="s">
        <v>143</v>
      </c>
      <c r="I128" s="11">
        <v>3763</v>
      </c>
      <c r="J128" s="8">
        <v>0</v>
      </c>
      <c r="K128" s="8">
        <v>30000</v>
      </c>
      <c r="L128" s="8" t="s">
        <v>556</v>
      </c>
      <c r="M128" s="59">
        <v>1</v>
      </c>
      <c r="N128" s="28" t="s">
        <v>217</v>
      </c>
      <c r="O128" s="202" t="str">
        <f t="shared" si="2"/>
        <v>IF_No#Para[15]</v>
      </c>
    </row>
    <row r="129" spans="1:15" ht="17.399999999999999" customHeight="1" x14ac:dyDescent="0.45">
      <c r="A129" s="71" t="s">
        <v>578</v>
      </c>
      <c r="B129" s="234"/>
      <c r="C129" s="242"/>
      <c r="D129" s="218"/>
      <c r="E129" s="71">
        <v>16</v>
      </c>
      <c r="F129" s="67" t="s">
        <v>120</v>
      </c>
      <c r="G129" s="9" t="s">
        <v>132</v>
      </c>
      <c r="H129" s="10" t="s">
        <v>144</v>
      </c>
      <c r="I129" s="11">
        <v>3725</v>
      </c>
      <c r="J129" s="8">
        <v>0</v>
      </c>
      <c r="K129" s="8">
        <v>30000</v>
      </c>
      <c r="L129" s="8" t="s">
        <v>556</v>
      </c>
      <c r="M129" s="59">
        <v>1</v>
      </c>
      <c r="N129" s="28" t="s">
        <v>217</v>
      </c>
      <c r="O129" s="202" t="str">
        <f t="shared" si="2"/>
        <v>IF_No#Para[16]</v>
      </c>
    </row>
    <row r="130" spans="1:15" ht="17.399999999999999" customHeight="1" x14ac:dyDescent="0.45">
      <c r="A130" s="71" t="s">
        <v>578</v>
      </c>
      <c r="B130" s="234"/>
      <c r="C130" s="242"/>
      <c r="D130" s="218"/>
      <c r="E130" s="71">
        <v>17</v>
      </c>
      <c r="F130" s="67" t="s">
        <v>121</v>
      </c>
      <c r="G130" s="9" t="s">
        <v>133</v>
      </c>
      <c r="H130" s="10" t="s">
        <v>145</v>
      </c>
      <c r="I130" s="11">
        <v>5042</v>
      </c>
      <c r="J130" s="8">
        <v>0</v>
      </c>
      <c r="K130" s="8">
        <v>30000</v>
      </c>
      <c r="L130" s="8" t="s">
        <v>556</v>
      </c>
      <c r="M130" s="59">
        <v>1</v>
      </c>
      <c r="N130" s="28" t="s">
        <v>217</v>
      </c>
      <c r="O130" s="202" t="str">
        <f t="shared" si="2"/>
        <v>IF_No#Para[17]</v>
      </c>
    </row>
    <row r="131" spans="1:15" ht="17.399999999999999" customHeight="1" x14ac:dyDescent="0.45">
      <c r="A131" s="71" t="s">
        <v>578</v>
      </c>
      <c r="B131" s="234"/>
      <c r="C131" s="242"/>
      <c r="D131" s="218"/>
      <c r="E131" s="71">
        <v>18</v>
      </c>
      <c r="F131" s="67" t="s">
        <v>122</v>
      </c>
      <c r="G131" s="9" t="s">
        <v>134</v>
      </c>
      <c r="H131" s="10" t="s">
        <v>146</v>
      </c>
      <c r="I131" s="11">
        <v>6773</v>
      </c>
      <c r="J131" s="8">
        <v>0</v>
      </c>
      <c r="K131" s="8">
        <v>30000</v>
      </c>
      <c r="L131" s="8" t="s">
        <v>556</v>
      </c>
      <c r="M131" s="59">
        <v>1</v>
      </c>
      <c r="N131" s="28" t="s">
        <v>217</v>
      </c>
      <c r="O131" s="202" t="str">
        <f t="shared" si="2"/>
        <v>IF_No#Para[18]</v>
      </c>
    </row>
    <row r="132" spans="1:15" ht="17.399999999999999" customHeight="1" x14ac:dyDescent="0.45">
      <c r="A132" s="71" t="s">
        <v>578</v>
      </c>
      <c r="B132" s="234"/>
      <c r="C132" s="242"/>
      <c r="D132" s="218"/>
      <c r="E132" s="71">
        <v>19</v>
      </c>
      <c r="F132" s="67" t="s">
        <v>123</v>
      </c>
      <c r="G132" s="9" t="s">
        <v>135</v>
      </c>
      <c r="H132" s="10" t="s">
        <v>147</v>
      </c>
      <c r="I132" s="11">
        <v>8729</v>
      </c>
      <c r="J132" s="8">
        <v>0</v>
      </c>
      <c r="K132" s="8">
        <v>30000</v>
      </c>
      <c r="L132" s="8" t="s">
        <v>556</v>
      </c>
      <c r="M132" s="59">
        <v>1</v>
      </c>
      <c r="N132" s="28" t="s">
        <v>217</v>
      </c>
      <c r="O132" s="202" t="str">
        <f t="shared" si="2"/>
        <v>IF_No#Para[19]</v>
      </c>
    </row>
    <row r="133" spans="1:15" ht="17.399999999999999" customHeight="1" x14ac:dyDescent="0.45">
      <c r="A133" s="71" t="s">
        <v>578</v>
      </c>
      <c r="B133" s="234"/>
      <c r="C133" s="242"/>
      <c r="D133" s="218"/>
      <c r="E133" s="71">
        <v>20</v>
      </c>
      <c r="F133" s="67" t="s">
        <v>124</v>
      </c>
      <c r="G133" s="9" t="s">
        <v>136</v>
      </c>
      <c r="H133" s="10" t="s">
        <v>148</v>
      </c>
      <c r="I133" s="11">
        <v>8729</v>
      </c>
      <c r="J133" s="8">
        <v>0</v>
      </c>
      <c r="K133" s="8">
        <v>30000</v>
      </c>
      <c r="L133" s="8" t="s">
        <v>556</v>
      </c>
      <c r="M133" s="59">
        <v>1</v>
      </c>
      <c r="N133" s="28" t="s">
        <v>217</v>
      </c>
      <c r="O133" s="202" t="str">
        <f t="shared" si="2"/>
        <v>IF_No#Para[20]</v>
      </c>
    </row>
    <row r="134" spans="1:15" ht="17.399999999999999" customHeight="1" x14ac:dyDescent="0.45">
      <c r="A134" s="71" t="s">
        <v>578</v>
      </c>
      <c r="B134" s="234"/>
      <c r="C134" s="242"/>
      <c r="D134" s="218"/>
      <c r="E134" s="71">
        <v>21</v>
      </c>
      <c r="F134" s="67" t="s">
        <v>125</v>
      </c>
      <c r="G134" s="9" t="s">
        <v>137</v>
      </c>
      <c r="H134" s="10" t="s">
        <v>149</v>
      </c>
      <c r="I134" s="11">
        <v>8729</v>
      </c>
      <c r="J134" s="8">
        <v>0</v>
      </c>
      <c r="K134" s="8">
        <v>30000</v>
      </c>
      <c r="L134" s="8" t="s">
        <v>556</v>
      </c>
      <c r="M134" s="59">
        <v>1</v>
      </c>
      <c r="N134" s="28" t="s">
        <v>217</v>
      </c>
      <c r="O134" s="202" t="str">
        <f t="shared" si="2"/>
        <v>IF_No#Para[21]</v>
      </c>
    </row>
    <row r="135" spans="1:15" ht="17.399999999999999" customHeight="1" x14ac:dyDescent="0.45">
      <c r="A135" s="71" t="s">
        <v>578</v>
      </c>
      <c r="B135" s="234"/>
      <c r="C135" s="242"/>
      <c r="D135" s="218"/>
      <c r="E135" s="71">
        <v>22</v>
      </c>
      <c r="F135" s="67" t="s">
        <v>126</v>
      </c>
      <c r="G135" s="9" t="s">
        <v>138</v>
      </c>
      <c r="H135" s="10" t="s">
        <v>150</v>
      </c>
      <c r="I135" s="11">
        <v>8729</v>
      </c>
      <c r="J135" s="8">
        <v>0</v>
      </c>
      <c r="K135" s="8">
        <v>30000</v>
      </c>
      <c r="L135" s="8" t="s">
        <v>556</v>
      </c>
      <c r="M135" s="59">
        <v>1</v>
      </c>
      <c r="N135" s="28" t="s">
        <v>217</v>
      </c>
      <c r="O135" s="202" t="str">
        <f t="shared" si="2"/>
        <v>IF_No#Para[22]</v>
      </c>
    </row>
    <row r="136" spans="1:15" ht="17.399999999999999" customHeight="1" x14ac:dyDescent="0.45">
      <c r="A136" s="71" t="s">
        <v>578</v>
      </c>
      <c r="B136" s="234"/>
      <c r="C136" s="242"/>
      <c r="D136" s="218"/>
      <c r="E136" s="71">
        <v>23</v>
      </c>
      <c r="F136" s="67" t="s">
        <v>127</v>
      </c>
      <c r="G136" s="9" t="s">
        <v>139</v>
      </c>
      <c r="H136" s="10" t="s">
        <v>151</v>
      </c>
      <c r="I136" s="11">
        <v>8729</v>
      </c>
      <c r="J136" s="8">
        <v>0</v>
      </c>
      <c r="K136" s="8">
        <v>30000</v>
      </c>
      <c r="L136" s="8" t="s">
        <v>556</v>
      </c>
      <c r="M136" s="59">
        <v>1</v>
      </c>
      <c r="N136" s="28" t="s">
        <v>217</v>
      </c>
      <c r="O136" s="202" t="str">
        <f t="shared" si="2"/>
        <v>IF_No#Para[23]</v>
      </c>
    </row>
    <row r="137" spans="1:15" ht="17.399999999999999" customHeight="1" x14ac:dyDescent="0.45">
      <c r="A137" s="71" t="s">
        <v>578</v>
      </c>
      <c r="B137" s="234"/>
      <c r="C137" s="242"/>
      <c r="D137" s="218"/>
      <c r="E137" s="71">
        <v>24</v>
      </c>
      <c r="F137" s="67" t="s">
        <v>128</v>
      </c>
      <c r="G137" s="9" t="s">
        <v>140</v>
      </c>
      <c r="H137" s="10" t="s">
        <v>152</v>
      </c>
      <c r="I137" s="11">
        <v>8729</v>
      </c>
      <c r="J137" s="8">
        <v>0</v>
      </c>
      <c r="K137" s="8">
        <v>30000</v>
      </c>
      <c r="L137" s="8" t="s">
        <v>556</v>
      </c>
      <c r="M137" s="59">
        <v>1</v>
      </c>
      <c r="N137" s="28" t="s">
        <v>217</v>
      </c>
      <c r="O137" s="202" t="str">
        <f t="shared" si="2"/>
        <v>IF_No#Para[24]</v>
      </c>
    </row>
    <row r="138" spans="1:15" ht="17.399999999999999" customHeight="1" x14ac:dyDescent="0.45">
      <c r="A138" s="71" t="s">
        <v>578</v>
      </c>
      <c r="B138" s="234"/>
      <c r="C138" s="242"/>
      <c r="D138" s="218"/>
      <c r="E138" s="71">
        <v>25</v>
      </c>
      <c r="F138" s="67" t="s">
        <v>129</v>
      </c>
      <c r="G138" s="9" t="s">
        <v>141</v>
      </c>
      <c r="H138" s="10" t="s">
        <v>153</v>
      </c>
      <c r="I138" s="11">
        <v>8729</v>
      </c>
      <c r="J138" s="8">
        <v>0</v>
      </c>
      <c r="K138" s="8">
        <v>30000</v>
      </c>
      <c r="L138" s="8" t="s">
        <v>556</v>
      </c>
      <c r="M138" s="59">
        <v>1</v>
      </c>
      <c r="N138" s="13" t="s">
        <v>217</v>
      </c>
      <c r="O138" s="202" t="str">
        <f t="shared" si="2"/>
        <v>IF_No#Para[25]</v>
      </c>
    </row>
    <row r="139" spans="1:15" ht="17.399999999999999" customHeight="1" x14ac:dyDescent="0.45">
      <c r="A139" s="71" t="s">
        <v>578</v>
      </c>
      <c r="B139" s="234"/>
      <c r="C139" s="242"/>
      <c r="D139" s="218" t="s">
        <v>700</v>
      </c>
      <c r="E139" s="71">
        <v>26</v>
      </c>
      <c r="F139" s="67" t="s">
        <v>696</v>
      </c>
      <c r="G139" s="9" t="s">
        <v>218</v>
      </c>
      <c r="H139" s="10" t="s">
        <v>164</v>
      </c>
      <c r="I139" s="11">
        <v>310</v>
      </c>
      <c r="J139" s="8">
        <v>0</v>
      </c>
      <c r="K139" s="8">
        <v>1000</v>
      </c>
      <c r="L139" s="8" t="s">
        <v>9</v>
      </c>
      <c r="M139" s="59">
        <v>10</v>
      </c>
      <c r="N139" s="13"/>
      <c r="O139" s="202" t="str">
        <f t="shared" si="2"/>
        <v>IF_No#Para[26]</v>
      </c>
    </row>
    <row r="140" spans="1:15" ht="17.399999999999999" customHeight="1" x14ac:dyDescent="0.45">
      <c r="A140" s="71" t="s">
        <v>578</v>
      </c>
      <c r="B140" s="234"/>
      <c r="C140" s="242"/>
      <c r="D140" s="218"/>
      <c r="E140" s="71">
        <v>27</v>
      </c>
      <c r="F140" s="67" t="s">
        <v>154</v>
      </c>
      <c r="G140" s="9" t="s">
        <v>219</v>
      </c>
      <c r="H140" s="10" t="s">
        <v>165</v>
      </c>
      <c r="I140" s="11">
        <v>310</v>
      </c>
      <c r="J140" s="8">
        <v>0</v>
      </c>
      <c r="K140" s="8">
        <v>1000</v>
      </c>
      <c r="L140" s="8" t="s">
        <v>9</v>
      </c>
      <c r="M140" s="59">
        <v>10</v>
      </c>
      <c r="N140" s="13"/>
      <c r="O140" s="202" t="str">
        <f t="shared" si="2"/>
        <v>IF_No#Para[27]</v>
      </c>
    </row>
    <row r="141" spans="1:15" ht="17.399999999999999" customHeight="1" x14ac:dyDescent="0.45">
      <c r="A141" s="71" t="s">
        <v>578</v>
      </c>
      <c r="B141" s="234"/>
      <c r="C141" s="242"/>
      <c r="D141" s="218"/>
      <c r="E141" s="71">
        <v>28</v>
      </c>
      <c r="F141" s="67" t="s">
        <v>155</v>
      </c>
      <c r="G141" s="9" t="s">
        <v>220</v>
      </c>
      <c r="H141" s="10" t="s">
        <v>166</v>
      </c>
      <c r="I141" s="11">
        <v>330</v>
      </c>
      <c r="J141" s="8">
        <v>0</v>
      </c>
      <c r="K141" s="8">
        <v>1000</v>
      </c>
      <c r="L141" s="8" t="s">
        <v>9</v>
      </c>
      <c r="M141" s="59">
        <v>10</v>
      </c>
      <c r="N141" s="13"/>
      <c r="O141" s="202" t="str">
        <f t="shared" si="2"/>
        <v>IF_No#Para[28]</v>
      </c>
    </row>
    <row r="142" spans="1:15" ht="17.399999999999999" customHeight="1" x14ac:dyDescent="0.45">
      <c r="A142" s="71" t="s">
        <v>578</v>
      </c>
      <c r="B142" s="234"/>
      <c r="C142" s="242"/>
      <c r="D142" s="218"/>
      <c r="E142" s="71">
        <v>29</v>
      </c>
      <c r="F142" s="67" t="s">
        <v>156</v>
      </c>
      <c r="G142" s="9" t="s">
        <v>221</v>
      </c>
      <c r="H142" s="10" t="s">
        <v>167</v>
      </c>
      <c r="I142" s="11">
        <v>430</v>
      </c>
      <c r="J142" s="8">
        <v>0</v>
      </c>
      <c r="K142" s="8">
        <v>1000</v>
      </c>
      <c r="L142" s="8" t="s">
        <v>9</v>
      </c>
      <c r="M142" s="59">
        <v>10</v>
      </c>
      <c r="N142" s="13"/>
      <c r="O142" s="202" t="str">
        <f t="shared" si="2"/>
        <v>IF_No#Para[29]</v>
      </c>
    </row>
    <row r="143" spans="1:15" ht="17.399999999999999" customHeight="1" x14ac:dyDescent="0.45">
      <c r="A143" s="71" t="s">
        <v>578</v>
      </c>
      <c r="B143" s="234"/>
      <c r="C143" s="242"/>
      <c r="D143" s="218"/>
      <c r="E143" s="71">
        <v>30</v>
      </c>
      <c r="F143" s="67" t="s">
        <v>157</v>
      </c>
      <c r="G143" s="9" t="s">
        <v>547</v>
      </c>
      <c r="H143" s="10" t="s">
        <v>168</v>
      </c>
      <c r="I143" s="11">
        <v>390</v>
      </c>
      <c r="J143" s="8">
        <v>0</v>
      </c>
      <c r="K143" s="8">
        <v>1000</v>
      </c>
      <c r="L143" s="8" t="s">
        <v>9</v>
      </c>
      <c r="M143" s="59">
        <v>10</v>
      </c>
      <c r="N143" s="13"/>
      <c r="O143" s="202" t="str">
        <f t="shared" si="2"/>
        <v>IF_No#Para[30]</v>
      </c>
    </row>
    <row r="144" spans="1:15" ht="17.399999999999999" customHeight="1" x14ac:dyDescent="0.45">
      <c r="A144" s="71" t="s">
        <v>578</v>
      </c>
      <c r="B144" s="234"/>
      <c r="C144" s="242"/>
      <c r="D144" s="218"/>
      <c r="E144" s="71">
        <v>31</v>
      </c>
      <c r="F144" s="67" t="s">
        <v>158</v>
      </c>
      <c r="G144" s="9" t="s">
        <v>222</v>
      </c>
      <c r="H144" s="10" t="s">
        <v>169</v>
      </c>
      <c r="I144" s="11">
        <v>350</v>
      </c>
      <c r="J144" s="8">
        <v>0</v>
      </c>
      <c r="K144" s="8">
        <v>1000</v>
      </c>
      <c r="L144" s="8" t="s">
        <v>9</v>
      </c>
      <c r="M144" s="59">
        <v>10</v>
      </c>
      <c r="N144" s="13"/>
      <c r="O144" s="202" t="str">
        <f t="shared" si="2"/>
        <v>IF_No#Para[31]</v>
      </c>
    </row>
    <row r="145" spans="1:15" ht="17.399999999999999" customHeight="1" x14ac:dyDescent="0.45">
      <c r="A145" s="71" t="s">
        <v>578</v>
      </c>
      <c r="B145" s="234"/>
      <c r="C145" s="242"/>
      <c r="D145" s="218"/>
      <c r="E145" s="71">
        <v>32</v>
      </c>
      <c r="F145" s="67" t="s">
        <v>159</v>
      </c>
      <c r="G145" s="9" t="s">
        <v>223</v>
      </c>
      <c r="H145" s="10" t="s">
        <v>170</v>
      </c>
      <c r="I145" s="11">
        <v>350</v>
      </c>
      <c r="J145" s="8">
        <v>0</v>
      </c>
      <c r="K145" s="8">
        <v>1000</v>
      </c>
      <c r="L145" s="8" t="s">
        <v>9</v>
      </c>
      <c r="M145" s="59">
        <v>10</v>
      </c>
      <c r="N145" s="13"/>
      <c r="O145" s="202" t="str">
        <f t="shared" si="2"/>
        <v>IF_No#Para[32]</v>
      </c>
    </row>
    <row r="146" spans="1:15" ht="17.399999999999999" customHeight="1" x14ac:dyDescent="0.45">
      <c r="A146" s="71" t="s">
        <v>578</v>
      </c>
      <c r="B146" s="234"/>
      <c r="C146" s="242"/>
      <c r="D146" s="218"/>
      <c r="E146" s="71">
        <v>33</v>
      </c>
      <c r="F146" s="67" t="s">
        <v>160</v>
      </c>
      <c r="G146" s="9" t="s">
        <v>224</v>
      </c>
      <c r="H146" s="10" t="s">
        <v>171</v>
      </c>
      <c r="I146" s="11">
        <v>350</v>
      </c>
      <c r="J146" s="8">
        <v>0</v>
      </c>
      <c r="K146" s="8">
        <v>1000</v>
      </c>
      <c r="L146" s="8" t="s">
        <v>9</v>
      </c>
      <c r="M146" s="59">
        <v>10</v>
      </c>
      <c r="N146" s="13"/>
      <c r="O146" s="202" t="str">
        <f t="shared" si="2"/>
        <v>IF_No#Para[33]</v>
      </c>
    </row>
    <row r="147" spans="1:15" ht="17.399999999999999" customHeight="1" x14ac:dyDescent="0.45">
      <c r="A147" s="71" t="s">
        <v>578</v>
      </c>
      <c r="B147" s="234"/>
      <c r="C147" s="242"/>
      <c r="D147" s="218"/>
      <c r="E147" s="71">
        <v>34</v>
      </c>
      <c r="F147" s="67" t="s">
        <v>161</v>
      </c>
      <c r="G147" s="9" t="s">
        <v>225</v>
      </c>
      <c r="H147" s="10" t="s">
        <v>172</v>
      </c>
      <c r="I147" s="11">
        <v>400</v>
      </c>
      <c r="J147" s="8">
        <v>0</v>
      </c>
      <c r="K147" s="8">
        <v>1000</v>
      </c>
      <c r="L147" s="8" t="s">
        <v>9</v>
      </c>
      <c r="M147" s="59">
        <v>10</v>
      </c>
      <c r="N147" s="13"/>
      <c r="O147" s="202" t="str">
        <f t="shared" si="2"/>
        <v>IF_No#Para[34]</v>
      </c>
    </row>
    <row r="148" spans="1:15" ht="17.399999999999999" customHeight="1" x14ac:dyDescent="0.45">
      <c r="A148" s="71" t="s">
        <v>578</v>
      </c>
      <c r="B148" s="234"/>
      <c r="C148" s="242"/>
      <c r="D148" s="218"/>
      <c r="E148" s="71">
        <v>35</v>
      </c>
      <c r="F148" s="67" t="s">
        <v>162</v>
      </c>
      <c r="G148" s="9" t="s">
        <v>226</v>
      </c>
      <c r="H148" s="10" t="s">
        <v>173</v>
      </c>
      <c r="I148" s="11">
        <v>420</v>
      </c>
      <c r="J148" s="8">
        <v>0</v>
      </c>
      <c r="K148" s="8">
        <v>1000</v>
      </c>
      <c r="L148" s="8" t="s">
        <v>9</v>
      </c>
      <c r="M148" s="59">
        <v>10</v>
      </c>
      <c r="N148" s="13"/>
      <c r="O148" s="202" t="str">
        <f t="shared" si="2"/>
        <v>IF_No#Para[35]</v>
      </c>
    </row>
    <row r="149" spans="1:15" ht="17.399999999999999" customHeight="1" x14ac:dyDescent="0.45">
      <c r="A149" s="71" t="s">
        <v>578</v>
      </c>
      <c r="B149" s="234"/>
      <c r="C149" s="242"/>
      <c r="D149" s="218"/>
      <c r="E149" s="71">
        <v>36</v>
      </c>
      <c r="F149" s="67" t="s">
        <v>83</v>
      </c>
      <c r="G149" s="9" t="s">
        <v>227</v>
      </c>
      <c r="H149" s="10" t="s">
        <v>174</v>
      </c>
      <c r="I149" s="11">
        <v>440</v>
      </c>
      <c r="J149" s="8">
        <v>0</v>
      </c>
      <c r="K149" s="8">
        <v>1000</v>
      </c>
      <c r="L149" s="8" t="s">
        <v>9</v>
      </c>
      <c r="M149" s="59">
        <v>10</v>
      </c>
      <c r="N149" s="13"/>
      <c r="O149" s="202" t="str">
        <f t="shared" si="2"/>
        <v>IF_No#Para[36]</v>
      </c>
    </row>
    <row r="150" spans="1:15" ht="17.399999999999999" customHeight="1" x14ac:dyDescent="0.45">
      <c r="A150" s="71" t="s">
        <v>578</v>
      </c>
      <c r="B150" s="234"/>
      <c r="C150" s="242"/>
      <c r="D150" s="218"/>
      <c r="E150" s="71">
        <v>37</v>
      </c>
      <c r="F150" s="67" t="s">
        <v>163</v>
      </c>
      <c r="G150" s="9" t="s">
        <v>228</v>
      </c>
      <c r="H150" s="10" t="s">
        <v>175</v>
      </c>
      <c r="I150" s="11">
        <v>460</v>
      </c>
      <c r="J150" s="8">
        <v>0</v>
      </c>
      <c r="K150" s="8">
        <v>1000</v>
      </c>
      <c r="L150" s="8" t="s">
        <v>9</v>
      </c>
      <c r="M150" s="59">
        <v>10</v>
      </c>
      <c r="N150" s="13"/>
      <c r="O150" s="202" t="str">
        <f t="shared" si="2"/>
        <v>IF_No#Para[37]</v>
      </c>
    </row>
    <row r="151" spans="1:15" ht="17.399999999999999" customHeight="1" x14ac:dyDescent="0.45">
      <c r="A151" s="71" t="s">
        <v>578</v>
      </c>
      <c r="B151" s="234"/>
      <c r="C151" s="242"/>
      <c r="D151" s="218" t="s">
        <v>701</v>
      </c>
      <c r="E151" s="71">
        <v>38</v>
      </c>
      <c r="F151" s="67" t="s">
        <v>519</v>
      </c>
      <c r="G151" s="9" t="s">
        <v>531</v>
      </c>
      <c r="H151" s="10"/>
      <c r="I151" s="11">
        <v>1</v>
      </c>
      <c r="J151" s="8">
        <v>0</v>
      </c>
      <c r="K151" s="8">
        <v>100</v>
      </c>
      <c r="L151" s="8" t="s">
        <v>6</v>
      </c>
      <c r="M151" s="59">
        <v>100</v>
      </c>
      <c r="N151" s="13"/>
      <c r="O151" s="202" t="str">
        <f t="shared" si="2"/>
        <v>IF_No#Para[38]</v>
      </c>
    </row>
    <row r="152" spans="1:15" ht="17.399999999999999" customHeight="1" x14ac:dyDescent="0.45">
      <c r="A152" s="71" t="s">
        <v>578</v>
      </c>
      <c r="B152" s="234"/>
      <c r="C152" s="242"/>
      <c r="D152" s="218"/>
      <c r="E152" s="71">
        <v>39</v>
      </c>
      <c r="F152" s="67" t="s">
        <v>520</v>
      </c>
      <c r="G152" s="9" t="s">
        <v>532</v>
      </c>
      <c r="H152" s="10"/>
      <c r="I152" s="11">
        <v>1</v>
      </c>
      <c r="J152" s="8">
        <v>0</v>
      </c>
      <c r="K152" s="8">
        <v>100</v>
      </c>
      <c r="L152" s="8" t="s">
        <v>6</v>
      </c>
      <c r="M152" s="59">
        <v>100</v>
      </c>
      <c r="N152" s="13"/>
      <c r="O152" s="202" t="str">
        <f t="shared" si="2"/>
        <v>IF_No#Para[39]</v>
      </c>
    </row>
    <row r="153" spans="1:15" ht="17.399999999999999" customHeight="1" x14ac:dyDescent="0.45">
      <c r="A153" s="71" t="s">
        <v>578</v>
      </c>
      <c r="B153" s="234"/>
      <c r="C153" s="242"/>
      <c r="D153" s="218"/>
      <c r="E153" s="71">
        <v>40</v>
      </c>
      <c r="F153" s="67" t="s">
        <v>521</v>
      </c>
      <c r="G153" s="9" t="s">
        <v>533</v>
      </c>
      <c r="H153" s="10"/>
      <c r="I153" s="11">
        <v>1</v>
      </c>
      <c r="J153" s="8">
        <v>0</v>
      </c>
      <c r="K153" s="8">
        <v>100</v>
      </c>
      <c r="L153" s="8" t="s">
        <v>6</v>
      </c>
      <c r="M153" s="59">
        <v>100</v>
      </c>
      <c r="N153" s="13"/>
      <c r="O153" s="202" t="str">
        <f t="shared" si="2"/>
        <v>IF_No#Para[40]</v>
      </c>
    </row>
    <row r="154" spans="1:15" ht="17.399999999999999" customHeight="1" x14ac:dyDescent="0.45">
      <c r="A154" s="71" t="s">
        <v>578</v>
      </c>
      <c r="B154" s="234"/>
      <c r="C154" s="242"/>
      <c r="D154" s="218"/>
      <c r="E154" s="71">
        <v>41</v>
      </c>
      <c r="F154" s="67" t="s">
        <v>522</v>
      </c>
      <c r="G154" s="9" t="s">
        <v>534</v>
      </c>
      <c r="H154" s="10"/>
      <c r="I154" s="11">
        <v>1</v>
      </c>
      <c r="J154" s="8">
        <v>0</v>
      </c>
      <c r="K154" s="8">
        <v>100</v>
      </c>
      <c r="L154" s="8" t="s">
        <v>6</v>
      </c>
      <c r="M154" s="59">
        <v>100</v>
      </c>
      <c r="N154" s="13"/>
      <c r="O154" s="202" t="str">
        <f t="shared" si="2"/>
        <v>IF_No#Para[41]</v>
      </c>
    </row>
    <row r="155" spans="1:15" ht="17.399999999999999" customHeight="1" x14ac:dyDescent="0.45">
      <c r="A155" s="71" t="s">
        <v>578</v>
      </c>
      <c r="B155" s="234"/>
      <c r="C155" s="242"/>
      <c r="D155" s="218"/>
      <c r="E155" s="71">
        <v>42</v>
      </c>
      <c r="F155" s="67" t="s">
        <v>523</v>
      </c>
      <c r="G155" s="9" t="s">
        <v>535</v>
      </c>
      <c r="H155" s="10"/>
      <c r="I155" s="11">
        <v>1</v>
      </c>
      <c r="J155" s="8">
        <v>0</v>
      </c>
      <c r="K155" s="8">
        <v>100</v>
      </c>
      <c r="L155" s="8" t="s">
        <v>6</v>
      </c>
      <c r="M155" s="59">
        <v>100</v>
      </c>
      <c r="N155" s="13"/>
      <c r="O155" s="202" t="str">
        <f t="shared" si="2"/>
        <v>IF_No#Para[42]</v>
      </c>
    </row>
    <row r="156" spans="1:15" ht="17.399999999999999" customHeight="1" x14ac:dyDescent="0.45">
      <c r="A156" s="71" t="s">
        <v>578</v>
      </c>
      <c r="B156" s="234"/>
      <c r="C156" s="242"/>
      <c r="D156" s="218"/>
      <c r="E156" s="71">
        <v>43</v>
      </c>
      <c r="F156" s="67" t="s">
        <v>524</v>
      </c>
      <c r="G156" s="9" t="s">
        <v>536</v>
      </c>
      <c r="H156" s="10"/>
      <c r="I156" s="11">
        <v>1</v>
      </c>
      <c r="J156" s="8">
        <v>0</v>
      </c>
      <c r="K156" s="8">
        <v>100</v>
      </c>
      <c r="L156" s="8" t="s">
        <v>6</v>
      </c>
      <c r="M156" s="59">
        <v>100</v>
      </c>
      <c r="N156" s="13"/>
      <c r="O156" s="202" t="str">
        <f t="shared" si="2"/>
        <v>IF_No#Para[43]</v>
      </c>
    </row>
    <row r="157" spans="1:15" ht="17.399999999999999" customHeight="1" x14ac:dyDescent="0.45">
      <c r="A157" s="71" t="s">
        <v>578</v>
      </c>
      <c r="B157" s="234"/>
      <c r="C157" s="242"/>
      <c r="D157" s="218"/>
      <c r="E157" s="71">
        <v>44</v>
      </c>
      <c r="F157" s="67" t="s">
        <v>525</v>
      </c>
      <c r="G157" s="9" t="s">
        <v>537</v>
      </c>
      <c r="H157" s="10"/>
      <c r="I157" s="11">
        <v>1</v>
      </c>
      <c r="J157" s="8">
        <v>0</v>
      </c>
      <c r="K157" s="8">
        <v>100</v>
      </c>
      <c r="L157" s="8" t="s">
        <v>6</v>
      </c>
      <c r="M157" s="59">
        <v>100</v>
      </c>
      <c r="N157" s="13"/>
      <c r="O157" s="202" t="str">
        <f t="shared" si="2"/>
        <v>IF_No#Para[44]</v>
      </c>
    </row>
    <row r="158" spans="1:15" ht="17.399999999999999" customHeight="1" x14ac:dyDescent="0.45">
      <c r="A158" s="71" t="s">
        <v>578</v>
      </c>
      <c r="B158" s="234"/>
      <c r="C158" s="242"/>
      <c r="D158" s="218"/>
      <c r="E158" s="71">
        <v>45</v>
      </c>
      <c r="F158" s="67" t="s">
        <v>526</v>
      </c>
      <c r="G158" s="9" t="s">
        <v>538</v>
      </c>
      <c r="H158" s="10"/>
      <c r="I158" s="11">
        <v>1</v>
      </c>
      <c r="J158" s="8">
        <v>0</v>
      </c>
      <c r="K158" s="8">
        <v>100</v>
      </c>
      <c r="L158" s="8" t="s">
        <v>6</v>
      </c>
      <c r="M158" s="59">
        <v>100</v>
      </c>
      <c r="N158" s="13"/>
      <c r="O158" s="202" t="str">
        <f t="shared" si="2"/>
        <v>IF_No#Para[45]</v>
      </c>
    </row>
    <row r="159" spans="1:15" ht="17.399999999999999" customHeight="1" x14ac:dyDescent="0.45">
      <c r="A159" s="71" t="s">
        <v>578</v>
      </c>
      <c r="B159" s="234"/>
      <c r="C159" s="242"/>
      <c r="D159" s="218"/>
      <c r="E159" s="71">
        <v>46</v>
      </c>
      <c r="F159" s="67" t="s">
        <v>527</v>
      </c>
      <c r="G159" s="9" t="s">
        <v>539</v>
      </c>
      <c r="H159" s="10"/>
      <c r="I159" s="11">
        <v>1</v>
      </c>
      <c r="J159" s="8">
        <v>0</v>
      </c>
      <c r="K159" s="8">
        <v>100</v>
      </c>
      <c r="L159" s="8" t="s">
        <v>6</v>
      </c>
      <c r="M159" s="59">
        <v>100</v>
      </c>
      <c r="N159" s="13"/>
      <c r="O159" s="202" t="str">
        <f t="shared" si="2"/>
        <v>IF_No#Para[46]</v>
      </c>
    </row>
    <row r="160" spans="1:15" ht="17.399999999999999" customHeight="1" x14ac:dyDescent="0.45">
      <c r="A160" s="71" t="s">
        <v>578</v>
      </c>
      <c r="B160" s="234"/>
      <c r="C160" s="242"/>
      <c r="D160" s="218"/>
      <c r="E160" s="71">
        <v>47</v>
      </c>
      <c r="F160" s="67" t="s">
        <v>528</v>
      </c>
      <c r="G160" s="9" t="s">
        <v>540</v>
      </c>
      <c r="H160" s="10"/>
      <c r="I160" s="11">
        <v>1</v>
      </c>
      <c r="J160" s="8">
        <v>0</v>
      </c>
      <c r="K160" s="8">
        <v>100</v>
      </c>
      <c r="L160" s="8" t="s">
        <v>6</v>
      </c>
      <c r="M160" s="59">
        <v>100</v>
      </c>
      <c r="N160" s="13"/>
      <c r="O160" s="202" t="str">
        <f t="shared" si="2"/>
        <v>IF_No#Para[47]</v>
      </c>
    </row>
    <row r="161" spans="1:15" ht="17.399999999999999" customHeight="1" x14ac:dyDescent="0.45">
      <c r="A161" s="71" t="s">
        <v>578</v>
      </c>
      <c r="B161" s="234"/>
      <c r="C161" s="242"/>
      <c r="D161" s="218"/>
      <c r="E161" s="71">
        <v>48</v>
      </c>
      <c r="F161" s="67" t="s">
        <v>529</v>
      </c>
      <c r="G161" s="9" t="s">
        <v>541</v>
      </c>
      <c r="H161" s="10"/>
      <c r="I161" s="11">
        <v>1</v>
      </c>
      <c r="J161" s="8">
        <v>0</v>
      </c>
      <c r="K161" s="8">
        <v>100</v>
      </c>
      <c r="L161" s="8" t="s">
        <v>6</v>
      </c>
      <c r="M161" s="59">
        <v>100</v>
      </c>
      <c r="N161" s="13"/>
      <c r="O161" s="202" t="str">
        <f t="shared" si="2"/>
        <v>IF_No#Para[48]</v>
      </c>
    </row>
    <row r="162" spans="1:15" ht="17.399999999999999" customHeight="1" x14ac:dyDescent="0.45">
      <c r="A162" s="75" t="s">
        <v>578</v>
      </c>
      <c r="B162" s="234"/>
      <c r="C162" s="249"/>
      <c r="D162" s="218"/>
      <c r="E162" s="75">
        <v>49</v>
      </c>
      <c r="F162" s="188" t="s">
        <v>530</v>
      </c>
      <c r="G162" s="76" t="s">
        <v>542</v>
      </c>
      <c r="H162" s="15"/>
      <c r="I162" s="16">
        <v>1</v>
      </c>
      <c r="J162" s="14">
        <v>0</v>
      </c>
      <c r="K162" s="14">
        <v>100</v>
      </c>
      <c r="L162" s="14" t="s">
        <v>6</v>
      </c>
      <c r="M162" s="62">
        <v>100</v>
      </c>
      <c r="N162" s="54"/>
      <c r="O162" s="205" t="str">
        <f t="shared" si="2"/>
        <v>IF_No#Para[49]</v>
      </c>
    </row>
    <row r="163" spans="1:15" ht="17.399999999999999" customHeight="1" x14ac:dyDescent="0.45">
      <c r="A163" s="73" t="s">
        <v>578</v>
      </c>
      <c r="B163" s="234"/>
      <c r="C163" s="250" t="s">
        <v>702</v>
      </c>
      <c r="D163" s="218" t="s">
        <v>703</v>
      </c>
      <c r="E163" s="73">
        <v>50</v>
      </c>
      <c r="F163" s="69" t="s">
        <v>697</v>
      </c>
      <c r="G163" s="6" t="s">
        <v>186</v>
      </c>
      <c r="H163" s="18" t="s">
        <v>187</v>
      </c>
      <c r="I163" s="7">
        <v>0.1</v>
      </c>
      <c r="J163" s="5">
        <v>0</v>
      </c>
      <c r="K163" s="5">
        <v>30</v>
      </c>
      <c r="L163" s="5" t="s">
        <v>6</v>
      </c>
      <c r="M163" s="61">
        <v>1000</v>
      </c>
      <c r="N163" s="17"/>
      <c r="O163" s="207" t="str">
        <f t="shared" si="2"/>
        <v>IF_No#Para[50]</v>
      </c>
    </row>
    <row r="164" spans="1:15" ht="17.399999999999999" customHeight="1" x14ac:dyDescent="0.45">
      <c r="A164" s="71" t="s">
        <v>578</v>
      </c>
      <c r="B164" s="234"/>
      <c r="C164" s="242"/>
      <c r="D164" s="218"/>
      <c r="E164" s="71">
        <v>51</v>
      </c>
      <c r="F164" s="67" t="s">
        <v>176</v>
      </c>
      <c r="G164" s="9" t="s">
        <v>188</v>
      </c>
      <c r="H164" s="10" t="s">
        <v>189</v>
      </c>
      <c r="I164" s="11">
        <v>0.1</v>
      </c>
      <c r="J164" s="8">
        <v>0</v>
      </c>
      <c r="K164" s="27">
        <v>30</v>
      </c>
      <c r="L164" s="8" t="s">
        <v>6</v>
      </c>
      <c r="M164" s="59">
        <v>1000</v>
      </c>
      <c r="N164" s="13"/>
      <c r="O164" s="202" t="str">
        <f t="shared" si="2"/>
        <v>IF_No#Para[51]</v>
      </c>
    </row>
    <row r="165" spans="1:15" ht="17.399999999999999" customHeight="1" x14ac:dyDescent="0.45">
      <c r="A165" s="71" t="s">
        <v>578</v>
      </c>
      <c r="B165" s="234"/>
      <c r="C165" s="242"/>
      <c r="D165" s="218"/>
      <c r="E165" s="71">
        <v>52</v>
      </c>
      <c r="F165" s="67" t="s">
        <v>177</v>
      </c>
      <c r="G165" s="9" t="s">
        <v>190</v>
      </c>
      <c r="H165" s="10" t="s">
        <v>191</v>
      </c>
      <c r="I165" s="11">
        <v>0.1</v>
      </c>
      <c r="J165" s="8">
        <v>0</v>
      </c>
      <c r="K165" s="27">
        <v>30</v>
      </c>
      <c r="L165" s="8" t="s">
        <v>6</v>
      </c>
      <c r="M165" s="59">
        <v>1000</v>
      </c>
      <c r="N165" s="13"/>
      <c r="O165" s="202" t="str">
        <f t="shared" si="2"/>
        <v>IF_No#Para[52]</v>
      </c>
    </row>
    <row r="166" spans="1:15" ht="17.399999999999999" customHeight="1" x14ac:dyDescent="0.45">
      <c r="A166" s="71" t="s">
        <v>578</v>
      </c>
      <c r="B166" s="234"/>
      <c r="C166" s="242"/>
      <c r="D166" s="218"/>
      <c r="E166" s="71">
        <v>53</v>
      </c>
      <c r="F166" s="67" t="s">
        <v>178</v>
      </c>
      <c r="G166" s="9" t="s">
        <v>192</v>
      </c>
      <c r="H166" s="10" t="s">
        <v>193</v>
      </c>
      <c r="I166" s="11">
        <v>0.1</v>
      </c>
      <c r="J166" s="8">
        <v>0</v>
      </c>
      <c r="K166" s="27">
        <v>30</v>
      </c>
      <c r="L166" s="8" t="s">
        <v>6</v>
      </c>
      <c r="M166" s="59">
        <v>1000</v>
      </c>
      <c r="N166" s="13"/>
      <c r="O166" s="202" t="str">
        <f t="shared" si="2"/>
        <v>IF_No#Para[53]</v>
      </c>
    </row>
    <row r="167" spans="1:15" ht="17.399999999999999" customHeight="1" x14ac:dyDescent="0.45">
      <c r="A167" s="71" t="s">
        <v>578</v>
      </c>
      <c r="B167" s="234"/>
      <c r="C167" s="242"/>
      <c r="D167" s="218"/>
      <c r="E167" s="71">
        <v>54</v>
      </c>
      <c r="F167" s="67" t="s">
        <v>179</v>
      </c>
      <c r="G167" s="9" t="s">
        <v>194</v>
      </c>
      <c r="H167" s="10" t="s">
        <v>195</v>
      </c>
      <c r="I167" s="11">
        <v>0.1</v>
      </c>
      <c r="J167" s="8">
        <v>0</v>
      </c>
      <c r="K167" s="27">
        <v>30</v>
      </c>
      <c r="L167" s="8" t="s">
        <v>6</v>
      </c>
      <c r="M167" s="59">
        <v>1000</v>
      </c>
      <c r="N167" s="13"/>
      <c r="O167" s="202" t="str">
        <f t="shared" si="2"/>
        <v>IF_No#Para[54]</v>
      </c>
    </row>
    <row r="168" spans="1:15" ht="17.399999999999999" customHeight="1" x14ac:dyDescent="0.45">
      <c r="A168" s="71" t="s">
        <v>578</v>
      </c>
      <c r="B168" s="234"/>
      <c r="C168" s="242"/>
      <c r="D168" s="218"/>
      <c r="E168" s="71">
        <v>55</v>
      </c>
      <c r="F168" s="67" t="s">
        <v>180</v>
      </c>
      <c r="G168" s="9" t="s">
        <v>196</v>
      </c>
      <c r="H168" s="10" t="s">
        <v>197</v>
      </c>
      <c r="I168" s="11">
        <v>0.1</v>
      </c>
      <c r="J168" s="8">
        <v>0</v>
      </c>
      <c r="K168" s="27">
        <v>30</v>
      </c>
      <c r="L168" s="8" t="s">
        <v>6</v>
      </c>
      <c r="M168" s="59">
        <v>1000</v>
      </c>
      <c r="N168" s="13"/>
      <c r="O168" s="202" t="str">
        <f t="shared" si="2"/>
        <v>IF_No#Para[55]</v>
      </c>
    </row>
    <row r="169" spans="1:15" ht="17.399999999999999" customHeight="1" x14ac:dyDescent="0.45">
      <c r="A169" s="71" t="s">
        <v>578</v>
      </c>
      <c r="B169" s="234"/>
      <c r="C169" s="242"/>
      <c r="D169" s="218"/>
      <c r="E169" s="71">
        <v>56</v>
      </c>
      <c r="F169" s="67" t="s">
        <v>181</v>
      </c>
      <c r="G169" s="9" t="s">
        <v>198</v>
      </c>
      <c r="H169" s="10" t="s">
        <v>199</v>
      </c>
      <c r="I169" s="11">
        <v>0.1</v>
      </c>
      <c r="J169" s="8">
        <v>0</v>
      </c>
      <c r="K169" s="27">
        <v>30</v>
      </c>
      <c r="L169" s="8" t="s">
        <v>6</v>
      </c>
      <c r="M169" s="59">
        <v>1000</v>
      </c>
      <c r="N169" s="13"/>
      <c r="O169" s="202" t="str">
        <f t="shared" si="2"/>
        <v>IF_No#Para[56]</v>
      </c>
    </row>
    <row r="170" spans="1:15" ht="17.399999999999999" customHeight="1" x14ac:dyDescent="0.45">
      <c r="A170" s="71" t="s">
        <v>578</v>
      </c>
      <c r="B170" s="234"/>
      <c r="C170" s="242"/>
      <c r="D170" s="218"/>
      <c r="E170" s="71">
        <v>57</v>
      </c>
      <c r="F170" s="67" t="s">
        <v>182</v>
      </c>
      <c r="G170" s="9" t="s">
        <v>200</v>
      </c>
      <c r="H170" s="10" t="s">
        <v>201</v>
      </c>
      <c r="I170" s="11">
        <v>0.1</v>
      </c>
      <c r="J170" s="8">
        <v>0</v>
      </c>
      <c r="K170" s="27">
        <v>30</v>
      </c>
      <c r="L170" s="8" t="s">
        <v>6</v>
      </c>
      <c r="M170" s="59">
        <v>1000</v>
      </c>
      <c r="N170" s="13"/>
      <c r="O170" s="202" t="str">
        <f t="shared" si="2"/>
        <v>IF_No#Para[57]</v>
      </c>
    </row>
    <row r="171" spans="1:15" ht="17.399999999999999" customHeight="1" x14ac:dyDescent="0.45">
      <c r="A171" s="71" t="s">
        <v>578</v>
      </c>
      <c r="B171" s="234"/>
      <c r="C171" s="242"/>
      <c r="D171" s="218"/>
      <c r="E171" s="71">
        <v>58</v>
      </c>
      <c r="F171" s="67" t="s">
        <v>183</v>
      </c>
      <c r="G171" s="9" t="s">
        <v>202</v>
      </c>
      <c r="H171" s="10" t="s">
        <v>203</v>
      </c>
      <c r="I171" s="11">
        <v>0.1</v>
      </c>
      <c r="J171" s="8">
        <v>0</v>
      </c>
      <c r="K171" s="27">
        <v>30</v>
      </c>
      <c r="L171" s="8" t="s">
        <v>6</v>
      </c>
      <c r="M171" s="59">
        <v>1000</v>
      </c>
      <c r="N171" s="13"/>
      <c r="O171" s="202" t="str">
        <f t="shared" si="2"/>
        <v>IF_No#Para[58]</v>
      </c>
    </row>
    <row r="172" spans="1:15" ht="17.399999999999999" customHeight="1" x14ac:dyDescent="0.45">
      <c r="A172" s="71" t="s">
        <v>578</v>
      </c>
      <c r="B172" s="234"/>
      <c r="C172" s="242"/>
      <c r="D172" s="218"/>
      <c r="E172" s="71">
        <v>59</v>
      </c>
      <c r="F172" s="67" t="s">
        <v>184</v>
      </c>
      <c r="G172" s="9" t="s">
        <v>204</v>
      </c>
      <c r="H172" s="10" t="s">
        <v>205</v>
      </c>
      <c r="I172" s="11">
        <v>0.1</v>
      </c>
      <c r="J172" s="8">
        <v>0</v>
      </c>
      <c r="K172" s="27">
        <v>30</v>
      </c>
      <c r="L172" s="8" t="s">
        <v>6</v>
      </c>
      <c r="M172" s="59">
        <v>1000</v>
      </c>
      <c r="N172" s="13"/>
      <c r="O172" s="202" t="str">
        <f t="shared" si="2"/>
        <v>IF_No#Para[59]</v>
      </c>
    </row>
    <row r="173" spans="1:15" ht="17.399999999999999" customHeight="1" x14ac:dyDescent="0.45">
      <c r="A173" s="71" t="s">
        <v>578</v>
      </c>
      <c r="B173" s="234"/>
      <c r="C173" s="242"/>
      <c r="D173" s="218"/>
      <c r="E173" s="71">
        <v>60</v>
      </c>
      <c r="F173" s="67" t="s">
        <v>37</v>
      </c>
      <c r="G173" s="9" t="s">
        <v>206</v>
      </c>
      <c r="H173" s="10" t="s">
        <v>207</v>
      </c>
      <c r="I173" s="11">
        <v>0.1</v>
      </c>
      <c r="J173" s="8">
        <v>0</v>
      </c>
      <c r="K173" s="27">
        <v>30</v>
      </c>
      <c r="L173" s="8" t="s">
        <v>6</v>
      </c>
      <c r="M173" s="59">
        <v>1000</v>
      </c>
      <c r="N173" s="13"/>
      <c r="O173" s="202" t="str">
        <f t="shared" si="2"/>
        <v>IF_No#Para[60]</v>
      </c>
    </row>
    <row r="174" spans="1:15" ht="17.399999999999999" customHeight="1" x14ac:dyDescent="0.45">
      <c r="A174" s="71" t="s">
        <v>578</v>
      </c>
      <c r="B174" s="234"/>
      <c r="C174" s="242"/>
      <c r="D174" s="218"/>
      <c r="E174" s="71">
        <v>61</v>
      </c>
      <c r="F174" s="67" t="s">
        <v>185</v>
      </c>
      <c r="G174" s="9" t="s">
        <v>208</v>
      </c>
      <c r="H174" s="10" t="s">
        <v>209</v>
      </c>
      <c r="I174" s="11">
        <v>0.1</v>
      </c>
      <c r="J174" s="8">
        <v>0</v>
      </c>
      <c r="K174" s="27">
        <v>30</v>
      </c>
      <c r="L174" s="8" t="s">
        <v>6</v>
      </c>
      <c r="M174" s="59">
        <v>1000</v>
      </c>
      <c r="N174" s="13"/>
      <c r="O174" s="202" t="str">
        <f t="shared" si="2"/>
        <v>IF_No#Para[61]</v>
      </c>
    </row>
    <row r="175" spans="1:15" ht="17.399999999999999" customHeight="1" x14ac:dyDescent="0.45">
      <c r="A175" s="71" t="s">
        <v>578</v>
      </c>
      <c r="B175" s="234"/>
      <c r="C175" s="242"/>
      <c r="D175" s="218" t="s">
        <v>704</v>
      </c>
      <c r="E175" s="71">
        <v>62</v>
      </c>
      <c r="F175" s="67" t="s">
        <v>38</v>
      </c>
      <c r="G175" s="9" t="s">
        <v>41</v>
      </c>
      <c r="H175" s="10" t="s">
        <v>56</v>
      </c>
      <c r="I175" s="11">
        <v>10</v>
      </c>
      <c r="J175" s="8">
        <v>0</v>
      </c>
      <c r="K175" s="8">
        <v>300</v>
      </c>
      <c r="L175" s="8" t="s">
        <v>6</v>
      </c>
      <c r="M175" s="59">
        <v>100</v>
      </c>
      <c r="N175" s="13"/>
      <c r="O175" s="202" t="str">
        <f t="shared" si="2"/>
        <v>IF_No#Para[62]</v>
      </c>
    </row>
    <row r="176" spans="1:15" ht="17.399999999999999" customHeight="1" x14ac:dyDescent="0.45">
      <c r="A176" s="71" t="s">
        <v>578</v>
      </c>
      <c r="B176" s="234"/>
      <c r="C176" s="242"/>
      <c r="D176" s="218"/>
      <c r="E176" s="71">
        <v>63</v>
      </c>
      <c r="F176" s="67" t="s">
        <v>39</v>
      </c>
      <c r="G176" s="9" t="s">
        <v>42</v>
      </c>
      <c r="H176" s="10" t="s">
        <v>57</v>
      </c>
      <c r="I176" s="11">
        <v>0.5</v>
      </c>
      <c r="J176" s="8">
        <v>0</v>
      </c>
      <c r="K176" s="8">
        <v>300</v>
      </c>
      <c r="L176" s="8" t="s">
        <v>6</v>
      </c>
      <c r="M176" s="59">
        <v>100</v>
      </c>
      <c r="N176" s="13"/>
      <c r="O176" s="202" t="str">
        <f t="shared" si="2"/>
        <v>IF_No#Para[63]</v>
      </c>
    </row>
    <row r="177" spans="1:15" ht="17.399999999999999" customHeight="1" x14ac:dyDescent="0.45">
      <c r="A177" s="71" t="s">
        <v>578</v>
      </c>
      <c r="B177" s="234"/>
      <c r="C177" s="242"/>
      <c r="D177" s="218"/>
      <c r="E177" s="71">
        <v>64</v>
      </c>
      <c r="F177" s="67" t="s">
        <v>40</v>
      </c>
      <c r="G177" s="9" t="s">
        <v>59</v>
      </c>
      <c r="H177" s="10" t="s">
        <v>58</v>
      </c>
      <c r="I177" s="11">
        <v>0.2</v>
      </c>
      <c r="J177" s="8">
        <v>0</v>
      </c>
      <c r="K177" s="8">
        <v>300</v>
      </c>
      <c r="L177" s="8" t="s">
        <v>6</v>
      </c>
      <c r="M177" s="59">
        <v>100</v>
      </c>
      <c r="N177" s="13"/>
      <c r="O177" s="202" t="str">
        <f t="shared" si="2"/>
        <v>IF_No#Para[64]</v>
      </c>
    </row>
    <row r="178" spans="1:15" ht="17.399999999999999" customHeight="1" x14ac:dyDescent="0.45">
      <c r="A178" s="71" t="s">
        <v>578</v>
      </c>
      <c r="B178" s="234"/>
      <c r="C178" s="242"/>
      <c r="D178" s="218"/>
      <c r="E178" s="71">
        <v>65</v>
      </c>
      <c r="F178" s="67" t="s">
        <v>84</v>
      </c>
      <c r="G178" s="9" t="s">
        <v>85</v>
      </c>
      <c r="H178" s="10" t="s">
        <v>86</v>
      </c>
      <c r="I178" s="11">
        <v>0.1</v>
      </c>
      <c r="J178" s="8">
        <v>0</v>
      </c>
      <c r="K178" s="27">
        <v>30</v>
      </c>
      <c r="L178" s="8" t="s">
        <v>87</v>
      </c>
      <c r="M178" s="59">
        <v>1000</v>
      </c>
      <c r="N178" s="13"/>
      <c r="O178" s="202" t="str">
        <f t="shared" ref="O178:O190" si="3">CONCATENATE("IF_No#Para[",E178,"]")</f>
        <v>IF_No#Para[65]</v>
      </c>
    </row>
    <row r="179" spans="1:15" ht="17.399999999999999" customHeight="1" x14ac:dyDescent="0.45">
      <c r="A179" s="71" t="s">
        <v>578</v>
      </c>
      <c r="B179" s="234"/>
      <c r="C179" s="242"/>
      <c r="D179" s="218"/>
      <c r="E179" s="71">
        <v>66</v>
      </c>
      <c r="F179" s="67" t="s">
        <v>88</v>
      </c>
      <c r="G179" s="9" t="s">
        <v>89</v>
      </c>
      <c r="H179" s="10" t="s">
        <v>90</v>
      </c>
      <c r="I179" s="11">
        <v>1</v>
      </c>
      <c r="J179" s="8">
        <v>0</v>
      </c>
      <c r="K179" s="8">
        <v>300</v>
      </c>
      <c r="L179" s="8" t="s">
        <v>87</v>
      </c>
      <c r="M179" s="59">
        <v>100</v>
      </c>
      <c r="N179" s="13"/>
      <c r="O179" s="202" t="str">
        <f t="shared" si="3"/>
        <v>IF_No#Para[66]</v>
      </c>
    </row>
    <row r="180" spans="1:15" ht="17.399999999999999" customHeight="1" x14ac:dyDescent="0.45">
      <c r="A180" s="71" t="s">
        <v>578</v>
      </c>
      <c r="B180" s="234"/>
      <c r="C180" s="242"/>
      <c r="D180" s="218"/>
      <c r="E180" s="71">
        <v>67</v>
      </c>
      <c r="F180" s="67" t="s">
        <v>91</v>
      </c>
      <c r="G180" s="9" t="s">
        <v>92</v>
      </c>
      <c r="H180" s="10" t="s">
        <v>93</v>
      </c>
      <c r="I180" s="11">
        <v>0</v>
      </c>
      <c r="J180" s="8">
        <v>0</v>
      </c>
      <c r="K180" s="8">
        <v>300</v>
      </c>
      <c r="L180" s="8" t="s">
        <v>87</v>
      </c>
      <c r="M180" s="59">
        <v>100</v>
      </c>
      <c r="N180" s="13"/>
      <c r="O180" s="202" t="str">
        <f t="shared" si="3"/>
        <v>IF_No#Para[67]</v>
      </c>
    </row>
    <row r="181" spans="1:15" ht="17.399999999999999" customHeight="1" x14ac:dyDescent="0.45">
      <c r="A181" s="71" t="s">
        <v>578</v>
      </c>
      <c r="B181" s="234"/>
      <c r="C181" s="242"/>
      <c r="D181" s="218"/>
      <c r="E181" s="71">
        <v>68</v>
      </c>
      <c r="F181" s="67" t="s">
        <v>94</v>
      </c>
      <c r="G181" s="9" t="s">
        <v>95</v>
      </c>
      <c r="H181" s="10" t="s">
        <v>96</v>
      </c>
      <c r="I181" s="11">
        <v>0</v>
      </c>
      <c r="J181" s="8">
        <v>0</v>
      </c>
      <c r="K181" s="8">
        <v>300</v>
      </c>
      <c r="L181" s="8" t="s">
        <v>87</v>
      </c>
      <c r="M181" s="59">
        <v>100</v>
      </c>
      <c r="N181" s="13"/>
      <c r="O181" s="202" t="str">
        <f t="shared" si="3"/>
        <v>IF_No#Para[68]</v>
      </c>
    </row>
    <row r="182" spans="1:15" ht="17.399999999999999" customHeight="1" x14ac:dyDescent="0.45">
      <c r="A182" s="72" t="s">
        <v>569</v>
      </c>
      <c r="B182" s="234"/>
      <c r="C182" s="242"/>
      <c r="D182" s="218"/>
      <c r="E182" s="72">
        <v>69</v>
      </c>
      <c r="F182" s="68" t="s">
        <v>594</v>
      </c>
      <c r="G182" s="51"/>
      <c r="H182" s="47"/>
      <c r="I182" s="48">
        <v>0</v>
      </c>
      <c r="J182" s="46">
        <v>0</v>
      </c>
      <c r="K182" s="46">
        <v>1000</v>
      </c>
      <c r="L182" s="46" t="s">
        <v>87</v>
      </c>
      <c r="M182" s="60">
        <v>1</v>
      </c>
      <c r="N182" s="49"/>
      <c r="O182" s="202" t="str">
        <f t="shared" si="3"/>
        <v>IF_No#Para[69]</v>
      </c>
    </row>
    <row r="183" spans="1:15" ht="17.399999999999999" customHeight="1" x14ac:dyDescent="0.45">
      <c r="A183" s="72" t="s">
        <v>569</v>
      </c>
      <c r="B183" s="234"/>
      <c r="C183" s="242"/>
      <c r="D183" s="218"/>
      <c r="E183" s="72">
        <v>70</v>
      </c>
      <c r="F183" s="68" t="s">
        <v>595</v>
      </c>
      <c r="G183" s="51"/>
      <c r="H183" s="47"/>
      <c r="I183" s="48">
        <v>0</v>
      </c>
      <c r="J183" s="46">
        <v>0</v>
      </c>
      <c r="K183" s="46">
        <v>1000</v>
      </c>
      <c r="L183" s="46" t="s">
        <v>87</v>
      </c>
      <c r="M183" s="60">
        <v>1</v>
      </c>
      <c r="N183" s="49"/>
      <c r="O183" s="202" t="str">
        <f t="shared" si="3"/>
        <v>IF_No#Para[70]</v>
      </c>
    </row>
    <row r="184" spans="1:15" ht="17.399999999999999" customHeight="1" x14ac:dyDescent="0.45">
      <c r="A184" s="72" t="s">
        <v>569</v>
      </c>
      <c r="B184" s="234"/>
      <c r="C184" s="242"/>
      <c r="D184" s="218"/>
      <c r="E184" s="72">
        <v>71</v>
      </c>
      <c r="F184" s="68" t="s">
        <v>596</v>
      </c>
      <c r="G184" s="51"/>
      <c r="H184" s="47"/>
      <c r="I184" s="48">
        <v>0</v>
      </c>
      <c r="J184" s="46">
        <v>0</v>
      </c>
      <c r="K184" s="46">
        <v>1000</v>
      </c>
      <c r="L184" s="46" t="s">
        <v>87</v>
      </c>
      <c r="M184" s="60">
        <v>1</v>
      </c>
      <c r="N184" s="49"/>
      <c r="O184" s="202" t="str">
        <f t="shared" si="3"/>
        <v>IF_No#Para[71]</v>
      </c>
    </row>
    <row r="185" spans="1:15" ht="17.399999999999999" customHeight="1" x14ac:dyDescent="0.45">
      <c r="A185" s="72" t="s">
        <v>569</v>
      </c>
      <c r="B185" s="234"/>
      <c r="C185" s="242"/>
      <c r="D185" s="218"/>
      <c r="E185" s="72">
        <v>72</v>
      </c>
      <c r="F185" s="68" t="s">
        <v>597</v>
      </c>
      <c r="G185" s="51"/>
      <c r="H185" s="47"/>
      <c r="I185" s="48">
        <v>0</v>
      </c>
      <c r="J185" s="46">
        <v>0</v>
      </c>
      <c r="K185" s="46">
        <v>1000</v>
      </c>
      <c r="L185" s="46" t="s">
        <v>87</v>
      </c>
      <c r="M185" s="60">
        <v>1</v>
      </c>
      <c r="N185" s="49"/>
      <c r="O185" s="202" t="str">
        <f t="shared" si="3"/>
        <v>IF_No#Para[72]</v>
      </c>
    </row>
    <row r="186" spans="1:15" ht="17.399999999999999" customHeight="1" x14ac:dyDescent="0.45">
      <c r="A186" s="72" t="s">
        <v>569</v>
      </c>
      <c r="B186" s="234"/>
      <c r="C186" s="242"/>
      <c r="D186" s="218"/>
      <c r="E186" s="72">
        <v>73</v>
      </c>
      <c r="F186" s="68" t="s">
        <v>598</v>
      </c>
      <c r="G186" s="51"/>
      <c r="H186" s="47"/>
      <c r="I186" s="48">
        <v>0</v>
      </c>
      <c r="J186" s="46">
        <v>0</v>
      </c>
      <c r="K186" s="46">
        <v>1000</v>
      </c>
      <c r="L186" s="46" t="s">
        <v>87</v>
      </c>
      <c r="M186" s="60">
        <v>1</v>
      </c>
      <c r="N186" s="49"/>
      <c r="O186" s="202" t="str">
        <f t="shared" si="3"/>
        <v>IF_No#Para[73]</v>
      </c>
    </row>
    <row r="187" spans="1:15" ht="17.399999999999999" customHeight="1" x14ac:dyDescent="0.45">
      <c r="A187" s="152" t="s">
        <v>569</v>
      </c>
      <c r="B187" s="234"/>
      <c r="C187" s="249"/>
      <c r="D187" s="218"/>
      <c r="E187" s="152">
        <v>74</v>
      </c>
      <c r="F187" s="174" t="s">
        <v>599</v>
      </c>
      <c r="G187" s="153"/>
      <c r="H187" s="154"/>
      <c r="I187" s="155">
        <v>0</v>
      </c>
      <c r="J187" s="156">
        <v>0</v>
      </c>
      <c r="K187" s="156">
        <v>1000</v>
      </c>
      <c r="L187" s="156" t="s">
        <v>87</v>
      </c>
      <c r="M187" s="194">
        <v>1</v>
      </c>
      <c r="N187" s="157"/>
      <c r="O187" s="205" t="str">
        <f t="shared" si="3"/>
        <v>IF_No#Para[74]</v>
      </c>
    </row>
    <row r="188" spans="1:15" ht="17.399999999999999" customHeight="1" x14ac:dyDescent="0.45">
      <c r="A188" s="198" t="s">
        <v>569</v>
      </c>
      <c r="B188" s="234"/>
      <c r="C188" s="251" t="s">
        <v>705</v>
      </c>
      <c r="D188" s="219" t="s">
        <v>706</v>
      </c>
      <c r="E188" s="198">
        <v>75</v>
      </c>
      <c r="F188" s="189" t="s">
        <v>744</v>
      </c>
      <c r="G188" s="190"/>
      <c r="H188" s="190"/>
      <c r="I188" s="191"/>
      <c r="J188" s="192"/>
      <c r="K188" s="192"/>
      <c r="L188" s="192"/>
      <c r="M188" s="192"/>
      <c r="N188" s="193"/>
      <c r="O188" s="206" t="str">
        <f t="shared" si="3"/>
        <v>IF_No#Para[75]</v>
      </c>
    </row>
    <row r="189" spans="1:15" ht="17.399999999999999" customHeight="1" x14ac:dyDescent="0.45">
      <c r="A189" s="85" t="s">
        <v>569</v>
      </c>
      <c r="B189" s="234"/>
      <c r="C189" s="224"/>
      <c r="D189" s="220"/>
      <c r="E189" s="85" t="s">
        <v>567</v>
      </c>
      <c r="F189" s="176" t="s">
        <v>567</v>
      </c>
      <c r="G189" s="108"/>
      <c r="H189" s="108"/>
      <c r="I189" s="87"/>
      <c r="J189" s="88"/>
      <c r="K189" s="88"/>
      <c r="L189" s="88"/>
      <c r="M189" s="88"/>
      <c r="N189" s="109"/>
      <c r="O189" s="203" t="str">
        <f t="shared" si="3"/>
        <v>IF_No#Para[...]</v>
      </c>
    </row>
    <row r="190" spans="1:15" ht="17.399999999999999" customHeight="1" thickBot="1" x14ac:dyDescent="0.5">
      <c r="A190" s="90" t="s">
        <v>569</v>
      </c>
      <c r="B190" s="237"/>
      <c r="C190" s="252"/>
      <c r="D190" s="221"/>
      <c r="E190" s="90">
        <v>99</v>
      </c>
      <c r="F190" s="180" t="s">
        <v>746</v>
      </c>
      <c r="G190" s="160"/>
      <c r="H190" s="160"/>
      <c r="I190" s="92"/>
      <c r="J190" s="93"/>
      <c r="K190" s="93"/>
      <c r="L190" s="93"/>
      <c r="M190" s="93"/>
      <c r="N190" s="161"/>
      <c r="O190" s="204" t="str">
        <f t="shared" si="3"/>
        <v>IF_No#Para[99]</v>
      </c>
    </row>
  </sheetData>
  <mergeCells count="52">
    <mergeCell ref="A3:A4"/>
    <mergeCell ref="D22:D26"/>
    <mergeCell ref="B5:B112"/>
    <mergeCell ref="B2:N2"/>
    <mergeCell ref="F3:F4"/>
    <mergeCell ref="G3:G4"/>
    <mergeCell ref="H3:H4"/>
    <mergeCell ref="I3:I4"/>
    <mergeCell ref="J3:L3"/>
    <mergeCell ref="N3:N4"/>
    <mergeCell ref="D3:D4"/>
    <mergeCell ref="B3:B4"/>
    <mergeCell ref="C3:C4"/>
    <mergeCell ref="M3:M4"/>
    <mergeCell ref="E3:E4"/>
    <mergeCell ref="D75:D79"/>
    <mergeCell ref="D70:D74"/>
    <mergeCell ref="B113:B190"/>
    <mergeCell ref="D30:D34"/>
    <mergeCell ref="D35:D44"/>
    <mergeCell ref="D45:D49"/>
    <mergeCell ref="D50:D54"/>
    <mergeCell ref="D55:D59"/>
    <mergeCell ref="C113:C162"/>
    <mergeCell ref="C163:C187"/>
    <mergeCell ref="C188:C190"/>
    <mergeCell ref="O3:O4"/>
    <mergeCell ref="C80:C109"/>
    <mergeCell ref="D80:D84"/>
    <mergeCell ref="C30:C79"/>
    <mergeCell ref="D85:D89"/>
    <mergeCell ref="D90:D104"/>
    <mergeCell ref="D105:D109"/>
    <mergeCell ref="C12:C29"/>
    <mergeCell ref="D12:D16"/>
    <mergeCell ref="D17:D21"/>
    <mergeCell ref="D27:D29"/>
    <mergeCell ref="C5:C11"/>
    <mergeCell ref="D5:D8"/>
    <mergeCell ref="D9:D11"/>
    <mergeCell ref="D60:D64"/>
    <mergeCell ref="D65:D69"/>
    <mergeCell ref="D113:D114"/>
    <mergeCell ref="D115:D126"/>
    <mergeCell ref="C110:C112"/>
    <mergeCell ref="D110:D112"/>
    <mergeCell ref="D127:D138"/>
    <mergeCell ref="D139:D150"/>
    <mergeCell ref="D151:D162"/>
    <mergeCell ref="D163:D174"/>
    <mergeCell ref="D175:D187"/>
    <mergeCell ref="D188:D190"/>
  </mergeCells>
  <phoneticPr fontId="1" type="noConversion"/>
  <pageMargins left="0.7" right="0.7" top="0.75" bottom="0.75" header="0.3" footer="0.3"/>
  <pageSetup paperSize="9" scale="3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10F77-AB2D-4918-93EB-2A88D5093976}">
  <dimension ref="A1:X210"/>
  <sheetViews>
    <sheetView topLeftCell="T46" workbookViewId="0">
      <selection activeCell="AD1" sqref="AD1"/>
    </sheetView>
  </sheetViews>
  <sheetFormatPr defaultRowHeight="17" x14ac:dyDescent="0.45"/>
  <cols>
    <col min="1" max="4" width="19" style="208" customWidth="1"/>
    <col min="5" max="5" width="19" style="209" customWidth="1"/>
    <col min="6" max="6" width="19" style="210" customWidth="1"/>
    <col min="7" max="9" width="19" style="208" customWidth="1"/>
    <col min="10" max="10" width="19" style="209" customWidth="1"/>
    <col min="11" max="14" width="19" customWidth="1"/>
    <col min="15" max="15" width="19" style="209" customWidth="1"/>
    <col min="16" max="16" width="19" style="211" customWidth="1"/>
    <col min="17" max="17" width="4.4140625" bestFit="1" customWidth="1"/>
    <col min="18" max="18" width="25.6640625" bestFit="1" customWidth="1"/>
    <col min="19" max="19" width="32.33203125" bestFit="1" customWidth="1"/>
    <col min="21" max="21" width="16.33203125" bestFit="1" customWidth="1"/>
    <col min="22" max="22" width="22.9140625" bestFit="1" customWidth="1"/>
  </cols>
  <sheetData>
    <row r="1" spans="1:22" x14ac:dyDescent="0.45">
      <c r="A1" s="270" t="s">
        <v>15</v>
      </c>
      <c r="B1" s="270"/>
      <c r="C1" s="270"/>
      <c r="D1" s="270"/>
      <c r="E1" s="271"/>
      <c r="F1" s="270" t="s">
        <v>16</v>
      </c>
      <c r="G1" s="270"/>
      <c r="H1" s="270"/>
      <c r="I1" s="270"/>
      <c r="J1" s="271"/>
      <c r="K1" s="270" t="s">
        <v>18</v>
      </c>
      <c r="L1" s="270"/>
      <c r="M1" s="270"/>
      <c r="N1" s="270"/>
      <c r="O1" s="271"/>
      <c r="P1" s="213"/>
      <c r="Q1" s="214"/>
      <c r="R1" s="214"/>
      <c r="S1" s="214"/>
      <c r="T1" s="215"/>
    </row>
    <row r="2" spans="1:22" x14ac:dyDescent="0.45">
      <c r="A2" s="211" t="s">
        <v>612</v>
      </c>
      <c r="B2" s="211"/>
      <c r="C2" s="211" t="s">
        <v>609</v>
      </c>
      <c r="D2" s="211" t="s">
        <v>610</v>
      </c>
      <c r="E2" s="212" t="s">
        <v>611</v>
      </c>
      <c r="F2" s="211" t="s">
        <v>612</v>
      </c>
      <c r="G2" s="211"/>
      <c r="H2" s="211" t="s">
        <v>609</v>
      </c>
      <c r="I2" s="211" t="s">
        <v>610</v>
      </c>
      <c r="J2" s="212" t="s">
        <v>611</v>
      </c>
      <c r="K2" s="211" t="s">
        <v>612</v>
      </c>
      <c r="L2" s="211"/>
      <c r="M2" s="211" t="s">
        <v>609</v>
      </c>
      <c r="N2" s="211" t="s">
        <v>610</v>
      </c>
      <c r="O2" s="212" t="s">
        <v>611</v>
      </c>
    </row>
    <row r="3" spans="1:22" x14ac:dyDescent="0.45">
      <c r="A3" s="208" t="str">
        <f>SUBSTITUTE(LEFT(Parameters!B5,IF(IFERROR(FIND("[",Parameters!B5),100)&gt;IFERROR(FIND("(",Parameters!B5),100),IFERROR(FIND("(",Parameters!B5),100),IFERROR(FIND("[",Parameters!B5),100))-1)," ","")</f>
        <v>Common</v>
      </c>
      <c r="B3" s="208" t="str" cm="1">
        <f t="array" ref="B3:B5">_xlfn.UNIQUE(A3:A192)</f>
        <v>Common</v>
      </c>
      <c r="C3" s="208" t="str">
        <f>IF(B3="","",_xlfn.CONCAT(B3,"_typ"))</f>
        <v>Common_typ</v>
      </c>
      <c r="D3" s="208" t="str">
        <f>IF(C3 = "","",_xlfn.CONCAT(C3," : STRUCT END_STRUCT;"))</f>
        <v>Common_typ : STRUCT END_STRUCT;</v>
      </c>
      <c r="E3" s="209" t="str">
        <f>IF(B3="","",_xlfn.CONCAT(B3," : ",C3,";"))</f>
        <v>Common : Common_typ;</v>
      </c>
      <c r="F3" s="210" t="str">
        <f>SUBSTITUTE(LEFT(Parameters!C5,IF(IFERROR(FIND("[",Parameters!C5),100)&gt;IFERROR(FIND("(",Parameters!C5),100),IFERROR(FIND("(",Parameters!C5),100),IFERROR(FIND("[",Parameters!C5),100))-1)," ","")</f>
        <v xml:space="preserve">System
</v>
      </c>
      <c r="G3" s="208" t="str" cm="1">
        <f t="array" ref="G3:G11">_xlfn.UNIQUE(F3:F192)</f>
        <v xml:space="preserve">System
</v>
      </c>
      <c r="H3" s="208" t="str">
        <f>IF(G3="","",_xlfn.CONCAT(G3,"_typ"))</f>
        <v>System
_typ</v>
      </c>
      <c r="I3" s="208" t="str">
        <f>IF(H3 = "","",_xlfn.CONCAT(H3," : STRUCT END_STRUCT;"))</f>
        <v>System
_typ : STRUCT END_STRUCT;</v>
      </c>
      <c r="J3" s="209" t="str">
        <f>IF(G3="","",_xlfn.CONCAT(G3," : ",H3,";"))</f>
        <v>System
 : System
_typ;</v>
      </c>
      <c r="K3" t="str">
        <f>SUBSTITUTE(LEFT(Parameters!D5,IF(IFERROR(FIND("[",Parameters!D5),100)&gt;IFERROR(FIND("(",Parameters!D5),100),IFERROR(FIND("(",Parameters!D5),100),IFERROR(FIND("[",Parameters!D5),100))-1)," ","")</f>
        <v>SystemType</v>
      </c>
      <c r="L3" s="208" t="str" cm="1">
        <f t="array" ref="L3:L31">_xlfn.UNIQUE(K3:K192)</f>
        <v>SystemType</v>
      </c>
      <c r="M3" t="str">
        <f>IF(L3="","",_xlfn.CONCAT(L3,"_typ"))</f>
        <v>SystemType_typ</v>
      </c>
      <c r="N3" s="208" t="str">
        <f>IF(M3 = "","",_xlfn.CONCAT(M3," : STRUCT END_STRUCT;"))</f>
        <v>SystemType_typ : STRUCT END_STRUCT;</v>
      </c>
      <c r="O3" s="209" t="str">
        <f>IF(L3="","",_xlfn.CONCAT(L3," : ",M3,";"))</f>
        <v>SystemType : SystemType_typ;</v>
      </c>
      <c r="P3" s="211" t="str">
        <f>K3</f>
        <v>SystemType</v>
      </c>
      <c r="Q3">
        <f>Parameters!E5</f>
        <v>0</v>
      </c>
      <c r="R3" t="str">
        <f>Parameters!F5</f>
        <v>MOCSType</v>
      </c>
      <c r="S3" t="str">
        <f>IF(R3 = "","",_xlfn.CONCAT(R3," : REAL;"))</f>
        <v>MOCSType : REAL;</v>
      </c>
      <c r="U3" t="s">
        <v>684</v>
      </c>
      <c r="V3" t="str">
        <f t="shared" ref="V3:V48" si="0">IF(U3 = "","",_xlfn.CONCAT(U3," : REAL;"))</f>
        <v>SystemReserved4 : REAL;</v>
      </c>
    </row>
    <row r="4" spans="1:22" x14ac:dyDescent="0.45">
      <c r="A4" s="208" t="str">
        <f>SUBSTITUTE(LEFT(Parameters!B6,IF(IFERROR(FIND("[",Parameters!B6),100)&gt;IFERROR(FIND("(",Parameters!B6),100),IFERROR(FIND("(",Parameters!B6),100),IFERROR(FIND("[",Parameters!B6),100))-1)," ","")</f>
        <v/>
      </c>
      <c r="B4" s="208" t="str">
        <v/>
      </c>
      <c r="C4" s="208" t="str">
        <f t="shared" ref="C4:C67" si="1">IF(B4="","",_xlfn.CONCAT(B4,"_typ"))</f>
        <v/>
      </c>
      <c r="D4" s="208" t="str">
        <f t="shared" ref="D4:D67" si="2">IF(C4 = "","",_xlfn.CONCAT(C4," : STRUCT END_STRUCT;"))</f>
        <v/>
      </c>
      <c r="E4" s="209" t="str">
        <f t="shared" ref="E4:E67" si="3">IF(B4="","",_xlfn.CONCAT(B4," : ",C4,";"))</f>
        <v/>
      </c>
      <c r="F4" s="210" t="str">
        <f>SUBSTITUTE(LEFT(Parameters!C6,IF(IFERROR(FIND("[",Parameters!C6),100)&gt;IFERROR(FIND("(",Parameters!C6),100),IFERROR(FIND("(",Parameters!C6),100),IFERROR(FIND("[",Parameters!C6),100))-1)," ","")</f>
        <v/>
      </c>
      <c r="G4" s="208" t="str">
        <v/>
      </c>
      <c r="H4" s="208" t="str">
        <f t="shared" ref="H4:H67" si="4">IF(G4="","",_xlfn.CONCAT(G4,"_typ"))</f>
        <v/>
      </c>
      <c r="I4" s="208" t="str">
        <f t="shared" ref="I4:I67" si="5">IF(H4 = "","",_xlfn.CONCAT(H4," : STRUCT END_STRUCT;"))</f>
        <v/>
      </c>
      <c r="J4" s="209" t="str">
        <f t="shared" ref="J4:J67" si="6">IF(G4="","",_xlfn.CONCAT(G4," : ",H4,";"))</f>
        <v/>
      </c>
      <c r="K4" t="str">
        <f>SUBSTITUTE(LEFT(Parameters!D6,IF(IFERROR(FIND("[",Parameters!D6),100)&gt;IFERROR(FIND("(",Parameters!D6),100),IFERROR(FIND("(",Parameters!D6),100),IFERROR(FIND("[",Parameters!D6),100))-1)," ","")</f>
        <v/>
      </c>
      <c r="L4" t="str">
        <v/>
      </c>
      <c r="M4" t="str">
        <f t="shared" ref="M4:M67" si="7">IF(L4="","",_xlfn.CONCAT(L4,"_typ"))</f>
        <v/>
      </c>
      <c r="N4" s="208" t="str">
        <f t="shared" ref="N4:N67" si="8">IF(M4 = "","",_xlfn.CONCAT(M4," : STRUCT END_STRUCT;"))</f>
        <v/>
      </c>
      <c r="O4" s="209" t="str">
        <f t="shared" ref="O4:O67" si="9">IF(L4="","",_xlfn.CONCAT(L4," : ",M4,";"))</f>
        <v/>
      </c>
      <c r="P4" s="211" t="str">
        <f t="shared" ref="P4:P67" si="10">K4</f>
        <v/>
      </c>
      <c r="Q4">
        <f>Parameters!E6</f>
        <v>1</v>
      </c>
      <c r="R4" t="str">
        <f>Parameters!F6</f>
        <v>NumofGE</v>
      </c>
      <c r="S4" t="str">
        <f t="shared" ref="S4:S67" si="11">IF(R4 = "","",_xlfn.CONCAT(R4," : REAL;"))</f>
        <v>NumofGE : REAL;</v>
      </c>
      <c r="U4" t="s">
        <v>616</v>
      </c>
      <c r="V4" t="str">
        <f t="shared" si="0"/>
        <v>SystemReserved5 : REAL;</v>
      </c>
    </row>
    <row r="5" spans="1:22" x14ac:dyDescent="0.45">
      <c r="A5" s="208" t="str">
        <f>SUBSTITUTE(LEFT(Parameters!B7,IF(IFERROR(FIND("[",Parameters!B7),100)&gt;IFERROR(FIND("(",Parameters!B7),100),IFERROR(FIND("(",Parameters!B7),100),IFERROR(FIND("[",Parameters!B7),100))-1)," ","")</f>
        <v/>
      </c>
      <c r="B5" s="208" t="str">
        <v>Indiv</v>
      </c>
      <c r="C5" s="208" t="str">
        <f t="shared" si="1"/>
        <v>Indiv_typ</v>
      </c>
      <c r="D5" s="208" t="str">
        <f t="shared" si="2"/>
        <v>Indiv_typ : STRUCT END_STRUCT;</v>
      </c>
      <c r="E5" s="209" t="str">
        <f t="shared" si="3"/>
        <v>Indiv : Indiv_typ;</v>
      </c>
      <c r="F5" s="210" t="str">
        <f>SUBSTITUTE(LEFT(Parameters!C7,IF(IFERROR(FIND("[",Parameters!C7),100)&gt;IFERROR(FIND("(",Parameters!C7),100),IFERROR(FIND("(",Parameters!C7),100),IFERROR(FIND("[",Parameters!C7),100))-1)," ","")</f>
        <v/>
      </c>
      <c r="G5" s="208" t="str">
        <v xml:space="preserve">StateFlag
</v>
      </c>
      <c r="H5" s="208" t="str">
        <f t="shared" si="4"/>
        <v>StateFlag
_typ</v>
      </c>
      <c r="I5" s="208" t="str">
        <f t="shared" si="5"/>
        <v>StateFlag
_typ : STRUCT END_STRUCT;</v>
      </c>
      <c r="J5" s="209" t="str">
        <f t="shared" si="6"/>
        <v>StateFlag
 : StateFlag
_typ;</v>
      </c>
      <c r="K5" t="str">
        <f>SUBSTITUTE(LEFT(Parameters!D7,IF(IFERROR(FIND("[",Parameters!D7),100)&gt;IFERROR(FIND("(",Parameters!D7),100),IFERROR(FIND("(",Parameters!D7),100),IFERROR(FIND("[",Parameters!D7),100))-1)," ","")</f>
        <v/>
      </c>
      <c r="L5" t="str">
        <v>SystemReserved</v>
      </c>
      <c r="M5" t="str">
        <f t="shared" si="7"/>
        <v>SystemReserved_typ</v>
      </c>
      <c r="N5" s="208" t="str">
        <f t="shared" si="8"/>
        <v>SystemReserved_typ : STRUCT END_STRUCT;</v>
      </c>
      <c r="O5" s="209" t="str">
        <f t="shared" si="9"/>
        <v>SystemReserved : SystemReserved_typ;</v>
      </c>
      <c r="P5" s="211" t="str">
        <f t="shared" si="10"/>
        <v/>
      </c>
      <c r="Q5">
        <f>Parameters!E7</f>
        <v>2</v>
      </c>
      <c r="R5" t="str">
        <f>Parameters!F7</f>
        <v>HeatingSystem</v>
      </c>
      <c r="S5" t="str">
        <f t="shared" si="11"/>
        <v>HeatingSystem : REAL;</v>
      </c>
      <c r="U5" t="s">
        <v>617</v>
      </c>
      <c r="V5" t="str">
        <f t="shared" si="0"/>
        <v>SystemReserved6 : REAL;</v>
      </c>
    </row>
    <row r="6" spans="1:22" x14ac:dyDescent="0.45">
      <c r="A6" s="208" t="str">
        <f>SUBSTITUTE(LEFT(Parameters!B8,IF(IFERROR(FIND("[",Parameters!B8),100)&gt;IFERROR(FIND("(",Parameters!B8),100),IFERROR(FIND("(",Parameters!B8),100),IFERROR(FIND("[",Parameters!B8),100))-1)," ","")</f>
        <v/>
      </c>
      <c r="C6" s="208" t="str">
        <f t="shared" si="1"/>
        <v/>
      </c>
      <c r="D6" s="208" t="str">
        <f t="shared" si="2"/>
        <v/>
      </c>
      <c r="E6" s="209" t="str">
        <f t="shared" si="3"/>
        <v/>
      </c>
      <c r="F6" s="210" t="str">
        <f>SUBSTITUTE(LEFT(Parameters!C8,IF(IFERROR(FIND("[",Parameters!C8),100)&gt;IFERROR(FIND("(",Parameters!C8),100),IFERROR(FIND("(",Parameters!C8),100),IFERROR(FIND("[",Parameters!C8),100))-1)," ","")</f>
        <v/>
      </c>
      <c r="G6" s="208" t="str">
        <v xml:space="preserve">Main
</v>
      </c>
      <c r="H6" s="208" t="str">
        <f t="shared" si="4"/>
        <v>Main
_typ</v>
      </c>
      <c r="I6" s="208" t="str">
        <f t="shared" si="5"/>
        <v>Main
_typ : STRUCT END_STRUCT;</v>
      </c>
      <c r="J6" s="209" t="str">
        <f t="shared" si="6"/>
        <v>Main
 : Main
_typ;</v>
      </c>
      <c r="K6" t="str">
        <f>SUBSTITUTE(LEFT(Parameters!D8,IF(IFERROR(FIND("[",Parameters!D8),100)&gt;IFERROR(FIND("(",Parameters!D8),100),IFERROR(FIND("(",Parameters!D8),100),IFERROR(FIND("[",Parameters!D8),100))-1)," ","")</f>
        <v/>
      </c>
      <c r="L6" t="str">
        <v>MSSNormalFlag</v>
      </c>
      <c r="M6" t="str">
        <f t="shared" si="7"/>
        <v>MSSNormalFlag_typ</v>
      </c>
      <c r="N6" s="208" t="str">
        <f t="shared" si="8"/>
        <v>MSSNormalFlag_typ : STRUCT END_STRUCT;</v>
      </c>
      <c r="O6" s="209" t="str">
        <f t="shared" si="9"/>
        <v>MSSNormalFlag : MSSNormalFlag_typ;</v>
      </c>
      <c r="P6" s="211" t="str">
        <f t="shared" si="10"/>
        <v/>
      </c>
      <c r="Q6">
        <f>Parameters!E8</f>
        <v>3</v>
      </c>
      <c r="R6" t="str">
        <f>Parameters!F8</f>
        <v>FOSuppUnit</v>
      </c>
      <c r="S6" t="str">
        <f t="shared" si="11"/>
        <v>FOSuppUnit : REAL;</v>
      </c>
      <c r="U6" t="s">
        <v>618</v>
      </c>
      <c r="V6" t="str">
        <f t="shared" si="0"/>
        <v>SystemReserved7 : REAL;</v>
      </c>
    </row>
    <row r="7" spans="1:22" x14ac:dyDescent="0.45">
      <c r="A7" s="208" t="str">
        <f>SUBSTITUTE(LEFT(Parameters!B9,IF(IFERROR(FIND("[",Parameters!B9),100)&gt;IFERROR(FIND("(",Parameters!B9),100),IFERROR(FIND("(",Parameters!B9),100),IFERROR(FIND("[",Parameters!B9),100))-1)," ","")</f>
        <v/>
      </c>
      <c r="C7" s="208" t="str">
        <f t="shared" si="1"/>
        <v/>
      </c>
      <c r="D7" s="208" t="str">
        <f t="shared" si="2"/>
        <v/>
      </c>
      <c r="E7" s="209" t="str">
        <f t="shared" si="3"/>
        <v/>
      </c>
      <c r="F7" s="210" t="str">
        <f>SUBSTITUTE(LEFT(Parameters!C9,IF(IFERROR(FIND("[",Parameters!C9),100)&gt;IFERROR(FIND("(",Parameters!C9),100),IFERROR(FIND("(",Parameters!C9),100),IFERROR(FIND("[",Parameters!C9),100))-1)," ","")</f>
        <v/>
      </c>
      <c r="G7" s="208" t="str">
        <v>FODS</v>
      </c>
      <c r="H7" s="208" t="str">
        <f t="shared" si="4"/>
        <v>FODS_typ</v>
      </c>
      <c r="I7" s="208" t="str">
        <f t="shared" si="5"/>
        <v>FODS_typ : STRUCT END_STRUCT;</v>
      </c>
      <c r="J7" s="209" t="str">
        <f t="shared" si="6"/>
        <v>FODS : FODS_typ;</v>
      </c>
      <c r="K7" t="str">
        <f>SUBSTITUTE(LEFT(Parameters!D9,IF(IFERROR(FIND("[",Parameters!D9),100)&gt;IFERROR(FIND("(",Parameters!D9),100),IFERROR(FIND("(",Parameters!D9),100),IFERROR(FIND("[",Parameters!D9),100))-1)," ","")</f>
        <v>SystemReserved</v>
      </c>
      <c r="L7" t="str">
        <v>LoadChangeFlag</v>
      </c>
      <c r="M7" t="str">
        <f t="shared" si="7"/>
        <v>LoadChangeFlag_typ</v>
      </c>
      <c r="N7" s="208" t="str">
        <f t="shared" si="8"/>
        <v>LoadChangeFlag_typ : STRUCT END_STRUCT;</v>
      </c>
      <c r="O7" s="209" t="str">
        <f t="shared" si="9"/>
        <v>LoadChangeFlag : LoadChangeFlag_typ;</v>
      </c>
      <c r="P7" s="211" t="str">
        <f t="shared" si="10"/>
        <v>SystemReserved</v>
      </c>
      <c r="Q7">
        <f>Parameters!E9</f>
        <v>4</v>
      </c>
      <c r="R7" t="str">
        <f>Parameters!F9</f>
        <v>SystemReserved4</v>
      </c>
      <c r="S7" t="str">
        <f t="shared" si="11"/>
        <v>SystemReserved4 : REAL;</v>
      </c>
      <c r="U7" t="s">
        <v>619</v>
      </c>
      <c r="V7" t="str">
        <f t="shared" si="0"/>
        <v>SystemReserved8 : REAL;</v>
      </c>
    </row>
    <row r="8" spans="1:22" x14ac:dyDescent="0.45">
      <c r="A8" s="208" t="str">
        <f>SUBSTITUTE(LEFT(Parameters!B10,IF(IFERROR(FIND("[",Parameters!B10),100)&gt;IFERROR(FIND("(",Parameters!B10),100),IFERROR(FIND("(",Parameters!B10),100),IFERROR(FIND("[",Parameters!B10),100))-1)," ","")</f>
        <v/>
      </c>
      <c r="C8" s="208" t="str">
        <f t="shared" si="1"/>
        <v/>
      </c>
      <c r="D8" s="208" t="str">
        <f t="shared" si="2"/>
        <v/>
      </c>
      <c r="E8" s="209" t="str">
        <f t="shared" si="3"/>
        <v/>
      </c>
      <c r="F8" s="210" t="str">
        <f>SUBSTITUTE(LEFT(Parameters!C10,IF(IFERROR(FIND("[",Parameters!C10),100)&gt;IFERROR(FIND("(",Parameters!C10),100),IFERROR(FIND("(",Parameters!C10),100),IFERROR(FIND("[",Parameters!C10),100))-1)," ","")</f>
        <v/>
      </c>
      <c r="G8" s="208" t="str">
        <v>CommonReservedCat2</v>
      </c>
      <c r="H8" s="208" t="str">
        <f t="shared" si="4"/>
        <v>CommonReservedCat2_typ</v>
      </c>
      <c r="I8" s="208" t="str">
        <f t="shared" si="5"/>
        <v>CommonReservedCat2_typ : STRUCT END_STRUCT;</v>
      </c>
      <c r="J8" s="209" t="str">
        <f t="shared" si="6"/>
        <v>CommonReservedCat2 : CommonReservedCat2_typ;</v>
      </c>
      <c r="K8" t="str">
        <f>SUBSTITUTE(LEFT(Parameters!D10,IF(IFERROR(FIND("[",Parameters!D10),100)&gt;IFERROR(FIND("(",Parameters!D10),100),IFERROR(FIND("(",Parameters!D10),100),IFERROR(FIND("[",Parameters!D10),100))-1)," ","")</f>
        <v/>
      </c>
      <c r="L8" t="str">
        <v>SystemWarmedUpFlag</v>
      </c>
      <c r="M8" t="str">
        <f t="shared" si="7"/>
        <v>SystemWarmedUpFlag_typ</v>
      </c>
      <c r="N8" s="208" t="str">
        <f t="shared" si="8"/>
        <v>SystemWarmedUpFlag_typ : STRUCT END_STRUCT;</v>
      </c>
      <c r="O8" s="209" t="str">
        <f t="shared" si="9"/>
        <v>SystemWarmedUpFlag : SystemWarmedUpFlag_typ;</v>
      </c>
      <c r="P8" s="211" t="str">
        <f t="shared" si="10"/>
        <v/>
      </c>
      <c r="Q8" t="str">
        <f>Parameters!E10</f>
        <v>...</v>
      </c>
      <c r="R8" t="str">
        <f>Parameters!F10</f>
        <v>...</v>
      </c>
      <c r="S8" t="str">
        <f t="shared" si="11"/>
        <v>... : REAL;</v>
      </c>
      <c r="U8" t="s">
        <v>620</v>
      </c>
      <c r="V8" t="str">
        <f t="shared" si="0"/>
        <v>SystemReserved9 : REAL;</v>
      </c>
    </row>
    <row r="9" spans="1:22" x14ac:dyDescent="0.45">
      <c r="A9" s="208" t="str">
        <f>SUBSTITUTE(LEFT(Parameters!B11,IF(IFERROR(FIND("[",Parameters!B11),100)&gt;IFERROR(FIND("(",Parameters!B11),100),IFERROR(FIND("(",Parameters!B11),100),IFERROR(FIND("[",Parameters!B11),100))-1)," ","")</f>
        <v/>
      </c>
      <c r="C9" s="208" t="str">
        <f t="shared" si="1"/>
        <v/>
      </c>
      <c r="D9" s="208" t="str">
        <f t="shared" si="2"/>
        <v/>
      </c>
      <c r="E9" s="209" t="str">
        <f t="shared" si="3"/>
        <v/>
      </c>
      <c r="F9" s="210" t="str">
        <f>SUBSTITUTE(LEFT(Parameters!C11,IF(IFERROR(FIND("[",Parameters!C11),100)&gt;IFERROR(FIND("(",Parameters!C11),100),IFERROR(FIND("(",Parameters!C11),100),IFERROR(FIND("[",Parameters!C11),100))-1)," ","")</f>
        <v/>
      </c>
      <c r="G9" s="208" t="str">
        <v>FODSFeedforward</v>
      </c>
      <c r="H9" s="208" t="str">
        <f t="shared" si="4"/>
        <v>FODSFeedforward_typ</v>
      </c>
      <c r="I9" s="208" t="str">
        <f t="shared" si="5"/>
        <v>FODSFeedforward_typ : STRUCT END_STRUCT;</v>
      </c>
      <c r="J9" s="209" t="str">
        <f t="shared" si="6"/>
        <v>FODSFeedforward : FODSFeedforward_typ;</v>
      </c>
      <c r="K9" t="str">
        <f>SUBSTITUTE(LEFT(Parameters!D11,IF(IFERROR(FIND("[",Parameters!D11),100)&gt;IFERROR(FIND("(",Parameters!D11),100),IFERROR(FIND("(",Parameters!D11),100),IFERROR(FIND("[",Parameters!D11),100))-1)," ","")</f>
        <v/>
      </c>
      <c r="L9" t="str">
        <v>FlagReserved</v>
      </c>
      <c r="M9" t="str">
        <f t="shared" si="7"/>
        <v>FlagReserved_typ</v>
      </c>
      <c r="N9" s="208" t="str">
        <f t="shared" si="8"/>
        <v>FlagReserved_typ : STRUCT END_STRUCT;</v>
      </c>
      <c r="O9" s="209" t="str">
        <f t="shared" si="9"/>
        <v>FlagReserved : FlagReserved_typ;</v>
      </c>
      <c r="P9" s="211" t="str">
        <f t="shared" si="10"/>
        <v/>
      </c>
      <c r="Q9">
        <f>Parameters!E11</f>
        <v>49</v>
      </c>
      <c r="R9" t="str">
        <f>Parameters!F11</f>
        <v>SystemReserved49</v>
      </c>
      <c r="S9" t="str">
        <f t="shared" si="11"/>
        <v>SystemReserved49 : REAL;</v>
      </c>
      <c r="U9" t="s">
        <v>621</v>
      </c>
      <c r="V9" t="str">
        <f t="shared" si="0"/>
        <v>SystemReserved10 : REAL;</v>
      </c>
    </row>
    <row r="10" spans="1:22" x14ac:dyDescent="0.45">
      <c r="A10" s="208" t="str">
        <f>SUBSTITUTE(LEFT(Parameters!B12,IF(IFERROR(FIND("[",Parameters!B12),100)&gt;IFERROR(FIND("(",Parameters!B12),100),IFERROR(FIND("(",Parameters!B12),100),IFERROR(FIND("[",Parameters!B12),100))-1)," ","")</f>
        <v/>
      </c>
      <c r="C10" s="208" t="str">
        <f t="shared" si="1"/>
        <v/>
      </c>
      <c r="D10" s="208" t="str">
        <f t="shared" si="2"/>
        <v/>
      </c>
      <c r="E10" s="209" t="str">
        <f t="shared" si="3"/>
        <v/>
      </c>
      <c r="F10" s="210" t="str">
        <f>SUBSTITUTE(LEFT(Parameters!C12,IF(IFERROR(FIND("[",Parameters!C12),100)&gt;IFERROR(FIND("(",Parameters!C12),100),IFERROR(FIND("(",Parameters!C12),100),IFERROR(FIND("[",Parameters!C12),100))-1)," ","")</f>
        <v xml:space="preserve">StateFlag
</v>
      </c>
      <c r="G10" s="208" t="str">
        <v>FODSFeedback</v>
      </c>
      <c r="H10" s="208" t="str">
        <f t="shared" si="4"/>
        <v>FODSFeedback_typ</v>
      </c>
      <c r="I10" s="208" t="str">
        <f t="shared" si="5"/>
        <v>FODSFeedback_typ : STRUCT END_STRUCT;</v>
      </c>
      <c r="J10" s="209" t="str">
        <f t="shared" si="6"/>
        <v>FODSFeedback : FODSFeedback_typ;</v>
      </c>
      <c r="K10" t="str">
        <f>SUBSTITUTE(LEFT(Parameters!D12,IF(IFERROR(FIND("[",Parameters!D12),100)&gt;IFERROR(FIND("(",Parameters!D12),100),IFERROR(FIND("(",Parameters!D12),100),IFERROR(FIND("[",Parameters!D12),100))-1)," ","")</f>
        <v>MSSNormalFlag</v>
      </c>
      <c r="L10" t="str">
        <v>Init</v>
      </c>
      <c r="M10" t="str">
        <f t="shared" si="7"/>
        <v>Init_typ</v>
      </c>
      <c r="N10" s="208" t="str">
        <f t="shared" si="8"/>
        <v>Init_typ : STRUCT END_STRUCT;</v>
      </c>
      <c r="O10" s="209" t="str">
        <f t="shared" si="9"/>
        <v>Init : Init_typ;</v>
      </c>
      <c r="P10" s="211" t="str">
        <f t="shared" si="10"/>
        <v>MSSNormalFlag</v>
      </c>
      <c r="Q10">
        <f>Parameters!E12</f>
        <v>50</v>
      </c>
      <c r="R10" t="str">
        <f>Parameters!F12</f>
        <v>MOCSMinEngineLoad</v>
      </c>
      <c r="S10" t="str">
        <f t="shared" si="11"/>
        <v>MOCSMinEngineLoad : REAL;</v>
      </c>
      <c r="U10" t="s">
        <v>622</v>
      </c>
      <c r="V10" t="str">
        <f t="shared" si="0"/>
        <v>SystemReserved11 : REAL;</v>
      </c>
    </row>
    <row r="11" spans="1:22" x14ac:dyDescent="0.45">
      <c r="A11" s="208" t="str">
        <f>SUBSTITUTE(LEFT(Parameters!B13,IF(IFERROR(FIND("[",Parameters!B13),100)&gt;IFERROR(FIND("(",Parameters!B13),100),IFERROR(FIND("(",Parameters!B13),100),IFERROR(FIND("[",Parameters!B13),100))-1)," ","")</f>
        <v/>
      </c>
      <c r="C11" s="208" t="str">
        <f t="shared" si="1"/>
        <v/>
      </c>
      <c r="D11" s="208" t="str">
        <f t="shared" si="2"/>
        <v/>
      </c>
      <c r="E11" s="209" t="str">
        <f t="shared" si="3"/>
        <v/>
      </c>
      <c r="F11" s="210" t="str">
        <f>SUBSTITUTE(LEFT(Parameters!C13,IF(IFERROR(FIND("[",Parameters!C13),100)&gt;IFERROR(FIND("(",Parameters!C13),100),IFERROR(FIND("(",Parameters!C13),100),IFERROR(FIND("[",Parameters!C13),100))-1)," ","")</f>
        <v/>
      </c>
      <c r="G11" s="208" t="str">
        <v xml:space="preserve">IndivReservedCat2
</v>
      </c>
      <c r="H11" s="208" t="str">
        <f t="shared" si="4"/>
        <v>IndivReservedCat2
_typ</v>
      </c>
      <c r="I11" s="208" t="str">
        <f t="shared" si="5"/>
        <v>IndivReservedCat2
_typ : STRUCT END_STRUCT;</v>
      </c>
      <c r="J11" s="209" t="str">
        <f t="shared" si="6"/>
        <v>IndivReservedCat2
 : IndivReservedCat2
_typ;</v>
      </c>
      <c r="K11" t="str">
        <f>SUBSTITUTE(LEFT(Parameters!D13,IF(IFERROR(FIND("[",Parameters!D13),100)&gt;IFERROR(FIND("(",Parameters!D13),100),IFERROR(FIND("(",Parameters!D13),100),IFERROR(FIND("[",Parameters!D13),100))-1)," ","")</f>
        <v/>
      </c>
      <c r="L11" t="str">
        <v>Sealing</v>
      </c>
      <c r="M11" t="str">
        <f t="shared" si="7"/>
        <v>Sealing_typ</v>
      </c>
      <c r="N11" s="208" t="str">
        <f t="shared" si="8"/>
        <v>Sealing_typ : STRUCT END_STRUCT;</v>
      </c>
      <c r="O11" s="209" t="str">
        <f t="shared" si="9"/>
        <v>Sealing : Sealing_typ;</v>
      </c>
      <c r="P11" s="211" t="str">
        <f t="shared" si="10"/>
        <v/>
      </c>
      <c r="Q11">
        <f>Parameters!E13</f>
        <v>51</v>
      </c>
      <c r="R11" t="str">
        <f>Parameters!F13</f>
        <v>MOCSReadyEngineLoad</v>
      </c>
      <c r="S11" t="str">
        <f t="shared" si="11"/>
        <v>MOCSReadyEngineLoad : REAL;</v>
      </c>
      <c r="U11" t="s">
        <v>623</v>
      </c>
      <c r="V11" t="str">
        <f t="shared" si="0"/>
        <v>SystemReserved12 : REAL;</v>
      </c>
    </row>
    <row r="12" spans="1:22" x14ac:dyDescent="0.45">
      <c r="A12" s="208" t="str">
        <f>SUBSTITUTE(LEFT(Parameters!B14,IF(IFERROR(FIND("[",Parameters!B14),100)&gt;IFERROR(FIND("(",Parameters!B14),100),IFERROR(FIND("(",Parameters!B14),100),IFERROR(FIND("[",Parameters!B14),100))-1)," ","")</f>
        <v/>
      </c>
      <c r="C12" s="208" t="str">
        <f t="shared" si="1"/>
        <v/>
      </c>
      <c r="D12" s="208" t="str">
        <f t="shared" si="2"/>
        <v/>
      </c>
      <c r="E12" s="209" t="str">
        <f t="shared" si="3"/>
        <v/>
      </c>
      <c r="F12" s="210" t="str">
        <f>SUBSTITUTE(LEFT(Parameters!C14,IF(IFERROR(FIND("[",Parameters!C14),100)&gt;IFERROR(FIND("(",Parameters!C14),100),IFERROR(FIND("(",Parameters!C14),100),IFERROR(FIND("[",Parameters!C14),100))-1)," ","")</f>
        <v/>
      </c>
      <c r="H12" s="208" t="str">
        <f t="shared" si="4"/>
        <v/>
      </c>
      <c r="I12" s="208" t="str">
        <f t="shared" si="5"/>
        <v/>
      </c>
      <c r="J12" s="209" t="str">
        <f t="shared" si="6"/>
        <v/>
      </c>
      <c r="K12" t="str">
        <f>SUBSTITUTE(LEFT(Parameters!D14,IF(IFERROR(FIND("[",Parameters!D14),100)&gt;IFERROR(FIND("(",Parameters!D14),100),IFERROR(FIND("(",Parameters!D14),100),IFERROR(FIND("[",Parameters!D14),100))-1)," ","")</f>
        <v/>
      </c>
      <c r="L12" t="str">
        <v>Engage</v>
      </c>
      <c r="M12" t="str">
        <f t="shared" si="7"/>
        <v>Engage_typ</v>
      </c>
      <c r="N12" s="208" t="str">
        <f t="shared" si="8"/>
        <v>Engage_typ : STRUCT END_STRUCT;</v>
      </c>
      <c r="O12" s="209" t="str">
        <f t="shared" si="9"/>
        <v>Engage : Engage_typ;</v>
      </c>
      <c r="P12" s="211" t="str">
        <f t="shared" si="10"/>
        <v/>
      </c>
      <c r="Q12">
        <f>Parameters!E14</f>
        <v>52</v>
      </c>
      <c r="R12" t="str">
        <f>Parameters!F14</f>
        <v>MSSNormalFallingHysteresis</v>
      </c>
      <c r="S12" t="str">
        <f t="shared" si="11"/>
        <v>MSSNormalFallingHysteresis : REAL;</v>
      </c>
      <c r="U12" t="s">
        <v>624</v>
      </c>
      <c r="V12" t="str">
        <f t="shared" si="0"/>
        <v>SystemReserved13 : REAL;</v>
      </c>
    </row>
    <row r="13" spans="1:22" x14ac:dyDescent="0.45">
      <c r="A13" s="208" t="str">
        <f>SUBSTITUTE(LEFT(Parameters!B15,IF(IFERROR(FIND("[",Parameters!B15),100)&gt;IFERROR(FIND("(",Parameters!B15),100),IFERROR(FIND("(",Parameters!B15),100),IFERROR(FIND("[",Parameters!B15),100))-1)," ","")</f>
        <v/>
      </c>
      <c r="C13" s="208" t="str">
        <f t="shared" si="1"/>
        <v/>
      </c>
      <c r="D13" s="208" t="str">
        <f t="shared" si="2"/>
        <v/>
      </c>
      <c r="E13" s="209" t="str">
        <f t="shared" si="3"/>
        <v/>
      </c>
      <c r="F13" s="210" t="str">
        <f>SUBSTITUTE(LEFT(Parameters!C15,IF(IFERROR(FIND("[",Parameters!C15),100)&gt;IFERROR(FIND("(",Parameters!C15),100),IFERROR(FIND("(",Parameters!C15),100),IFERROR(FIND("[",Parameters!C15),100))-1)," ","")</f>
        <v/>
      </c>
      <c r="H13" s="208" t="str">
        <f t="shared" si="4"/>
        <v/>
      </c>
      <c r="I13" s="208" t="str">
        <f t="shared" si="5"/>
        <v/>
      </c>
      <c r="J13" s="209" t="str">
        <f t="shared" si="6"/>
        <v/>
      </c>
      <c r="K13" t="str">
        <f>SUBSTITUTE(LEFT(Parameters!D15,IF(IFERROR(FIND("[",Parameters!D15),100)&gt;IFERROR(FIND("(",Parameters!D15),100),IFERROR(FIND("(",Parameters!D15),100),IFERROR(FIND("[",Parameters!D15),100))-1)," ","")</f>
        <v/>
      </c>
      <c r="L13" t="str">
        <v>Active</v>
      </c>
      <c r="M13" t="str">
        <f t="shared" si="7"/>
        <v>Active_typ</v>
      </c>
      <c r="N13" s="208" t="str">
        <f t="shared" si="8"/>
        <v>Active_typ : STRUCT END_STRUCT;</v>
      </c>
      <c r="O13" s="209" t="str">
        <f t="shared" si="9"/>
        <v>Active : Active_typ;</v>
      </c>
      <c r="P13" s="211" t="str">
        <f t="shared" si="10"/>
        <v/>
      </c>
      <c r="Q13">
        <f>Parameters!E15</f>
        <v>53</v>
      </c>
      <c r="R13" t="str">
        <f>Parameters!F15</f>
        <v>MSSNormalFallingDelay</v>
      </c>
      <c r="S13" t="str">
        <f t="shared" si="11"/>
        <v>MSSNormalFallingDelay : REAL;</v>
      </c>
      <c r="U13" t="s">
        <v>625</v>
      </c>
      <c r="V13" t="str">
        <f t="shared" si="0"/>
        <v>SystemReserved14 : REAL;</v>
      </c>
    </row>
    <row r="14" spans="1:22" x14ac:dyDescent="0.45">
      <c r="A14" s="208" t="str">
        <f>SUBSTITUTE(LEFT(Parameters!B16,IF(IFERROR(FIND("[",Parameters!B16),100)&gt;IFERROR(FIND("(",Parameters!B16),100),IFERROR(FIND("(",Parameters!B16),100),IFERROR(FIND("[",Parameters!B16),100))-1)," ","")</f>
        <v/>
      </c>
      <c r="C14" s="208" t="str">
        <f t="shared" si="1"/>
        <v/>
      </c>
      <c r="D14" s="208" t="str">
        <f t="shared" si="2"/>
        <v/>
      </c>
      <c r="E14" s="209" t="str">
        <f t="shared" si="3"/>
        <v/>
      </c>
      <c r="F14" s="210" t="str">
        <f>SUBSTITUTE(LEFT(Parameters!C16,IF(IFERROR(FIND("[",Parameters!C16),100)&gt;IFERROR(FIND("(",Parameters!C16),100),IFERROR(FIND("(",Parameters!C16),100),IFERROR(FIND("[",Parameters!C16),100))-1)," ","")</f>
        <v/>
      </c>
      <c r="H14" s="208" t="str">
        <f t="shared" si="4"/>
        <v/>
      </c>
      <c r="I14" s="208" t="str">
        <f t="shared" si="5"/>
        <v/>
      </c>
      <c r="J14" s="209" t="str">
        <f t="shared" si="6"/>
        <v/>
      </c>
      <c r="K14" t="str">
        <f>SUBSTITUTE(LEFT(Parameters!D16,IF(IFERROR(FIND("[",Parameters!D16),100)&gt;IFERROR(FIND("(",Parameters!D16),100),IFERROR(FIND("(",Parameters!D16),100),IFERROR(FIND("[",Parameters!D16),100))-1)," ","")</f>
        <v/>
      </c>
      <c r="L14" t="str">
        <v>TMB</v>
      </c>
      <c r="M14" t="str">
        <f t="shared" si="7"/>
        <v>TMB_typ</v>
      </c>
      <c r="N14" s="208" t="str">
        <f t="shared" si="8"/>
        <v>TMB_typ : STRUCT END_STRUCT;</v>
      </c>
      <c r="O14" s="209" t="str">
        <f t="shared" si="9"/>
        <v>TMB : TMB_typ;</v>
      </c>
      <c r="P14" s="211" t="str">
        <f t="shared" si="10"/>
        <v/>
      </c>
      <c r="Q14">
        <f>Parameters!E16</f>
        <v>54</v>
      </c>
      <c r="R14" t="str">
        <f>Parameters!F16</f>
        <v>MSSFlagReserved4</v>
      </c>
      <c r="S14" t="str">
        <f t="shared" si="11"/>
        <v>MSSFlagReserved4 : REAL;</v>
      </c>
      <c r="U14" t="s">
        <v>626</v>
      </c>
      <c r="V14" t="str">
        <f t="shared" si="0"/>
        <v>SystemReserved15 : REAL;</v>
      </c>
    </row>
    <row r="15" spans="1:22" x14ac:dyDescent="0.45">
      <c r="A15" s="208" t="str">
        <f>SUBSTITUTE(LEFT(Parameters!B17,IF(IFERROR(FIND("[",Parameters!B17),100)&gt;IFERROR(FIND("(",Parameters!B17),100),IFERROR(FIND("(",Parameters!B17),100),IFERROR(FIND("[",Parameters!B17),100))-1)," ","")</f>
        <v/>
      </c>
      <c r="C15" s="208" t="str">
        <f t="shared" si="1"/>
        <v/>
      </c>
      <c r="D15" s="208" t="str">
        <f t="shared" si="2"/>
        <v/>
      </c>
      <c r="E15" s="209" t="str">
        <f t="shared" si="3"/>
        <v/>
      </c>
      <c r="F15" s="210" t="str">
        <f>SUBSTITUTE(LEFT(Parameters!C17,IF(IFERROR(FIND("[",Parameters!C17),100)&gt;IFERROR(FIND("(",Parameters!C17),100),IFERROR(FIND("(",Parameters!C17),100),IFERROR(FIND("[",Parameters!C17),100))-1)," ","")</f>
        <v/>
      </c>
      <c r="H15" s="208" t="str">
        <f t="shared" si="4"/>
        <v/>
      </c>
      <c r="I15" s="208" t="str">
        <f t="shared" si="5"/>
        <v/>
      </c>
      <c r="J15" s="209" t="str">
        <f t="shared" si="6"/>
        <v/>
      </c>
      <c r="K15" t="str">
        <f>SUBSTITUTE(LEFT(Parameters!D17,IF(IFERROR(FIND("[",Parameters!D17),100)&gt;IFERROR(FIND("(",Parameters!D17),100),IFERROR(FIND("(",Parameters!D17),100),IFERROR(FIND("[",Parameters!D17),100))-1)," ","")</f>
        <v>LoadChangeFlag</v>
      </c>
      <c r="L15" t="str">
        <v>Disengage</v>
      </c>
      <c r="M15" t="str">
        <f t="shared" si="7"/>
        <v>Disengage_typ</v>
      </c>
      <c r="N15" s="208" t="str">
        <f t="shared" si="8"/>
        <v>Disengage_typ : STRUCT END_STRUCT;</v>
      </c>
      <c r="O15" s="209" t="str">
        <f t="shared" si="9"/>
        <v>Disengage : Disengage_typ;</v>
      </c>
      <c r="P15" s="211" t="str">
        <f t="shared" si="10"/>
        <v>LoadChangeFlag</v>
      </c>
      <c r="Q15">
        <f>Parameters!E17</f>
        <v>55</v>
      </c>
      <c r="R15" t="str">
        <f>Parameters!F17</f>
        <v>MovAvgPeriod</v>
      </c>
      <c r="S15" t="str">
        <f t="shared" si="11"/>
        <v>MovAvgPeriod : REAL;</v>
      </c>
      <c r="U15" t="s">
        <v>627</v>
      </c>
      <c r="V15" t="str">
        <f t="shared" si="0"/>
        <v>SystemReserved16 : REAL;</v>
      </c>
    </row>
    <row r="16" spans="1:22" x14ac:dyDescent="0.45">
      <c r="A16" s="208" t="str">
        <f>SUBSTITUTE(LEFT(Parameters!B18,IF(IFERROR(FIND("[",Parameters!B18),100)&gt;IFERROR(FIND("(",Parameters!B18),100),IFERROR(FIND("(",Parameters!B18),100),IFERROR(FIND("[",Parameters!B18),100))-1)," ","")</f>
        <v/>
      </c>
      <c r="C16" s="208" t="str">
        <f t="shared" si="1"/>
        <v/>
      </c>
      <c r="D16" s="208" t="str">
        <f t="shared" si="2"/>
        <v/>
      </c>
      <c r="E16" s="209" t="str">
        <f t="shared" si="3"/>
        <v/>
      </c>
      <c r="F16" s="210" t="str">
        <f>SUBSTITUTE(LEFT(Parameters!C18,IF(IFERROR(FIND("[",Parameters!C18),100)&gt;IFERROR(FIND("(",Parameters!C18),100),IFERROR(FIND("(",Parameters!C18),100),IFERROR(FIND("[",Parameters!C18),100))-1)," ","")</f>
        <v/>
      </c>
      <c r="H16" s="208" t="str">
        <f t="shared" si="4"/>
        <v/>
      </c>
      <c r="I16" s="208" t="str">
        <f t="shared" si="5"/>
        <v/>
      </c>
      <c r="J16" s="209" t="str">
        <f t="shared" si="6"/>
        <v/>
      </c>
      <c r="K16" t="str">
        <f>SUBSTITUTE(LEFT(Parameters!D18,IF(IFERROR(FIND("[",Parameters!D18),100)&gt;IFERROR(FIND("(",Parameters!D18),100),IFERROR(FIND("(",Parameters!D18),100),IFERROR(FIND("[",Parameters!D18),100))-1)," ","")</f>
        <v/>
      </c>
      <c r="L16" t="str">
        <v>Airventing</v>
      </c>
      <c r="M16" t="str">
        <f t="shared" si="7"/>
        <v>Airventing_typ</v>
      </c>
      <c r="N16" s="208" t="str">
        <f t="shared" si="8"/>
        <v>Airventing_typ : STRUCT END_STRUCT;</v>
      </c>
      <c r="O16" s="209" t="str">
        <f t="shared" si="9"/>
        <v>Airventing : Airventing_typ;</v>
      </c>
      <c r="P16" s="211" t="str">
        <f t="shared" si="10"/>
        <v/>
      </c>
      <c r="Q16">
        <f>Parameters!E18</f>
        <v>56</v>
      </c>
      <c r="R16" t="str">
        <f>Parameters!F18</f>
        <v>ComparePoint</v>
      </c>
      <c r="S16" t="str">
        <f t="shared" si="11"/>
        <v>ComparePoint : REAL;</v>
      </c>
      <c r="U16" t="s">
        <v>628</v>
      </c>
      <c r="V16" t="str">
        <f t="shared" si="0"/>
        <v>SystemReserved17 : REAL;</v>
      </c>
    </row>
    <row r="17" spans="1:24" x14ac:dyDescent="0.45">
      <c r="A17" s="208" t="str">
        <f>SUBSTITUTE(LEFT(Parameters!B19,IF(IFERROR(FIND("[",Parameters!B19),100)&gt;IFERROR(FIND("(",Parameters!B19),100),IFERROR(FIND("(",Parameters!B19),100),IFERROR(FIND("[",Parameters!B19),100))-1)," ","")</f>
        <v/>
      </c>
      <c r="C17" s="208" t="str">
        <f t="shared" si="1"/>
        <v/>
      </c>
      <c r="D17" s="208" t="str">
        <f t="shared" si="2"/>
        <v/>
      </c>
      <c r="E17" s="209" t="str">
        <f t="shared" si="3"/>
        <v/>
      </c>
      <c r="F17" s="210" t="str">
        <f>SUBSTITUTE(LEFT(Parameters!C19,IF(IFERROR(FIND("[",Parameters!C19),100)&gt;IFERROR(FIND("(",Parameters!C19),100),IFERROR(FIND("(",Parameters!C19),100),IFERROR(FIND("[",Parameters!C19),100))-1)," ","")</f>
        <v/>
      </c>
      <c r="H17" s="208" t="str">
        <f t="shared" si="4"/>
        <v/>
      </c>
      <c r="I17" s="208" t="str">
        <f t="shared" si="5"/>
        <v/>
      </c>
      <c r="J17" s="209" t="str">
        <f t="shared" si="6"/>
        <v/>
      </c>
      <c r="K17" t="str">
        <f>SUBSTITUTE(LEFT(Parameters!D19,IF(IFERROR(FIND("[",Parameters!D19),100)&gt;IFERROR(FIND("(",Parameters!D19),100),IFERROR(FIND("(",Parameters!D19),100),IFERROR(FIND("[",Parameters!D19),100))-1)," ","")</f>
        <v/>
      </c>
      <c r="L17" t="str">
        <v>MOCSshutdown</v>
      </c>
      <c r="M17" t="str">
        <f t="shared" si="7"/>
        <v>MOCSshutdown_typ</v>
      </c>
      <c r="N17" s="208" t="str">
        <f t="shared" si="8"/>
        <v>MOCSshutdown_typ : STRUCT END_STRUCT;</v>
      </c>
      <c r="O17" s="209" t="str">
        <f t="shared" si="9"/>
        <v>MOCSshutdown : MOCSshutdown_typ;</v>
      </c>
      <c r="P17" s="211" t="str">
        <f t="shared" si="10"/>
        <v/>
      </c>
      <c r="Q17">
        <f>Parameters!E19</f>
        <v>57</v>
      </c>
      <c r="R17" t="str">
        <f>Parameters!F19</f>
        <v>LoadChangeThreshold</v>
      </c>
      <c r="S17" t="str">
        <f t="shared" si="11"/>
        <v>LoadChangeThreshold : REAL;</v>
      </c>
      <c r="U17" t="s">
        <v>629</v>
      </c>
      <c r="V17" t="str">
        <f t="shared" si="0"/>
        <v>SystemReserved18 : REAL;</v>
      </c>
    </row>
    <row r="18" spans="1:24" x14ac:dyDescent="0.45">
      <c r="A18" s="208" t="str">
        <f>SUBSTITUTE(LEFT(Parameters!B20,IF(IFERROR(FIND("[",Parameters!B20),100)&gt;IFERROR(FIND("(",Parameters!B20),100),IFERROR(FIND("(",Parameters!B20),100),IFERROR(FIND("[",Parameters!B20),100))-1)," ","")</f>
        <v/>
      </c>
      <c r="C18" s="208" t="str">
        <f t="shared" si="1"/>
        <v/>
      </c>
      <c r="D18" s="208" t="str">
        <f t="shared" si="2"/>
        <v/>
      </c>
      <c r="E18" s="209" t="str">
        <f t="shared" si="3"/>
        <v/>
      </c>
      <c r="F18" s="210" t="str">
        <f>SUBSTITUTE(LEFT(Parameters!C20,IF(IFERROR(FIND("[",Parameters!C20),100)&gt;IFERROR(FIND("(",Parameters!C20),100),IFERROR(FIND("(",Parameters!C20),100),IFERROR(FIND("[",Parameters!C20),100))-1)," ","")</f>
        <v/>
      </c>
      <c r="H18" s="208" t="str">
        <f t="shared" si="4"/>
        <v/>
      </c>
      <c r="I18" s="208" t="str">
        <f t="shared" si="5"/>
        <v/>
      </c>
      <c r="J18" s="209" t="str">
        <f t="shared" si="6"/>
        <v/>
      </c>
      <c r="K18" t="str">
        <f>SUBSTITUTE(LEFT(Parameters!D20,IF(IFERROR(FIND("[",Parameters!D20),100)&gt;IFERROR(FIND("(",Parameters!D20),100),IFERROR(FIND("(",Parameters!D20),100),IFERROR(FIND("[",Parameters!D20),100))-1)," ","")</f>
        <v/>
      </c>
      <c r="L18" t="str">
        <v>Valveshutdown</v>
      </c>
      <c r="M18" t="str">
        <f t="shared" si="7"/>
        <v>Valveshutdown_typ</v>
      </c>
      <c r="N18" s="208" t="str">
        <f t="shared" si="8"/>
        <v>Valveshutdown_typ : STRUCT END_STRUCT;</v>
      </c>
      <c r="O18" s="209" t="str">
        <f t="shared" si="9"/>
        <v>Valveshutdown : Valveshutdown_typ;</v>
      </c>
      <c r="P18" s="211" t="str">
        <f t="shared" si="10"/>
        <v/>
      </c>
      <c r="Q18">
        <f>Parameters!E20</f>
        <v>58</v>
      </c>
      <c r="R18" t="str">
        <f>Parameters!F20</f>
        <v>LoadCangeFlagFallingDelay</v>
      </c>
      <c r="S18" t="str">
        <f t="shared" si="11"/>
        <v>LoadCangeFlagFallingDelay : REAL;</v>
      </c>
      <c r="U18" t="s">
        <v>630</v>
      </c>
      <c r="V18" t="str">
        <f t="shared" si="0"/>
        <v>SystemReserved19 : REAL;</v>
      </c>
    </row>
    <row r="19" spans="1:24" x14ac:dyDescent="0.45">
      <c r="A19" s="208" t="str">
        <f>SUBSTITUTE(LEFT(Parameters!B21,IF(IFERROR(FIND("[",Parameters!B21),100)&gt;IFERROR(FIND("(",Parameters!B21),100),IFERROR(FIND("(",Parameters!B21),100),IFERROR(FIND("[",Parameters!B21),100))-1)," ","")</f>
        <v/>
      </c>
      <c r="C19" s="208" t="str">
        <f t="shared" si="1"/>
        <v/>
      </c>
      <c r="D19" s="208" t="str">
        <f t="shared" si="2"/>
        <v/>
      </c>
      <c r="E19" s="209" t="str">
        <f t="shared" si="3"/>
        <v/>
      </c>
      <c r="F19" s="210" t="str">
        <f>SUBSTITUTE(LEFT(Parameters!C21,IF(IFERROR(FIND("[",Parameters!C21),100)&gt;IFERROR(FIND("(",Parameters!C21),100),IFERROR(FIND("(",Parameters!C21),100),IFERROR(FIND("[",Parameters!C21),100))-1)," ","")</f>
        <v/>
      </c>
      <c r="H19" s="208" t="str">
        <f t="shared" si="4"/>
        <v/>
      </c>
      <c r="I19" s="208" t="str">
        <f t="shared" si="5"/>
        <v/>
      </c>
      <c r="J19" s="209" t="str">
        <f t="shared" si="6"/>
        <v/>
      </c>
      <c r="K19" t="str">
        <f>SUBSTITUTE(LEFT(Parameters!D21,IF(IFERROR(FIND("[",Parameters!D21),100)&gt;IFERROR(FIND("(",Parameters!D21),100),IFERROR(FIND("(",Parameters!D21),100),IFERROR(FIND("[",Parameters!D21),100))-1)," ","")</f>
        <v/>
      </c>
      <c r="L19" t="str">
        <v>FODSInitReady</v>
      </c>
      <c r="M19" t="str">
        <f t="shared" si="7"/>
        <v>FODSInitReady_typ</v>
      </c>
      <c r="N19" s="208" t="str">
        <f t="shared" si="8"/>
        <v>FODSInitReady_typ : STRUCT END_STRUCT;</v>
      </c>
      <c r="O19" s="209" t="str">
        <f t="shared" si="9"/>
        <v>FODSInitReady : FODSInitReady_typ;</v>
      </c>
      <c r="P19" s="211" t="str">
        <f t="shared" si="10"/>
        <v/>
      </c>
      <c r="Q19">
        <f>Parameters!E21</f>
        <v>59</v>
      </c>
      <c r="R19" t="str">
        <f>Parameters!F21</f>
        <v>LoadCangeFlagReserved4</v>
      </c>
      <c r="S19" t="str">
        <f t="shared" si="11"/>
        <v>LoadCangeFlagReserved4 : REAL;</v>
      </c>
      <c r="U19" t="s">
        <v>631</v>
      </c>
      <c r="V19" t="str">
        <f t="shared" si="0"/>
        <v>SystemReserved20 : REAL;</v>
      </c>
    </row>
    <row r="20" spans="1:24" x14ac:dyDescent="0.45">
      <c r="A20" s="208" t="str">
        <f>SUBSTITUTE(LEFT(Parameters!B22,IF(IFERROR(FIND("[",Parameters!B22),100)&gt;IFERROR(FIND("(",Parameters!B22),100),IFERROR(FIND("(",Parameters!B22),100),IFERROR(FIND("[",Parameters!B22),100))-1)," ","")</f>
        <v/>
      </c>
      <c r="C20" s="208" t="str">
        <f t="shared" si="1"/>
        <v/>
      </c>
      <c r="D20" s="208" t="str">
        <f t="shared" si="2"/>
        <v/>
      </c>
      <c r="E20" s="209" t="str">
        <f t="shared" si="3"/>
        <v/>
      </c>
      <c r="F20" s="210" t="str">
        <f>SUBSTITUTE(LEFT(Parameters!C22,IF(IFERROR(FIND("[",Parameters!C22),100)&gt;IFERROR(FIND("(",Parameters!C22),100),IFERROR(FIND("(",Parameters!C22),100),IFERROR(FIND("[",Parameters!C22),100))-1)," ","")</f>
        <v/>
      </c>
      <c r="H20" s="208" t="str">
        <f t="shared" si="4"/>
        <v/>
      </c>
      <c r="I20" s="208" t="str">
        <f t="shared" si="5"/>
        <v/>
      </c>
      <c r="J20" s="209" t="str">
        <f t="shared" si="6"/>
        <v/>
      </c>
      <c r="K20" t="str">
        <f>SUBSTITUTE(LEFT(Parameters!D22,IF(IFERROR(FIND("[",Parameters!D22),100)&gt;IFERROR(FIND("(",Parameters!D22),100),IFERROR(FIND("(",Parameters!D22),100),IFERROR(FIND("[",Parameters!D22),100))-1)," ","")</f>
        <v>SystemWarmedUpFlag</v>
      </c>
      <c r="L20" t="str">
        <v>FODSCooling</v>
      </c>
      <c r="M20" t="str">
        <f t="shared" si="7"/>
        <v>FODSCooling_typ</v>
      </c>
      <c r="N20" s="208" t="str">
        <f t="shared" si="8"/>
        <v>FODSCooling_typ : STRUCT END_STRUCT;</v>
      </c>
      <c r="O20" s="209" t="str">
        <f t="shared" si="9"/>
        <v>FODSCooling : FODSCooling_typ;</v>
      </c>
      <c r="P20" s="211" t="str">
        <f t="shared" si="10"/>
        <v>SystemWarmedUpFlag</v>
      </c>
      <c r="Q20">
        <f>Parameters!E22</f>
        <v>60</v>
      </c>
      <c r="R20" t="str">
        <f>Parameters!F22</f>
        <v>WarmUpDTemp</v>
      </c>
      <c r="S20" t="str">
        <f t="shared" si="11"/>
        <v>WarmUpDTemp : REAL;</v>
      </c>
      <c r="U20" t="s">
        <v>632</v>
      </c>
      <c r="V20" t="str">
        <f t="shared" si="0"/>
        <v>SystemReserved21 : REAL;</v>
      </c>
    </row>
    <row r="21" spans="1:24" x14ac:dyDescent="0.45">
      <c r="A21" s="208" t="str">
        <f>SUBSTITUTE(LEFT(Parameters!B23,IF(IFERROR(FIND("[",Parameters!B23),100)&gt;IFERROR(FIND("(",Parameters!B23),100),IFERROR(FIND("(",Parameters!B23),100),IFERROR(FIND("[",Parameters!B23),100))-1)," ","")</f>
        <v/>
      </c>
      <c r="C21" s="208" t="str">
        <f t="shared" si="1"/>
        <v/>
      </c>
      <c r="D21" s="208" t="str">
        <f t="shared" si="2"/>
        <v/>
      </c>
      <c r="E21" s="209" t="str">
        <f t="shared" si="3"/>
        <v/>
      </c>
      <c r="F21" s="210" t="str">
        <f>SUBSTITUTE(LEFT(Parameters!C23,IF(IFERROR(FIND("[",Parameters!C23),100)&gt;IFERROR(FIND("(",Parameters!C23),100),IFERROR(FIND("(",Parameters!C23),100),IFERROR(FIND("[",Parameters!C23),100))-1)," ","")</f>
        <v/>
      </c>
      <c r="H21" s="208" t="str">
        <f t="shared" si="4"/>
        <v/>
      </c>
      <c r="I21" s="208" t="str">
        <f t="shared" si="5"/>
        <v/>
      </c>
      <c r="J21" s="209" t="str">
        <f t="shared" si="6"/>
        <v/>
      </c>
      <c r="K21" t="str">
        <f>SUBSTITUTE(LEFT(Parameters!D23,IF(IFERROR(FIND("[",Parameters!D23),100)&gt;IFERROR(FIND("(",Parameters!D23),100),IFERROR(FIND("(",Parameters!D23),100),IFERROR(FIND("[",Parameters!D23),100))-1)," ","")</f>
        <v/>
      </c>
      <c r="L21" t="str">
        <v>FODSDosing</v>
      </c>
      <c r="M21" t="str">
        <f t="shared" si="7"/>
        <v>FODSDosing_typ</v>
      </c>
      <c r="N21" s="208" t="str">
        <f t="shared" si="8"/>
        <v>FODSDosing_typ : STRUCT END_STRUCT;</v>
      </c>
      <c r="O21" s="209" t="str">
        <f t="shared" si="9"/>
        <v>FODSDosing : FODSDosing_typ;</v>
      </c>
      <c r="P21" s="211" t="str">
        <f t="shared" si="10"/>
        <v/>
      </c>
      <c r="Q21">
        <f>Parameters!E23</f>
        <v>61</v>
      </c>
      <c r="R21" t="str">
        <f>Parameters!F23</f>
        <v>WarmUpITemp</v>
      </c>
      <c r="S21" t="str">
        <f t="shared" si="11"/>
        <v>WarmUpITemp : REAL;</v>
      </c>
      <c r="U21" t="s">
        <v>633</v>
      </c>
      <c r="V21" t="str">
        <f t="shared" si="0"/>
        <v>SystemReserved22 : REAL;</v>
      </c>
    </row>
    <row r="22" spans="1:24" x14ac:dyDescent="0.45">
      <c r="A22" s="208" t="str">
        <f>SUBSTITUTE(LEFT(Parameters!B24,IF(IFERROR(FIND("[",Parameters!B24),100)&gt;IFERROR(FIND("(",Parameters!B24),100),IFERROR(FIND("(",Parameters!B24),100),IFERROR(FIND("[",Parameters!B24),100))-1)," ","")</f>
        <v/>
      </c>
      <c r="C22" s="208" t="str">
        <f t="shared" si="1"/>
        <v/>
      </c>
      <c r="D22" s="208" t="str">
        <f t="shared" si="2"/>
        <v/>
      </c>
      <c r="E22" s="209" t="str">
        <f t="shared" si="3"/>
        <v/>
      </c>
      <c r="F22" s="210" t="str">
        <f>SUBSTITUTE(LEFT(Parameters!C24,IF(IFERROR(FIND("[",Parameters!C24),100)&gt;IFERROR(FIND("(",Parameters!C24),100),IFERROR(FIND("(",Parameters!C24),100),IFERROR(FIND("[",Parameters!C24),100))-1)," ","")</f>
        <v/>
      </c>
      <c r="H22" s="208" t="str">
        <f t="shared" si="4"/>
        <v/>
      </c>
      <c r="I22" s="208" t="str">
        <f t="shared" si="5"/>
        <v/>
      </c>
      <c r="J22" s="209" t="str">
        <f t="shared" si="6"/>
        <v/>
      </c>
      <c r="K22" t="str">
        <f>SUBSTITUTE(LEFT(Parameters!D24,IF(IFERROR(FIND("[",Parameters!D24),100)&gt;IFERROR(FIND("(",Parameters!D24),100),IFERROR(FIND("(",Parameters!D24),100),IFERROR(FIND("[",Parameters!D24),100))-1)," ","")</f>
        <v/>
      </c>
      <c r="L22" t="str">
        <v>FODSFlushing</v>
      </c>
      <c r="M22" t="str">
        <f t="shared" si="7"/>
        <v>FODSFlushing_typ</v>
      </c>
      <c r="N22" s="208" t="str">
        <f t="shared" si="8"/>
        <v>FODSFlushing_typ : STRUCT END_STRUCT;</v>
      </c>
      <c r="O22" s="209" t="str">
        <f t="shared" si="9"/>
        <v>FODSFlushing : FODSFlushing_typ;</v>
      </c>
      <c r="P22" s="211" t="str">
        <f t="shared" si="10"/>
        <v/>
      </c>
      <c r="Q22">
        <f>Parameters!E24</f>
        <v>62</v>
      </c>
      <c r="R22" t="str">
        <f>Parameters!F24</f>
        <v>WarmUpChITemp</v>
      </c>
      <c r="S22" t="str">
        <f t="shared" si="11"/>
        <v>WarmUpChITemp : REAL;</v>
      </c>
      <c r="U22" t="s">
        <v>634</v>
      </c>
      <c r="V22" t="str">
        <f t="shared" si="0"/>
        <v>SystemReserved23 : REAL;</v>
      </c>
    </row>
    <row r="23" spans="1:24" x14ac:dyDescent="0.45">
      <c r="A23" s="208" t="str">
        <f>SUBSTITUTE(LEFT(Parameters!B25,IF(IFERROR(FIND("[",Parameters!B25),100)&gt;IFERROR(FIND("(",Parameters!B25),100),IFERROR(FIND("(",Parameters!B25),100),IFERROR(FIND("[",Parameters!B25),100))-1)," ","")</f>
        <v/>
      </c>
      <c r="C23" s="208" t="str">
        <f t="shared" si="1"/>
        <v/>
      </c>
      <c r="D23" s="208" t="str">
        <f t="shared" si="2"/>
        <v/>
      </c>
      <c r="E23" s="209" t="str">
        <f t="shared" si="3"/>
        <v/>
      </c>
      <c r="F23" s="210" t="str">
        <f>SUBSTITUTE(LEFT(Parameters!C25,IF(IFERROR(FIND("[",Parameters!C25),100)&gt;IFERROR(FIND("(",Parameters!C25),100),IFERROR(FIND("(",Parameters!C25),100),IFERROR(FIND("[",Parameters!C25),100))-1)," ","")</f>
        <v/>
      </c>
      <c r="H23" s="208" t="str">
        <f t="shared" si="4"/>
        <v/>
      </c>
      <c r="I23" s="208" t="str">
        <f t="shared" si="5"/>
        <v/>
      </c>
      <c r="J23" s="209" t="str">
        <f t="shared" si="6"/>
        <v/>
      </c>
      <c r="K23" t="str">
        <f>SUBSTITUTE(LEFT(Parameters!D25,IF(IFERROR(FIND("[",Parameters!D25),100)&gt;IFERROR(FIND("(",Parameters!D25),100),IFERROR(FIND("(",Parameters!D25),100),IFERROR(FIND("[",Parameters!D25),100))-1)," ","")</f>
        <v/>
      </c>
      <c r="L23" t="str">
        <v>CommonReservedCat3</v>
      </c>
      <c r="M23" t="str">
        <f t="shared" si="7"/>
        <v>CommonReservedCat3_typ</v>
      </c>
      <c r="N23" s="208" t="str">
        <f t="shared" si="8"/>
        <v>CommonReservedCat3_typ : STRUCT END_STRUCT;</v>
      </c>
      <c r="O23" s="209" t="str">
        <f t="shared" si="9"/>
        <v>CommonReservedCat3 : CommonReservedCat3_typ;</v>
      </c>
      <c r="P23" s="211" t="str">
        <f t="shared" si="10"/>
        <v/>
      </c>
      <c r="Q23">
        <f>Parameters!E25</f>
        <v>63</v>
      </c>
      <c r="R23" t="str">
        <f>Parameters!F25</f>
        <v>WarmUpChMTemp</v>
      </c>
      <c r="S23" t="str">
        <f t="shared" si="11"/>
        <v>WarmUpChMTemp : REAL;</v>
      </c>
      <c r="U23" t="s">
        <v>635</v>
      </c>
      <c r="V23" t="str">
        <f t="shared" si="0"/>
        <v>SystemReserved24 : REAL;</v>
      </c>
    </row>
    <row r="24" spans="1:24" x14ac:dyDescent="0.45">
      <c r="A24" s="208" t="str">
        <f>SUBSTITUTE(LEFT(Parameters!B26,IF(IFERROR(FIND("[",Parameters!B26),100)&gt;IFERROR(FIND("(",Parameters!B26),100),IFERROR(FIND("(",Parameters!B26),100),IFERROR(FIND("[",Parameters!B26),100))-1)," ","")</f>
        <v/>
      </c>
      <c r="C24" s="208" t="str">
        <f t="shared" si="1"/>
        <v/>
      </c>
      <c r="D24" s="208" t="str">
        <f t="shared" si="2"/>
        <v/>
      </c>
      <c r="E24" s="209" t="str">
        <f t="shared" si="3"/>
        <v/>
      </c>
      <c r="F24" s="210" t="str">
        <f>SUBSTITUTE(LEFT(Parameters!C26,IF(IFERROR(FIND("[",Parameters!C26),100)&gt;IFERROR(FIND("(",Parameters!C26),100),IFERROR(FIND("(",Parameters!C26),100),IFERROR(FIND("[",Parameters!C26),100))-1)," ","")</f>
        <v/>
      </c>
      <c r="H24" s="208" t="str">
        <f t="shared" si="4"/>
        <v/>
      </c>
      <c r="I24" s="208" t="str">
        <f t="shared" si="5"/>
        <v/>
      </c>
      <c r="J24" s="209" t="str">
        <f t="shared" si="6"/>
        <v/>
      </c>
      <c r="K24" t="str">
        <f>SUBSTITUTE(LEFT(Parameters!D26,IF(IFERROR(FIND("[",Parameters!D26),100)&gt;IFERROR(FIND("(",Parameters!D26),100),IFERROR(FIND("(",Parameters!D26),100),IFERROR(FIND("[",Parameters!D26),100))-1)," ","")</f>
        <v/>
      </c>
      <c r="L24" t="str">
        <v>FFpara</v>
      </c>
      <c r="M24" t="str">
        <f t="shared" si="7"/>
        <v>FFpara_typ</v>
      </c>
      <c r="N24" s="208" t="str">
        <f t="shared" si="8"/>
        <v>FFpara_typ : STRUCT END_STRUCT;</v>
      </c>
      <c r="O24" s="209" t="str">
        <f t="shared" si="9"/>
        <v>FFpara : FFpara_typ;</v>
      </c>
      <c r="P24" s="211" t="str">
        <f t="shared" si="10"/>
        <v/>
      </c>
      <c r="Q24">
        <f>Parameters!E26</f>
        <v>64</v>
      </c>
      <c r="R24" t="str">
        <f>Parameters!F26</f>
        <v>WarmUpChOTemp</v>
      </c>
      <c r="S24" t="str">
        <f t="shared" si="11"/>
        <v>WarmUpChOTemp : REAL;</v>
      </c>
      <c r="U24" t="s">
        <v>636</v>
      </c>
      <c r="V24" t="str">
        <f t="shared" si="0"/>
        <v>SystemReserved25 : REAL;</v>
      </c>
    </row>
    <row r="25" spans="1:24" x14ac:dyDescent="0.45">
      <c r="A25" s="208" t="str">
        <f>SUBSTITUTE(LEFT(Parameters!B27,IF(IFERROR(FIND("[",Parameters!B27),100)&gt;IFERROR(FIND("(",Parameters!B27),100),IFERROR(FIND("(",Parameters!B27),100),IFERROR(FIND("[",Parameters!B27),100))-1)," ","")</f>
        <v/>
      </c>
      <c r="C25" s="208" t="str">
        <f t="shared" si="1"/>
        <v/>
      </c>
      <c r="D25" s="208" t="str">
        <f t="shared" si="2"/>
        <v/>
      </c>
      <c r="E25" s="209" t="str">
        <f t="shared" si="3"/>
        <v/>
      </c>
      <c r="F25" s="210" t="str">
        <f>SUBSTITUTE(LEFT(Parameters!C27,IF(IFERROR(FIND("[",Parameters!C27),100)&gt;IFERROR(FIND("(",Parameters!C27),100),IFERROR(FIND("(",Parameters!C27),100),IFERROR(FIND("[",Parameters!C27),100))-1)," ","")</f>
        <v/>
      </c>
      <c r="H25" s="208" t="str">
        <f t="shared" si="4"/>
        <v/>
      </c>
      <c r="I25" s="208" t="str">
        <f t="shared" si="5"/>
        <v/>
      </c>
      <c r="J25" s="209" t="str">
        <f t="shared" si="6"/>
        <v/>
      </c>
      <c r="K25" t="str">
        <f>SUBSTITUTE(LEFT(Parameters!D27,IF(IFERROR(FIND("[",Parameters!D27),100)&gt;IFERROR(FIND("(",Parameters!D27),100),IFERROR(FIND("(",Parameters!D27),100),IFERROR(FIND("[",Parameters!D27),100))-1)," ","")</f>
        <v>FlagReserved</v>
      </c>
      <c r="L25" t="str">
        <v>EngineLoad</v>
      </c>
      <c r="M25" t="str">
        <f t="shared" si="7"/>
        <v>EngineLoad_typ</v>
      </c>
      <c r="N25" s="208" t="str">
        <f t="shared" si="8"/>
        <v>EngineLoad_typ : STRUCT END_STRUCT;</v>
      </c>
      <c r="O25" s="209" t="str">
        <f t="shared" si="9"/>
        <v>EngineLoad : EngineLoad_typ;</v>
      </c>
      <c r="P25" s="211" t="str">
        <f t="shared" si="10"/>
        <v>FlagReserved</v>
      </c>
      <c r="Q25">
        <f>Parameters!E27</f>
        <v>65</v>
      </c>
      <c r="R25" t="str">
        <f>Parameters!F27</f>
        <v>FlagReserved15</v>
      </c>
      <c r="S25" t="str">
        <f t="shared" si="11"/>
        <v>FlagReserved15 : REAL;</v>
      </c>
      <c r="U25" t="s">
        <v>637</v>
      </c>
      <c r="V25" t="str">
        <f t="shared" si="0"/>
        <v>SystemReserved26 : REAL;</v>
      </c>
      <c r="W25" t="s">
        <v>708</v>
      </c>
      <c r="X25" t="str">
        <f t="shared" ref="X25:X59" si="12">IF(W25 = "","",_xlfn.CONCAT(W25," : REAL;"))</f>
        <v>FlagReserved15 : REAL;</v>
      </c>
    </row>
    <row r="26" spans="1:24" x14ac:dyDescent="0.45">
      <c r="A26" s="208" t="str">
        <f>SUBSTITUTE(LEFT(Parameters!B28,IF(IFERROR(FIND("[",Parameters!B28),100)&gt;IFERROR(FIND("(",Parameters!B28),100),IFERROR(FIND("(",Parameters!B28),100),IFERROR(FIND("[",Parameters!B28),100))-1)," ","")</f>
        <v/>
      </c>
      <c r="C26" s="208" t="str">
        <f t="shared" si="1"/>
        <v/>
      </c>
      <c r="D26" s="208" t="str">
        <f t="shared" si="2"/>
        <v/>
      </c>
      <c r="E26" s="209" t="str">
        <f t="shared" si="3"/>
        <v/>
      </c>
      <c r="F26" s="210" t="str">
        <f>SUBSTITUTE(LEFT(Parameters!C28,IF(IFERROR(FIND("[",Parameters!C28),100)&gt;IFERROR(FIND("(",Parameters!C28),100),IFERROR(FIND("(",Parameters!C28),100),IFERROR(FIND("[",Parameters!C28),100))-1)," ","")</f>
        <v/>
      </c>
      <c r="H26" s="208" t="str">
        <f t="shared" si="4"/>
        <v/>
      </c>
      <c r="I26" s="208" t="str">
        <f t="shared" si="5"/>
        <v/>
      </c>
      <c r="J26" s="209" t="str">
        <f t="shared" si="6"/>
        <v/>
      </c>
      <c r="K26" t="str">
        <f>SUBSTITUTE(LEFT(Parameters!D28,IF(IFERROR(FIND("[",Parameters!D28),100)&gt;IFERROR(FIND("(",Parameters!D28),100),IFERROR(FIND("(",Parameters!D28),100),IFERROR(FIND("[",Parameters!D28),100))-1)," ","")</f>
        <v/>
      </c>
      <c r="L26" t="str">
        <v>ExhFlowrate</v>
      </c>
      <c r="M26" t="str">
        <f t="shared" si="7"/>
        <v>ExhFlowrate_typ</v>
      </c>
      <c r="N26" s="208" t="str">
        <f t="shared" si="8"/>
        <v>ExhFlowrate_typ : STRUCT END_STRUCT;</v>
      </c>
      <c r="O26" s="209" t="str">
        <f t="shared" si="9"/>
        <v>ExhFlowrate : ExhFlowrate_typ;</v>
      </c>
      <c r="P26" s="211" t="str">
        <f t="shared" si="10"/>
        <v/>
      </c>
      <c r="Q26" t="str">
        <f>Parameters!E28</f>
        <v>...</v>
      </c>
      <c r="R26" t="str">
        <f>Parameters!F28</f>
        <v>...</v>
      </c>
      <c r="S26" t="str">
        <f t="shared" si="11"/>
        <v>... : REAL;</v>
      </c>
      <c r="U26" t="s">
        <v>638</v>
      </c>
      <c r="V26" t="str">
        <f t="shared" si="0"/>
        <v>SystemReserved27 : REAL;</v>
      </c>
      <c r="W26" t="s">
        <v>709</v>
      </c>
      <c r="X26" t="str">
        <f t="shared" si="12"/>
        <v>FlagReserved16 : REAL;</v>
      </c>
    </row>
    <row r="27" spans="1:24" x14ac:dyDescent="0.45">
      <c r="A27" s="208" t="str">
        <f>SUBSTITUTE(LEFT(Parameters!B29,IF(IFERROR(FIND("[",Parameters!B29),100)&gt;IFERROR(FIND("(",Parameters!B29),100),IFERROR(FIND("(",Parameters!B29),100),IFERROR(FIND("[",Parameters!B29),100))-1)," ","")</f>
        <v/>
      </c>
      <c r="C27" s="208" t="str">
        <f t="shared" si="1"/>
        <v/>
      </c>
      <c r="D27" s="208" t="str">
        <f t="shared" si="2"/>
        <v/>
      </c>
      <c r="E27" s="209" t="str">
        <f t="shared" si="3"/>
        <v/>
      </c>
      <c r="F27" s="210" t="str">
        <f>SUBSTITUTE(LEFT(Parameters!C29,IF(IFERROR(FIND("[",Parameters!C29),100)&gt;IFERROR(FIND("(",Parameters!C29),100),IFERROR(FIND("(",Parameters!C29),100),IFERROR(FIND("[",Parameters!C29),100))-1)," ","")</f>
        <v/>
      </c>
      <c r="H27" s="208" t="str">
        <f t="shared" si="4"/>
        <v/>
      </c>
      <c r="I27" s="208" t="str">
        <f t="shared" si="5"/>
        <v/>
      </c>
      <c r="J27" s="209" t="str">
        <f t="shared" si="6"/>
        <v/>
      </c>
      <c r="K27" t="str">
        <f>SUBSTITUTE(LEFT(Parameters!D29,IF(IFERROR(FIND("[",Parameters!D29),100)&gt;IFERROR(FIND("(",Parameters!D29),100),IFERROR(FIND("(",Parameters!D29),100),IFERROR(FIND("[",Parameters!D29),100))-1)," ","")</f>
        <v/>
      </c>
      <c r="L27" t="str">
        <v>HUInletRefTemp</v>
      </c>
      <c r="M27" t="str">
        <f t="shared" si="7"/>
        <v>HUInletRefTemp_typ</v>
      </c>
      <c r="N27" s="208" t="str">
        <f t="shared" si="8"/>
        <v>HUInletRefTemp_typ : STRUCT END_STRUCT;</v>
      </c>
      <c r="O27" s="209" t="str">
        <f t="shared" si="9"/>
        <v>HUInletRefTemp : HUInletRefTemp_typ;</v>
      </c>
      <c r="P27" s="211" t="str">
        <f t="shared" si="10"/>
        <v/>
      </c>
      <c r="Q27">
        <f>Parameters!E29</f>
        <v>99</v>
      </c>
      <c r="R27" t="str">
        <f>Parameters!F29</f>
        <v>FlagReserved49</v>
      </c>
      <c r="S27" t="str">
        <f t="shared" si="11"/>
        <v>FlagReserved49 : REAL;</v>
      </c>
      <c r="U27" t="s">
        <v>639</v>
      </c>
      <c r="V27" t="str">
        <f t="shared" si="0"/>
        <v>SystemReserved28 : REAL;</v>
      </c>
      <c r="W27" t="s">
        <v>710</v>
      </c>
      <c r="X27" t="str">
        <f t="shared" si="12"/>
        <v>FlagReserved17 : REAL;</v>
      </c>
    </row>
    <row r="28" spans="1:24" x14ac:dyDescent="0.45">
      <c r="A28" s="208" t="str">
        <f>SUBSTITUTE(LEFT(Parameters!B30,IF(IFERROR(FIND("[",Parameters!B30),100)&gt;IFERROR(FIND("(",Parameters!B30),100),IFERROR(FIND("(",Parameters!B30),100),IFERROR(FIND("[",Parameters!B30),100))-1)," ","")</f>
        <v/>
      </c>
      <c r="C28" s="208" t="str">
        <f t="shared" si="1"/>
        <v/>
      </c>
      <c r="D28" s="208" t="str">
        <f t="shared" si="2"/>
        <v/>
      </c>
      <c r="E28" s="209" t="str">
        <f t="shared" si="3"/>
        <v/>
      </c>
      <c r="F28" s="210" t="str">
        <f>SUBSTITUTE(LEFT(Parameters!C30,IF(IFERROR(FIND("[",Parameters!C30),100)&gt;IFERROR(FIND("(",Parameters!C30),100),IFERROR(FIND("(",Parameters!C30),100),IFERROR(FIND("[",Parameters!C30),100))-1)," ","")</f>
        <v xml:space="preserve">Main
</v>
      </c>
      <c r="H28" s="208" t="str">
        <f t="shared" si="4"/>
        <v/>
      </c>
      <c r="I28" s="208" t="str">
        <f t="shared" si="5"/>
        <v/>
      </c>
      <c r="J28" s="209" t="str">
        <f t="shared" si="6"/>
        <v/>
      </c>
      <c r="K28" t="str">
        <f>SUBSTITUTE(LEFT(Parameters!D30,IF(IFERROR(FIND("[",Parameters!D30),100)&gt;IFERROR(FIND("(",Parameters!D30),100),IFERROR(FIND("(",Parameters!D30),100),IFERROR(FIND("[",Parameters!D30),100))-1)," ","")</f>
        <v>Init</v>
      </c>
      <c r="L28" t="str">
        <v>CorrectionFactor</v>
      </c>
      <c r="M28" t="str">
        <f t="shared" si="7"/>
        <v>CorrectionFactor_typ</v>
      </c>
      <c r="N28" s="208" t="str">
        <f t="shared" si="8"/>
        <v>CorrectionFactor_typ : STRUCT END_STRUCT;</v>
      </c>
      <c r="O28" s="209" t="str">
        <f t="shared" si="9"/>
        <v>CorrectionFactor : CorrectionFactor_typ;</v>
      </c>
      <c r="P28" s="211" t="str">
        <f t="shared" si="10"/>
        <v>Init</v>
      </c>
      <c r="Q28">
        <f>Parameters!E30</f>
        <v>100</v>
      </c>
      <c r="R28" t="str">
        <f>Parameters!F30</f>
        <v>InitReserved0</v>
      </c>
      <c r="S28" t="str">
        <f t="shared" si="11"/>
        <v>InitReserved0 : REAL;</v>
      </c>
      <c r="U28" t="s">
        <v>640</v>
      </c>
      <c r="V28" t="str">
        <f t="shared" si="0"/>
        <v>SystemReserved29 : REAL;</v>
      </c>
      <c r="W28" t="s">
        <v>711</v>
      </c>
      <c r="X28" t="str">
        <f t="shared" si="12"/>
        <v>FlagReserved18 : REAL;</v>
      </c>
    </row>
    <row r="29" spans="1:24" x14ac:dyDescent="0.45">
      <c r="A29" s="208" t="str">
        <f>SUBSTITUTE(LEFT(Parameters!B31,IF(IFERROR(FIND("[",Parameters!B31),100)&gt;IFERROR(FIND("(",Parameters!B31),100),IFERROR(FIND("(",Parameters!B31),100),IFERROR(FIND("[",Parameters!B31),100))-1)," ","")</f>
        <v/>
      </c>
      <c r="C29" s="208" t="str">
        <f t="shared" si="1"/>
        <v/>
      </c>
      <c r="D29" s="208" t="str">
        <f t="shared" si="2"/>
        <v/>
      </c>
      <c r="E29" s="209" t="str">
        <f t="shared" si="3"/>
        <v/>
      </c>
      <c r="F29" s="210" t="str">
        <f>SUBSTITUTE(LEFT(Parameters!C31,IF(IFERROR(FIND("[",Parameters!C31),100)&gt;IFERROR(FIND("(",Parameters!C31),100),IFERROR(FIND("(",Parameters!C31),100),IFERROR(FIND("[",Parameters!C31),100))-1)," ","")</f>
        <v/>
      </c>
      <c r="H29" s="208" t="str">
        <f t="shared" si="4"/>
        <v/>
      </c>
      <c r="I29" s="208" t="str">
        <f t="shared" si="5"/>
        <v/>
      </c>
      <c r="J29" s="209" t="str">
        <f t="shared" si="6"/>
        <v/>
      </c>
      <c r="K29" t="str">
        <f>SUBSTITUTE(LEFT(Parameters!D31,IF(IFERROR(FIND("[",Parameters!D31),100)&gt;IFERROR(FIND("(",Parameters!D31),100),IFERROR(FIND("(",Parameters!D31),100),IFERROR(FIND("[",Parameters!D31),100))-1)," ","")</f>
        <v/>
      </c>
      <c r="L29" t="str">
        <v>MOCSTempPgain</v>
      </c>
      <c r="M29" t="str">
        <f t="shared" si="7"/>
        <v>MOCSTempPgain_typ</v>
      </c>
      <c r="N29" s="208" t="str">
        <f t="shared" si="8"/>
        <v>MOCSTempPgain_typ : STRUCT END_STRUCT;</v>
      </c>
      <c r="O29" s="209" t="str">
        <f t="shared" si="9"/>
        <v>MOCSTempPgain : MOCSTempPgain_typ;</v>
      </c>
      <c r="P29" s="211" t="str">
        <f t="shared" si="10"/>
        <v/>
      </c>
      <c r="Q29">
        <f>Parameters!E31</f>
        <v>101</v>
      </c>
      <c r="R29" t="str">
        <f>Parameters!F31</f>
        <v>InitReserved1</v>
      </c>
      <c r="S29" t="str">
        <f t="shared" si="11"/>
        <v>InitReserved1 : REAL;</v>
      </c>
      <c r="U29" t="s">
        <v>641</v>
      </c>
      <c r="V29" t="str">
        <f t="shared" si="0"/>
        <v>SystemReserved30 : REAL;</v>
      </c>
      <c r="W29" t="s">
        <v>712</v>
      </c>
      <c r="X29" t="str">
        <f t="shared" si="12"/>
        <v>FlagReserved19 : REAL;</v>
      </c>
    </row>
    <row r="30" spans="1:24" x14ac:dyDescent="0.45">
      <c r="A30" s="208" t="str">
        <f>SUBSTITUTE(LEFT(Parameters!B32,IF(IFERROR(FIND("[",Parameters!B32),100)&gt;IFERROR(FIND("(",Parameters!B32),100),IFERROR(FIND("(",Parameters!B32),100),IFERROR(FIND("[",Parameters!B32),100))-1)," ","")</f>
        <v/>
      </c>
      <c r="C30" s="208" t="str">
        <f t="shared" si="1"/>
        <v/>
      </c>
      <c r="D30" s="208" t="str">
        <f t="shared" si="2"/>
        <v/>
      </c>
      <c r="E30" s="209" t="str">
        <f t="shared" si="3"/>
        <v/>
      </c>
      <c r="F30" s="210" t="str">
        <f>SUBSTITUTE(LEFT(Parameters!C32,IF(IFERROR(FIND("[",Parameters!C32),100)&gt;IFERROR(FIND("(",Parameters!C32),100),IFERROR(FIND("(",Parameters!C32),100),IFERROR(FIND("[",Parameters!C32),100))-1)," ","")</f>
        <v/>
      </c>
      <c r="H30" s="208" t="str">
        <f t="shared" si="4"/>
        <v/>
      </c>
      <c r="I30" s="208" t="str">
        <f t="shared" si="5"/>
        <v/>
      </c>
      <c r="J30" s="209" t="str">
        <f t="shared" si="6"/>
        <v/>
      </c>
      <c r="K30" t="str">
        <f>SUBSTITUTE(LEFT(Parameters!D32,IF(IFERROR(FIND("[",Parameters!D32),100)&gt;IFERROR(FIND("(",Parameters!D32),100),IFERROR(FIND("(",Parameters!D32),100),IFERROR(FIND("[",Parameters!D32),100))-1)," ","")</f>
        <v/>
      </c>
      <c r="L30" t="str">
        <v>APIDgain</v>
      </c>
      <c r="M30" t="str">
        <f t="shared" si="7"/>
        <v>APIDgain_typ</v>
      </c>
      <c r="N30" s="208" t="str">
        <f t="shared" si="8"/>
        <v>APIDgain_typ : STRUCT END_STRUCT;</v>
      </c>
      <c r="O30" s="209" t="str">
        <f t="shared" si="9"/>
        <v>APIDgain : APIDgain_typ;</v>
      </c>
      <c r="P30" s="211" t="str">
        <f t="shared" si="10"/>
        <v/>
      </c>
      <c r="Q30">
        <f>Parameters!E32</f>
        <v>102</v>
      </c>
      <c r="R30" t="str">
        <f>Parameters!F32</f>
        <v>InitReserved2</v>
      </c>
      <c r="S30" t="str">
        <f t="shared" si="11"/>
        <v>InitReserved2 : REAL;</v>
      </c>
      <c r="U30" t="s">
        <v>642</v>
      </c>
      <c r="V30" t="str">
        <f t="shared" si="0"/>
        <v>SystemReserved31 : REAL;</v>
      </c>
      <c r="W30" t="s">
        <v>713</v>
      </c>
      <c r="X30" t="str">
        <f t="shared" si="12"/>
        <v>FlagReserved20 : REAL;</v>
      </c>
    </row>
    <row r="31" spans="1:24" x14ac:dyDescent="0.45">
      <c r="A31" s="208" t="str">
        <f>SUBSTITUTE(LEFT(Parameters!B33,IF(IFERROR(FIND("[",Parameters!B33),100)&gt;IFERROR(FIND("(",Parameters!B33),100),IFERROR(FIND("(",Parameters!B33),100),IFERROR(FIND("[",Parameters!B33),100))-1)," ","")</f>
        <v/>
      </c>
      <c r="C31" s="208" t="str">
        <f t="shared" si="1"/>
        <v/>
      </c>
      <c r="D31" s="208" t="str">
        <f t="shared" si="2"/>
        <v/>
      </c>
      <c r="E31" s="209" t="str">
        <f t="shared" si="3"/>
        <v/>
      </c>
      <c r="F31" s="210" t="str">
        <f>SUBSTITUTE(LEFT(Parameters!C33,IF(IFERROR(FIND("[",Parameters!C33),100)&gt;IFERROR(FIND("(",Parameters!C33),100),IFERROR(FIND("(",Parameters!C33),100),IFERROR(FIND("[",Parameters!C33),100))-1)," ","")</f>
        <v/>
      </c>
      <c r="H31" s="208" t="str">
        <f t="shared" si="4"/>
        <v/>
      </c>
      <c r="I31" s="208" t="str">
        <f t="shared" si="5"/>
        <v/>
      </c>
      <c r="J31" s="209" t="str">
        <f t="shared" si="6"/>
        <v/>
      </c>
      <c r="K31" t="str">
        <f>SUBSTITUTE(LEFT(Parameters!D33,IF(IFERROR(FIND("[",Parameters!D33),100)&gt;IFERROR(FIND("(",Parameters!D33),100),IFERROR(FIND("(",Parameters!D33),100),IFERROR(FIND("[",Parameters!D33),100))-1)," ","")</f>
        <v/>
      </c>
      <c r="L31" t="str">
        <v xml:space="preserve">IndivReservedCat3
</v>
      </c>
      <c r="M31" t="str">
        <f t="shared" si="7"/>
        <v>IndivReservedCat3
_typ</v>
      </c>
      <c r="N31" s="208" t="str">
        <f t="shared" si="8"/>
        <v>IndivReservedCat3
_typ : STRUCT END_STRUCT;</v>
      </c>
      <c r="O31" s="209" t="str">
        <f t="shared" si="9"/>
        <v>IndivReservedCat3
 : IndivReservedCat3
_typ;</v>
      </c>
      <c r="P31" s="211" t="str">
        <f t="shared" si="10"/>
        <v/>
      </c>
      <c r="Q31">
        <f>Parameters!E33</f>
        <v>103</v>
      </c>
      <c r="R31" t="str">
        <f>Parameters!F33</f>
        <v>InitReserved3</v>
      </c>
      <c r="S31" t="str">
        <f t="shared" si="11"/>
        <v>InitReserved3 : REAL;</v>
      </c>
      <c r="U31" t="s">
        <v>643</v>
      </c>
      <c r="V31" t="str">
        <f t="shared" si="0"/>
        <v>SystemReserved32 : REAL;</v>
      </c>
      <c r="W31" t="s">
        <v>714</v>
      </c>
      <c r="X31" t="str">
        <f t="shared" si="12"/>
        <v>FlagReserved21 : REAL;</v>
      </c>
    </row>
    <row r="32" spans="1:24" x14ac:dyDescent="0.45">
      <c r="A32" s="208" t="str">
        <f>SUBSTITUTE(LEFT(Parameters!B34,IF(IFERROR(FIND("[",Parameters!B34),100)&gt;IFERROR(FIND("(",Parameters!B34),100),IFERROR(FIND("(",Parameters!B34),100),IFERROR(FIND("[",Parameters!B34),100))-1)," ","")</f>
        <v/>
      </c>
      <c r="C32" s="208" t="str">
        <f t="shared" si="1"/>
        <v/>
      </c>
      <c r="D32" s="208" t="str">
        <f t="shared" si="2"/>
        <v/>
      </c>
      <c r="E32" s="209" t="str">
        <f t="shared" si="3"/>
        <v/>
      </c>
      <c r="F32" s="210" t="str">
        <f>SUBSTITUTE(LEFT(Parameters!C34,IF(IFERROR(FIND("[",Parameters!C34),100)&gt;IFERROR(FIND("(",Parameters!C34),100),IFERROR(FIND("(",Parameters!C34),100),IFERROR(FIND("[",Parameters!C34),100))-1)," ","")</f>
        <v/>
      </c>
      <c r="H32" s="208" t="str">
        <f t="shared" si="4"/>
        <v/>
      </c>
      <c r="I32" s="208" t="str">
        <f t="shared" si="5"/>
        <v/>
      </c>
      <c r="J32" s="209" t="str">
        <f t="shared" si="6"/>
        <v/>
      </c>
      <c r="K32" t="str">
        <f>SUBSTITUTE(LEFT(Parameters!D34,IF(IFERROR(FIND("[",Parameters!D34),100)&gt;IFERROR(FIND("(",Parameters!D34),100),IFERROR(FIND("(",Parameters!D34),100),IFERROR(FIND("[",Parameters!D34),100))-1)," ","")</f>
        <v/>
      </c>
      <c r="M32" t="str">
        <f t="shared" si="7"/>
        <v/>
      </c>
      <c r="N32" s="208" t="str">
        <f t="shared" si="8"/>
        <v/>
      </c>
      <c r="O32" s="209" t="str">
        <f t="shared" si="9"/>
        <v/>
      </c>
      <c r="P32" s="211" t="str">
        <f t="shared" si="10"/>
        <v/>
      </c>
      <c r="Q32">
        <f>Parameters!E34</f>
        <v>104</v>
      </c>
      <c r="R32" t="str">
        <f>Parameters!F34</f>
        <v>InitReserved4</v>
      </c>
      <c r="S32" t="str">
        <f t="shared" si="11"/>
        <v>InitReserved4 : REAL;</v>
      </c>
      <c r="U32" t="s">
        <v>644</v>
      </c>
      <c r="V32" t="str">
        <f t="shared" si="0"/>
        <v>SystemReserved33 : REAL;</v>
      </c>
      <c r="W32" t="s">
        <v>715</v>
      </c>
      <c r="X32" t="str">
        <f t="shared" si="12"/>
        <v>FlagReserved22 : REAL;</v>
      </c>
    </row>
    <row r="33" spans="1:24" x14ac:dyDescent="0.45">
      <c r="A33" s="208" t="str">
        <f>SUBSTITUTE(LEFT(Parameters!B35,IF(IFERROR(FIND("[",Parameters!B35),100)&gt;IFERROR(FIND("(",Parameters!B35),100),IFERROR(FIND("(",Parameters!B35),100),IFERROR(FIND("[",Parameters!B35),100))-1)," ","")</f>
        <v/>
      </c>
      <c r="C33" s="208" t="str">
        <f t="shared" si="1"/>
        <v/>
      </c>
      <c r="D33" s="208" t="str">
        <f t="shared" si="2"/>
        <v/>
      </c>
      <c r="E33" s="209" t="str">
        <f t="shared" si="3"/>
        <v/>
      </c>
      <c r="F33" s="210" t="str">
        <f>SUBSTITUTE(LEFT(Parameters!C35,IF(IFERROR(FIND("[",Parameters!C35),100)&gt;IFERROR(FIND("(",Parameters!C35),100),IFERROR(FIND("(",Parameters!C35),100),IFERROR(FIND("[",Parameters!C35),100))-1)," ","")</f>
        <v/>
      </c>
      <c r="H33" s="208" t="str">
        <f t="shared" si="4"/>
        <v/>
      </c>
      <c r="I33" s="208" t="str">
        <f t="shared" si="5"/>
        <v/>
      </c>
      <c r="J33" s="209" t="str">
        <f t="shared" si="6"/>
        <v/>
      </c>
      <c r="K33" t="str">
        <f>SUBSTITUTE(LEFT(Parameters!D35,IF(IFERROR(FIND("[",Parameters!D35),100)&gt;IFERROR(FIND("(",Parameters!D35),100),IFERROR(FIND("(",Parameters!D35),100),IFERROR(FIND("[",Parameters!D35),100))-1)," ","")</f>
        <v>Sealing</v>
      </c>
      <c r="M33" t="str">
        <f t="shared" si="7"/>
        <v/>
      </c>
      <c r="N33" s="208" t="str">
        <f t="shared" si="8"/>
        <v/>
      </c>
      <c r="O33" s="209" t="str">
        <f t="shared" si="9"/>
        <v/>
      </c>
      <c r="P33" s="211" t="str">
        <f t="shared" si="10"/>
        <v>Sealing</v>
      </c>
      <c r="Q33">
        <f>Parameters!E35</f>
        <v>105</v>
      </c>
      <c r="R33" t="str">
        <f>Parameters!F35</f>
        <v>VSSolValveOpenDP</v>
      </c>
      <c r="S33" t="str">
        <f t="shared" si="11"/>
        <v>VSSolValveOpenDP : REAL;</v>
      </c>
      <c r="U33" t="s">
        <v>645</v>
      </c>
      <c r="V33" t="str">
        <f t="shared" si="0"/>
        <v>SystemReserved34 : REAL;</v>
      </c>
      <c r="W33" t="s">
        <v>716</v>
      </c>
      <c r="X33" t="str">
        <f t="shared" si="12"/>
        <v>FlagReserved23 : REAL;</v>
      </c>
    </row>
    <row r="34" spans="1:24" x14ac:dyDescent="0.45">
      <c r="A34" s="208" t="str">
        <f>SUBSTITUTE(LEFT(Parameters!B36,IF(IFERROR(FIND("[",Parameters!B36),100)&gt;IFERROR(FIND("(",Parameters!B36),100),IFERROR(FIND("(",Parameters!B36),100),IFERROR(FIND("[",Parameters!B36),100))-1)," ","")</f>
        <v/>
      </c>
      <c r="C34" s="208" t="str">
        <f t="shared" si="1"/>
        <v/>
      </c>
      <c r="D34" s="208" t="str">
        <f t="shared" si="2"/>
        <v/>
      </c>
      <c r="E34" s="209" t="str">
        <f t="shared" si="3"/>
        <v/>
      </c>
      <c r="F34" s="210" t="str">
        <f>SUBSTITUTE(LEFT(Parameters!C36,IF(IFERROR(FIND("[",Parameters!C36),100)&gt;IFERROR(FIND("(",Parameters!C36),100),IFERROR(FIND("(",Parameters!C36),100),IFERROR(FIND("[",Parameters!C36),100))-1)," ","")</f>
        <v/>
      </c>
      <c r="H34" s="208" t="str">
        <f t="shared" si="4"/>
        <v/>
      </c>
      <c r="I34" s="208" t="str">
        <f t="shared" si="5"/>
        <v/>
      </c>
      <c r="J34" s="209" t="str">
        <f t="shared" si="6"/>
        <v/>
      </c>
      <c r="K34" t="str">
        <f>SUBSTITUTE(LEFT(Parameters!D36,IF(IFERROR(FIND("[",Parameters!D36),100)&gt;IFERROR(FIND("(",Parameters!D36),100),IFERROR(FIND("(",Parameters!D36),100),IFERROR(FIND("[",Parameters!D36),100))-1)," ","")</f>
        <v/>
      </c>
      <c r="M34" t="str">
        <f t="shared" si="7"/>
        <v/>
      </c>
      <c r="N34" s="208" t="str">
        <f t="shared" si="8"/>
        <v/>
      </c>
      <c r="O34" s="209" t="str">
        <f t="shared" si="9"/>
        <v/>
      </c>
      <c r="P34" s="211" t="str">
        <f t="shared" si="10"/>
        <v/>
      </c>
      <c r="Q34">
        <f>Parameters!E36</f>
        <v>106</v>
      </c>
      <c r="R34" t="str">
        <f>Parameters!F36</f>
        <v>VSSolValveCloseDP</v>
      </c>
      <c r="S34" t="str">
        <f t="shared" si="11"/>
        <v>VSSolValveCloseDP : REAL;</v>
      </c>
      <c r="U34" t="s">
        <v>646</v>
      </c>
      <c r="V34" t="str">
        <f t="shared" si="0"/>
        <v>SystemReserved35 : REAL;</v>
      </c>
      <c r="W34" t="s">
        <v>717</v>
      </c>
      <c r="X34" t="str">
        <f t="shared" si="12"/>
        <v>FlagReserved24 : REAL;</v>
      </c>
    </row>
    <row r="35" spans="1:24" x14ac:dyDescent="0.45">
      <c r="A35" s="208" t="str">
        <f>SUBSTITUTE(LEFT(Parameters!B37,IF(IFERROR(FIND("[",Parameters!B37),100)&gt;IFERROR(FIND("(",Parameters!B37),100),IFERROR(FIND("(",Parameters!B37),100),IFERROR(FIND("[",Parameters!B37),100))-1)," ","")</f>
        <v/>
      </c>
      <c r="C35" s="208" t="str">
        <f t="shared" si="1"/>
        <v/>
      </c>
      <c r="D35" s="208" t="str">
        <f t="shared" si="2"/>
        <v/>
      </c>
      <c r="E35" s="209" t="str">
        <f t="shared" si="3"/>
        <v/>
      </c>
      <c r="F35" s="210" t="str">
        <f>SUBSTITUTE(LEFT(Parameters!C37,IF(IFERROR(FIND("[",Parameters!C37),100)&gt;IFERROR(FIND("(",Parameters!C37),100),IFERROR(FIND("(",Parameters!C37),100),IFERROR(FIND("[",Parameters!C37),100))-1)," ","")</f>
        <v/>
      </c>
      <c r="H35" s="208" t="str">
        <f t="shared" si="4"/>
        <v/>
      </c>
      <c r="I35" s="208" t="str">
        <f t="shared" si="5"/>
        <v/>
      </c>
      <c r="J35" s="209" t="str">
        <f t="shared" si="6"/>
        <v/>
      </c>
      <c r="K35" t="str">
        <f>SUBSTITUTE(LEFT(Parameters!D37,IF(IFERROR(FIND("[",Parameters!D37),100)&gt;IFERROR(FIND("(",Parameters!D37),100),IFERROR(FIND("(",Parameters!D37),100),IFERROR(FIND("[",Parameters!D37),100))-1)," ","")</f>
        <v/>
      </c>
      <c r="M35" t="str">
        <f t="shared" si="7"/>
        <v/>
      </c>
      <c r="N35" s="208" t="str">
        <f t="shared" si="8"/>
        <v/>
      </c>
      <c r="O35" s="209" t="str">
        <f t="shared" si="9"/>
        <v/>
      </c>
      <c r="P35" s="211" t="str">
        <f t="shared" si="10"/>
        <v/>
      </c>
      <c r="Q35">
        <f>Parameters!E37</f>
        <v>107</v>
      </c>
      <c r="R35" t="str">
        <f>Parameters!F37</f>
        <v>RTVOpenDP</v>
      </c>
      <c r="S35" t="str">
        <f t="shared" si="11"/>
        <v>RTVOpenDP : REAL;</v>
      </c>
      <c r="U35" t="s">
        <v>647</v>
      </c>
      <c r="V35" t="str">
        <f t="shared" si="0"/>
        <v>SystemReserved36 : REAL;</v>
      </c>
      <c r="W35" t="s">
        <v>718</v>
      </c>
      <c r="X35" t="str">
        <f t="shared" si="12"/>
        <v>FlagReserved25 : REAL;</v>
      </c>
    </row>
    <row r="36" spans="1:24" x14ac:dyDescent="0.45">
      <c r="A36" s="208" t="str">
        <f>SUBSTITUTE(LEFT(Parameters!B38,IF(IFERROR(FIND("[",Parameters!B38),100)&gt;IFERROR(FIND("(",Parameters!B38),100),IFERROR(FIND("(",Parameters!B38),100),IFERROR(FIND("[",Parameters!B38),100))-1)," ","")</f>
        <v/>
      </c>
      <c r="C36" s="208" t="str">
        <f t="shared" si="1"/>
        <v/>
      </c>
      <c r="D36" s="208" t="str">
        <f t="shared" si="2"/>
        <v/>
      </c>
      <c r="E36" s="209" t="str">
        <f t="shared" si="3"/>
        <v/>
      </c>
      <c r="F36" s="210" t="str">
        <f>SUBSTITUTE(LEFT(Parameters!C38,IF(IFERROR(FIND("[",Parameters!C38),100)&gt;IFERROR(FIND("(",Parameters!C38),100),IFERROR(FIND("(",Parameters!C38),100),IFERROR(FIND("[",Parameters!C38),100))-1)," ","")</f>
        <v/>
      </c>
      <c r="H36" s="208" t="str">
        <f t="shared" si="4"/>
        <v/>
      </c>
      <c r="I36" s="208" t="str">
        <f t="shared" si="5"/>
        <v/>
      </c>
      <c r="J36" s="209" t="str">
        <f t="shared" si="6"/>
        <v/>
      </c>
      <c r="K36" t="str">
        <f>SUBSTITUTE(LEFT(Parameters!D38,IF(IFERROR(FIND("[",Parameters!D38),100)&gt;IFERROR(FIND("(",Parameters!D38),100),IFERROR(FIND("(",Parameters!D38),100),IFERROR(FIND("[",Parameters!D38),100))-1)," ","")</f>
        <v/>
      </c>
      <c r="M36" t="str">
        <f t="shared" si="7"/>
        <v/>
      </c>
      <c r="N36" s="208" t="str">
        <f t="shared" si="8"/>
        <v/>
      </c>
      <c r="O36" s="209" t="str">
        <f t="shared" si="9"/>
        <v/>
      </c>
      <c r="P36" s="211" t="str">
        <f t="shared" si="10"/>
        <v/>
      </c>
      <c r="Q36">
        <f>Parameters!E38</f>
        <v>108</v>
      </c>
      <c r="R36" t="str">
        <f>Parameters!F38</f>
        <v>RTVCloseDP</v>
      </c>
      <c r="S36" t="str">
        <f t="shared" si="11"/>
        <v>RTVCloseDP : REAL;</v>
      </c>
      <c r="U36" t="s">
        <v>648</v>
      </c>
      <c r="V36" t="str">
        <f t="shared" si="0"/>
        <v>SystemReserved37 : REAL;</v>
      </c>
      <c r="W36" t="s">
        <v>719</v>
      </c>
      <c r="X36" t="str">
        <f t="shared" si="12"/>
        <v>FlagReserved26 : REAL;</v>
      </c>
    </row>
    <row r="37" spans="1:24" x14ac:dyDescent="0.45">
      <c r="A37" s="208" t="str">
        <f>SUBSTITUTE(LEFT(Parameters!B39,IF(IFERROR(FIND("[",Parameters!B39),100)&gt;IFERROR(FIND("(",Parameters!B39),100),IFERROR(FIND("(",Parameters!B39),100),IFERROR(FIND("[",Parameters!B39),100))-1)," ","")</f>
        <v/>
      </c>
      <c r="C37" s="208" t="str">
        <f t="shared" si="1"/>
        <v/>
      </c>
      <c r="D37" s="208" t="str">
        <f t="shared" si="2"/>
        <v/>
      </c>
      <c r="E37" s="209" t="str">
        <f t="shared" si="3"/>
        <v/>
      </c>
      <c r="F37" s="210" t="str">
        <f>SUBSTITUTE(LEFT(Parameters!C39,IF(IFERROR(FIND("[",Parameters!C39),100)&gt;IFERROR(FIND("(",Parameters!C39),100),IFERROR(FIND("(",Parameters!C39),100),IFERROR(FIND("[",Parameters!C39),100))-1)," ","")</f>
        <v/>
      </c>
      <c r="H37" s="208" t="str">
        <f t="shared" si="4"/>
        <v/>
      </c>
      <c r="I37" s="208" t="str">
        <f t="shared" si="5"/>
        <v/>
      </c>
      <c r="J37" s="209" t="str">
        <f t="shared" si="6"/>
        <v/>
      </c>
      <c r="K37" t="str">
        <f>SUBSTITUTE(LEFT(Parameters!D39,IF(IFERROR(FIND("[",Parameters!D39),100)&gt;IFERROR(FIND("(",Parameters!D39),100),IFERROR(FIND("(",Parameters!D39),100),IFERROR(FIND("[",Parameters!D39),100))-1)," ","")</f>
        <v/>
      </c>
      <c r="M37" t="str">
        <f t="shared" si="7"/>
        <v/>
      </c>
      <c r="N37" s="208" t="str">
        <f t="shared" si="8"/>
        <v/>
      </c>
      <c r="O37" s="209" t="str">
        <f t="shared" si="9"/>
        <v/>
      </c>
      <c r="P37" s="211" t="str">
        <f t="shared" si="10"/>
        <v/>
      </c>
      <c r="Q37">
        <f>Parameters!E39</f>
        <v>109</v>
      </c>
      <c r="R37" t="str">
        <f>Parameters!F39</f>
        <v>SealRTVSetpoint</v>
      </c>
      <c r="S37" t="str">
        <f t="shared" si="11"/>
        <v>SealRTVSetpoint : REAL;</v>
      </c>
      <c r="U37" t="s">
        <v>649</v>
      </c>
      <c r="V37" t="str">
        <f t="shared" si="0"/>
        <v>SystemReserved38 : REAL;</v>
      </c>
      <c r="W37" t="s">
        <v>720</v>
      </c>
      <c r="X37" t="str">
        <f t="shared" si="12"/>
        <v>FlagReserved27 : REAL;</v>
      </c>
    </row>
    <row r="38" spans="1:24" x14ac:dyDescent="0.45">
      <c r="A38" s="208" t="str">
        <f>SUBSTITUTE(LEFT(Parameters!B40,IF(IFERROR(FIND("[",Parameters!B40),100)&gt;IFERROR(FIND("(",Parameters!B40),100),IFERROR(FIND("(",Parameters!B40),100),IFERROR(FIND("[",Parameters!B40),100))-1)," ","")</f>
        <v/>
      </c>
      <c r="C38" s="208" t="str">
        <f t="shared" si="1"/>
        <v/>
      </c>
      <c r="D38" s="208" t="str">
        <f t="shared" si="2"/>
        <v/>
      </c>
      <c r="E38" s="209" t="str">
        <f t="shared" si="3"/>
        <v/>
      </c>
      <c r="F38" s="210" t="str">
        <f>SUBSTITUTE(LEFT(Parameters!C40,IF(IFERROR(FIND("[",Parameters!C40),100)&gt;IFERROR(FIND("(",Parameters!C40),100),IFERROR(FIND("(",Parameters!C40),100),IFERROR(FIND("[",Parameters!C40),100))-1)," ","")</f>
        <v/>
      </c>
      <c r="H38" s="208" t="str">
        <f t="shared" si="4"/>
        <v/>
      </c>
      <c r="I38" s="208" t="str">
        <f t="shared" si="5"/>
        <v/>
      </c>
      <c r="J38" s="209" t="str">
        <f t="shared" si="6"/>
        <v/>
      </c>
      <c r="K38" t="str">
        <f>SUBSTITUTE(LEFT(Parameters!D40,IF(IFERROR(FIND("[",Parameters!D40),100)&gt;IFERROR(FIND("(",Parameters!D40),100),IFERROR(FIND("(",Parameters!D40),100),IFERROR(FIND("[",Parameters!D40),100))-1)," ","")</f>
        <v/>
      </c>
      <c r="M38" t="str">
        <f t="shared" si="7"/>
        <v/>
      </c>
      <c r="N38" s="208" t="str">
        <f t="shared" si="8"/>
        <v/>
      </c>
      <c r="O38" s="209" t="str">
        <f t="shared" si="9"/>
        <v/>
      </c>
      <c r="P38" s="211" t="str">
        <f t="shared" si="10"/>
        <v/>
      </c>
      <c r="Q38">
        <f>Parameters!E40</f>
        <v>110</v>
      </c>
      <c r="R38" t="str">
        <f>Parameters!F40</f>
        <v>VSSolValveOpenDuration</v>
      </c>
      <c r="S38" t="str">
        <f t="shared" si="11"/>
        <v>VSSolValveOpenDuration : REAL;</v>
      </c>
      <c r="U38" t="s">
        <v>650</v>
      </c>
      <c r="V38" t="str">
        <f t="shared" si="0"/>
        <v>SystemReserved39 : REAL;</v>
      </c>
      <c r="W38" t="s">
        <v>721</v>
      </c>
      <c r="X38" t="str">
        <f t="shared" si="12"/>
        <v>FlagReserved28 : REAL;</v>
      </c>
    </row>
    <row r="39" spans="1:24" x14ac:dyDescent="0.45">
      <c r="A39" s="208" t="str">
        <f>SUBSTITUTE(LEFT(Parameters!B41,IF(IFERROR(FIND("[",Parameters!B41),100)&gt;IFERROR(FIND("(",Parameters!B41),100),IFERROR(FIND("(",Parameters!B41),100),IFERROR(FIND("[",Parameters!B41),100))-1)," ","")</f>
        <v/>
      </c>
      <c r="C39" s="208" t="str">
        <f t="shared" si="1"/>
        <v/>
      </c>
      <c r="D39" s="208" t="str">
        <f t="shared" si="2"/>
        <v/>
      </c>
      <c r="E39" s="209" t="str">
        <f t="shared" si="3"/>
        <v/>
      </c>
      <c r="F39" s="210" t="str">
        <f>SUBSTITUTE(LEFT(Parameters!C41,IF(IFERROR(FIND("[",Parameters!C41),100)&gt;IFERROR(FIND("(",Parameters!C41),100),IFERROR(FIND("(",Parameters!C41),100),IFERROR(FIND("[",Parameters!C41),100))-1)," ","")</f>
        <v/>
      </c>
      <c r="H39" s="208" t="str">
        <f t="shared" si="4"/>
        <v/>
      </c>
      <c r="I39" s="208" t="str">
        <f t="shared" si="5"/>
        <v/>
      </c>
      <c r="J39" s="209" t="str">
        <f t="shared" si="6"/>
        <v/>
      </c>
      <c r="K39" t="str">
        <f>SUBSTITUTE(LEFT(Parameters!D41,IF(IFERROR(FIND("[",Parameters!D41),100)&gt;IFERROR(FIND("(",Parameters!D41),100),IFERROR(FIND("(",Parameters!D41),100),IFERROR(FIND("[",Parameters!D41),100))-1)," ","")</f>
        <v/>
      </c>
      <c r="M39" t="str">
        <f t="shared" si="7"/>
        <v/>
      </c>
      <c r="N39" s="208" t="str">
        <f t="shared" si="8"/>
        <v/>
      </c>
      <c r="O39" s="209" t="str">
        <f t="shared" si="9"/>
        <v/>
      </c>
      <c r="P39" s="211" t="str">
        <f t="shared" si="10"/>
        <v/>
      </c>
      <c r="Q39">
        <f>Parameters!E41</f>
        <v>111</v>
      </c>
      <c r="R39" t="str">
        <f>Parameters!F41</f>
        <v>VSSolValveCloseDuration</v>
      </c>
      <c r="S39" t="str">
        <f t="shared" si="11"/>
        <v>VSSolValveCloseDuration : REAL;</v>
      </c>
      <c r="U39" t="s">
        <v>651</v>
      </c>
      <c r="V39" t="str">
        <f t="shared" si="0"/>
        <v>SystemReserved40 : REAL;</v>
      </c>
      <c r="W39" t="s">
        <v>722</v>
      </c>
      <c r="X39" t="str">
        <f t="shared" si="12"/>
        <v>FlagReserved29 : REAL;</v>
      </c>
    </row>
    <row r="40" spans="1:24" x14ac:dyDescent="0.45">
      <c r="A40" s="208" t="str">
        <f>SUBSTITUTE(LEFT(Parameters!B42,IF(IFERROR(FIND("[",Parameters!B42),100)&gt;IFERROR(FIND("(",Parameters!B42),100),IFERROR(FIND("(",Parameters!B42),100),IFERROR(FIND("[",Parameters!B42),100))-1)," ","")</f>
        <v/>
      </c>
      <c r="C40" s="208" t="str">
        <f t="shared" si="1"/>
        <v/>
      </c>
      <c r="D40" s="208" t="str">
        <f t="shared" si="2"/>
        <v/>
      </c>
      <c r="E40" s="209" t="str">
        <f t="shared" si="3"/>
        <v/>
      </c>
      <c r="F40" s="210" t="str">
        <f>SUBSTITUTE(LEFT(Parameters!C42,IF(IFERROR(FIND("[",Parameters!C42),100)&gt;IFERROR(FIND("(",Parameters!C42),100),IFERROR(FIND("(",Parameters!C42),100),IFERROR(FIND("[",Parameters!C42),100))-1)," ","")</f>
        <v/>
      </c>
      <c r="H40" s="208" t="str">
        <f t="shared" si="4"/>
        <v/>
      </c>
      <c r="I40" s="208" t="str">
        <f t="shared" si="5"/>
        <v/>
      </c>
      <c r="J40" s="209" t="str">
        <f t="shared" si="6"/>
        <v/>
      </c>
      <c r="K40" t="str">
        <f>SUBSTITUTE(LEFT(Parameters!D42,IF(IFERROR(FIND("[",Parameters!D42),100)&gt;IFERROR(FIND("(",Parameters!D42),100),IFERROR(FIND("(",Parameters!D42),100),IFERROR(FIND("[",Parameters!D42),100))-1)," ","")</f>
        <v/>
      </c>
      <c r="M40" t="str">
        <f t="shared" si="7"/>
        <v/>
      </c>
      <c r="N40" s="208" t="str">
        <f t="shared" si="8"/>
        <v/>
      </c>
      <c r="O40" s="209" t="str">
        <f t="shared" si="9"/>
        <v/>
      </c>
      <c r="P40" s="211" t="str">
        <f t="shared" si="10"/>
        <v/>
      </c>
      <c r="Q40">
        <f>Parameters!E42</f>
        <v>112</v>
      </c>
      <c r="R40" t="str">
        <f>Parameters!F42</f>
        <v>SealingReserved7</v>
      </c>
      <c r="S40" t="str">
        <f t="shared" si="11"/>
        <v>SealingReserved7 : REAL;</v>
      </c>
      <c r="U40" t="s">
        <v>652</v>
      </c>
      <c r="V40" t="str">
        <f t="shared" si="0"/>
        <v>SystemReserved41 : REAL;</v>
      </c>
      <c r="W40" t="s">
        <v>723</v>
      </c>
      <c r="X40" t="str">
        <f t="shared" si="12"/>
        <v>FlagReserved30 : REAL;</v>
      </c>
    </row>
    <row r="41" spans="1:24" x14ac:dyDescent="0.45">
      <c r="A41" s="208" t="str">
        <f>SUBSTITUTE(LEFT(Parameters!B43,IF(IFERROR(FIND("[",Parameters!B43),100)&gt;IFERROR(FIND("(",Parameters!B43),100),IFERROR(FIND("(",Parameters!B43),100),IFERROR(FIND("[",Parameters!B43),100))-1)," ","")</f>
        <v/>
      </c>
      <c r="C41" s="208" t="str">
        <f t="shared" si="1"/>
        <v/>
      </c>
      <c r="D41" s="208" t="str">
        <f t="shared" si="2"/>
        <v/>
      </c>
      <c r="E41" s="209" t="str">
        <f t="shared" si="3"/>
        <v/>
      </c>
      <c r="F41" s="210" t="str">
        <f>SUBSTITUTE(LEFT(Parameters!C43,IF(IFERROR(FIND("[",Parameters!C43),100)&gt;IFERROR(FIND("(",Parameters!C43),100),IFERROR(FIND("(",Parameters!C43),100),IFERROR(FIND("[",Parameters!C43),100))-1)," ","")</f>
        <v/>
      </c>
      <c r="H41" s="208" t="str">
        <f t="shared" si="4"/>
        <v/>
      </c>
      <c r="I41" s="208" t="str">
        <f t="shared" si="5"/>
        <v/>
      </c>
      <c r="J41" s="209" t="str">
        <f t="shared" si="6"/>
        <v/>
      </c>
      <c r="K41" t="str">
        <f>SUBSTITUTE(LEFT(Parameters!D43,IF(IFERROR(FIND("[",Parameters!D43),100)&gt;IFERROR(FIND("(",Parameters!D43),100),IFERROR(FIND("(",Parameters!D43),100),IFERROR(FIND("[",Parameters!D43),100))-1)," ","")</f>
        <v/>
      </c>
      <c r="M41" t="str">
        <f t="shared" si="7"/>
        <v/>
      </c>
      <c r="N41" s="208" t="str">
        <f t="shared" si="8"/>
        <v/>
      </c>
      <c r="O41" s="209" t="str">
        <f t="shared" si="9"/>
        <v/>
      </c>
      <c r="P41" s="211" t="str">
        <f t="shared" si="10"/>
        <v/>
      </c>
      <c r="Q41">
        <f>Parameters!E43</f>
        <v>113</v>
      </c>
      <c r="R41" t="str">
        <f>Parameters!F43</f>
        <v>SealingReserved8</v>
      </c>
      <c r="S41" t="str">
        <f t="shared" si="11"/>
        <v>SealingReserved8 : REAL;</v>
      </c>
      <c r="U41" t="s">
        <v>653</v>
      </c>
      <c r="V41" t="str">
        <f t="shared" si="0"/>
        <v>SystemReserved42 : REAL;</v>
      </c>
      <c r="W41" t="s">
        <v>724</v>
      </c>
      <c r="X41" t="str">
        <f t="shared" si="12"/>
        <v>FlagReserved31 : REAL;</v>
      </c>
    </row>
    <row r="42" spans="1:24" x14ac:dyDescent="0.45">
      <c r="A42" s="208" t="str">
        <f>SUBSTITUTE(LEFT(Parameters!B44,IF(IFERROR(FIND("[",Parameters!B44),100)&gt;IFERROR(FIND("(",Parameters!B44),100),IFERROR(FIND("(",Parameters!B44),100),IFERROR(FIND("[",Parameters!B44),100))-1)," ","")</f>
        <v/>
      </c>
      <c r="C42" s="208" t="str">
        <f t="shared" si="1"/>
        <v/>
      </c>
      <c r="D42" s="208" t="str">
        <f t="shared" si="2"/>
        <v/>
      </c>
      <c r="E42" s="209" t="str">
        <f t="shared" si="3"/>
        <v/>
      </c>
      <c r="F42" s="210" t="str">
        <f>SUBSTITUTE(LEFT(Parameters!C44,IF(IFERROR(FIND("[",Parameters!C44),100)&gt;IFERROR(FIND("(",Parameters!C44),100),IFERROR(FIND("(",Parameters!C44),100),IFERROR(FIND("[",Parameters!C44),100))-1)," ","")</f>
        <v/>
      </c>
      <c r="H42" s="208" t="str">
        <f t="shared" si="4"/>
        <v/>
      </c>
      <c r="I42" s="208" t="str">
        <f t="shared" si="5"/>
        <v/>
      </c>
      <c r="J42" s="209" t="str">
        <f t="shared" si="6"/>
        <v/>
      </c>
      <c r="K42" t="str">
        <f>SUBSTITUTE(LEFT(Parameters!D44,IF(IFERROR(FIND("[",Parameters!D44),100)&gt;IFERROR(FIND("(",Parameters!D44),100),IFERROR(FIND("(",Parameters!D44),100),IFERROR(FIND("[",Parameters!D44),100))-1)," ","")</f>
        <v/>
      </c>
      <c r="M42" t="str">
        <f t="shared" si="7"/>
        <v/>
      </c>
      <c r="N42" s="208" t="str">
        <f t="shared" si="8"/>
        <v/>
      </c>
      <c r="O42" s="209" t="str">
        <f t="shared" si="9"/>
        <v/>
      </c>
      <c r="P42" s="211" t="str">
        <f t="shared" si="10"/>
        <v/>
      </c>
      <c r="Q42">
        <f>Parameters!E44</f>
        <v>114</v>
      </c>
      <c r="R42" t="str">
        <f>Parameters!F44</f>
        <v>SealingReserved9</v>
      </c>
      <c r="S42" t="str">
        <f t="shared" si="11"/>
        <v>SealingReserved9 : REAL;</v>
      </c>
      <c r="U42" t="s">
        <v>654</v>
      </c>
      <c r="V42" t="str">
        <f t="shared" si="0"/>
        <v>SystemReserved43 : REAL;</v>
      </c>
      <c r="W42" t="s">
        <v>725</v>
      </c>
      <c r="X42" t="str">
        <f t="shared" si="12"/>
        <v>FlagReserved32 : REAL;</v>
      </c>
    </row>
    <row r="43" spans="1:24" x14ac:dyDescent="0.45">
      <c r="A43" s="208" t="str">
        <f>SUBSTITUTE(LEFT(Parameters!B45,IF(IFERROR(FIND("[",Parameters!B45),100)&gt;IFERROR(FIND("(",Parameters!B45),100),IFERROR(FIND("(",Parameters!B45),100),IFERROR(FIND("[",Parameters!B45),100))-1)," ","")</f>
        <v/>
      </c>
      <c r="C43" s="208" t="str">
        <f t="shared" si="1"/>
        <v/>
      </c>
      <c r="D43" s="208" t="str">
        <f t="shared" si="2"/>
        <v/>
      </c>
      <c r="E43" s="209" t="str">
        <f t="shared" si="3"/>
        <v/>
      </c>
      <c r="F43" s="210" t="str">
        <f>SUBSTITUTE(LEFT(Parameters!C45,IF(IFERROR(FIND("[",Parameters!C45),100)&gt;IFERROR(FIND("(",Parameters!C45),100),IFERROR(FIND("(",Parameters!C45),100),IFERROR(FIND("[",Parameters!C45),100))-1)," ","")</f>
        <v/>
      </c>
      <c r="H43" s="208" t="str">
        <f t="shared" si="4"/>
        <v/>
      </c>
      <c r="I43" s="208" t="str">
        <f t="shared" si="5"/>
        <v/>
      </c>
      <c r="J43" s="209" t="str">
        <f t="shared" si="6"/>
        <v/>
      </c>
      <c r="K43" t="str">
        <f>SUBSTITUTE(LEFT(Parameters!D45,IF(IFERROR(FIND("[",Parameters!D45),100)&gt;IFERROR(FIND("(",Parameters!D45),100),IFERROR(FIND("(",Parameters!D45),100),IFERROR(FIND("[",Parameters!D45),100))-1)," ","")</f>
        <v>Engage</v>
      </c>
      <c r="M43" t="str">
        <f t="shared" si="7"/>
        <v/>
      </c>
      <c r="N43" s="208" t="str">
        <f t="shared" si="8"/>
        <v/>
      </c>
      <c r="O43" s="209" t="str">
        <f t="shared" si="9"/>
        <v/>
      </c>
      <c r="P43" s="211" t="str">
        <f t="shared" si="10"/>
        <v>Engage</v>
      </c>
      <c r="Q43">
        <f>Parameters!E45</f>
        <v>115</v>
      </c>
      <c r="R43" t="str">
        <f>Parameters!F45</f>
        <v>EnRTVSlope</v>
      </c>
      <c r="S43" t="str">
        <f t="shared" si="11"/>
        <v>EnRTVSlope : REAL;</v>
      </c>
      <c r="U43" t="s">
        <v>655</v>
      </c>
      <c r="V43" t="str">
        <f t="shared" si="0"/>
        <v>SystemReserved44 : REAL;</v>
      </c>
      <c r="W43" t="s">
        <v>726</v>
      </c>
      <c r="X43" t="str">
        <f t="shared" si="12"/>
        <v>FlagReserved33 : REAL;</v>
      </c>
    </row>
    <row r="44" spans="1:24" x14ac:dyDescent="0.45">
      <c r="A44" s="208" t="str">
        <f>SUBSTITUTE(LEFT(Parameters!B46,IF(IFERROR(FIND("[",Parameters!B46),100)&gt;IFERROR(FIND("(",Parameters!B46),100),IFERROR(FIND("(",Parameters!B46),100),IFERROR(FIND("[",Parameters!B46),100))-1)," ","")</f>
        <v/>
      </c>
      <c r="C44" s="208" t="str">
        <f t="shared" si="1"/>
        <v/>
      </c>
      <c r="D44" s="208" t="str">
        <f t="shared" si="2"/>
        <v/>
      </c>
      <c r="E44" s="209" t="str">
        <f t="shared" si="3"/>
        <v/>
      </c>
      <c r="F44" s="210" t="str">
        <f>SUBSTITUTE(LEFT(Parameters!C46,IF(IFERROR(FIND("[",Parameters!C46),100)&gt;IFERROR(FIND("(",Parameters!C46),100),IFERROR(FIND("(",Parameters!C46),100),IFERROR(FIND("[",Parameters!C46),100))-1)," ","")</f>
        <v/>
      </c>
      <c r="H44" s="208" t="str">
        <f t="shared" si="4"/>
        <v/>
      </c>
      <c r="I44" s="208" t="str">
        <f t="shared" si="5"/>
        <v/>
      </c>
      <c r="J44" s="209" t="str">
        <f t="shared" si="6"/>
        <v/>
      </c>
      <c r="K44" t="str">
        <f>SUBSTITUTE(LEFT(Parameters!D46,IF(IFERROR(FIND("[",Parameters!D46),100)&gt;IFERROR(FIND("(",Parameters!D46),100),IFERROR(FIND("(",Parameters!D46),100),IFERROR(FIND("[",Parameters!D46),100))-1)," ","")</f>
        <v/>
      </c>
      <c r="M44" t="str">
        <f t="shared" si="7"/>
        <v/>
      </c>
      <c r="N44" s="208" t="str">
        <f t="shared" si="8"/>
        <v/>
      </c>
      <c r="O44" s="209" t="str">
        <f t="shared" si="9"/>
        <v/>
      </c>
      <c r="P44" s="211" t="str">
        <f t="shared" si="10"/>
        <v/>
      </c>
      <c r="Q44">
        <f>Parameters!E46</f>
        <v>116</v>
      </c>
      <c r="R44" t="str">
        <f>Parameters!F46</f>
        <v>EngageReserved1</v>
      </c>
      <c r="S44" t="str">
        <f t="shared" si="11"/>
        <v>EngageReserved1 : REAL;</v>
      </c>
      <c r="U44" t="s">
        <v>656</v>
      </c>
      <c r="V44" t="str">
        <f t="shared" si="0"/>
        <v>SystemReserved45 : REAL;</v>
      </c>
      <c r="W44" t="s">
        <v>727</v>
      </c>
      <c r="X44" t="str">
        <f t="shared" si="12"/>
        <v>FlagReserved34 : REAL;</v>
      </c>
    </row>
    <row r="45" spans="1:24" x14ac:dyDescent="0.45">
      <c r="A45" s="208" t="str">
        <f>SUBSTITUTE(LEFT(Parameters!B47,IF(IFERROR(FIND("[",Parameters!B47),100)&gt;IFERROR(FIND("(",Parameters!B47),100),IFERROR(FIND("(",Parameters!B47),100),IFERROR(FIND("[",Parameters!B47),100))-1)," ","")</f>
        <v/>
      </c>
      <c r="C45" s="208" t="str">
        <f t="shared" si="1"/>
        <v/>
      </c>
      <c r="D45" s="208" t="str">
        <f t="shared" si="2"/>
        <v/>
      </c>
      <c r="E45" s="209" t="str">
        <f t="shared" si="3"/>
        <v/>
      </c>
      <c r="F45" s="210" t="str">
        <f>SUBSTITUTE(LEFT(Parameters!C47,IF(IFERROR(FIND("[",Parameters!C47),100)&gt;IFERROR(FIND("(",Parameters!C47),100),IFERROR(FIND("(",Parameters!C47),100),IFERROR(FIND("[",Parameters!C47),100))-1)," ","")</f>
        <v/>
      </c>
      <c r="H45" s="208" t="str">
        <f t="shared" si="4"/>
        <v/>
      </c>
      <c r="I45" s="208" t="str">
        <f t="shared" si="5"/>
        <v/>
      </c>
      <c r="J45" s="209" t="str">
        <f t="shared" si="6"/>
        <v/>
      </c>
      <c r="K45" t="str">
        <f>SUBSTITUTE(LEFT(Parameters!D47,IF(IFERROR(FIND("[",Parameters!D47),100)&gt;IFERROR(FIND("(",Parameters!D47),100),IFERROR(FIND("(",Parameters!D47),100),IFERROR(FIND("[",Parameters!D47),100))-1)," ","")</f>
        <v/>
      </c>
      <c r="M45" t="str">
        <f t="shared" si="7"/>
        <v/>
      </c>
      <c r="N45" s="208" t="str">
        <f t="shared" si="8"/>
        <v/>
      </c>
      <c r="O45" s="209" t="str">
        <f t="shared" si="9"/>
        <v/>
      </c>
      <c r="P45" s="211" t="str">
        <f t="shared" si="10"/>
        <v/>
      </c>
      <c r="Q45">
        <f>Parameters!E47</f>
        <v>117</v>
      </c>
      <c r="R45" t="str">
        <f>Parameters!F47</f>
        <v>EngageReserved2</v>
      </c>
      <c r="S45" t="str">
        <f t="shared" si="11"/>
        <v>EngageReserved2 : REAL;</v>
      </c>
      <c r="U45" t="s">
        <v>657</v>
      </c>
      <c r="V45" t="str">
        <f t="shared" si="0"/>
        <v>SystemReserved46 : REAL;</v>
      </c>
      <c r="W45" t="s">
        <v>728</v>
      </c>
      <c r="X45" t="str">
        <f t="shared" si="12"/>
        <v>FlagReserved35 : REAL;</v>
      </c>
    </row>
    <row r="46" spans="1:24" x14ac:dyDescent="0.45">
      <c r="A46" s="208" t="str">
        <f>SUBSTITUTE(LEFT(Parameters!B48,IF(IFERROR(FIND("[",Parameters!B48),100)&gt;IFERROR(FIND("(",Parameters!B48),100),IFERROR(FIND("(",Parameters!B48),100),IFERROR(FIND("[",Parameters!B48),100))-1)," ","")</f>
        <v/>
      </c>
      <c r="C46" s="208" t="str">
        <f t="shared" si="1"/>
        <v/>
      </c>
      <c r="D46" s="208" t="str">
        <f t="shared" si="2"/>
        <v/>
      </c>
      <c r="E46" s="209" t="str">
        <f t="shared" si="3"/>
        <v/>
      </c>
      <c r="F46" s="210" t="str">
        <f>SUBSTITUTE(LEFT(Parameters!C48,IF(IFERROR(FIND("[",Parameters!C48),100)&gt;IFERROR(FIND("(",Parameters!C48),100),IFERROR(FIND("(",Parameters!C48),100),IFERROR(FIND("[",Parameters!C48),100))-1)," ","")</f>
        <v/>
      </c>
      <c r="H46" s="208" t="str">
        <f t="shared" si="4"/>
        <v/>
      </c>
      <c r="I46" s="208" t="str">
        <f t="shared" si="5"/>
        <v/>
      </c>
      <c r="J46" s="209" t="str">
        <f t="shared" si="6"/>
        <v/>
      </c>
      <c r="K46" t="str">
        <f>SUBSTITUTE(LEFT(Parameters!D48,IF(IFERROR(FIND("[",Parameters!D48),100)&gt;IFERROR(FIND("(",Parameters!D48),100),IFERROR(FIND("(",Parameters!D48),100),IFERROR(FIND("[",Parameters!D48),100))-1)," ","")</f>
        <v/>
      </c>
      <c r="M46" t="str">
        <f t="shared" si="7"/>
        <v/>
      </c>
      <c r="N46" s="208" t="str">
        <f t="shared" si="8"/>
        <v/>
      </c>
      <c r="O46" s="209" t="str">
        <f t="shared" si="9"/>
        <v/>
      </c>
      <c r="P46" s="211" t="str">
        <f t="shared" si="10"/>
        <v/>
      </c>
      <c r="Q46">
        <f>Parameters!E48</f>
        <v>118</v>
      </c>
      <c r="R46" t="str">
        <f>Parameters!F48</f>
        <v>EngageReserved3</v>
      </c>
      <c r="S46" t="str">
        <f t="shared" si="11"/>
        <v>EngageReserved3 : REAL;</v>
      </c>
      <c r="U46" t="s">
        <v>658</v>
      </c>
      <c r="V46" t="str">
        <f t="shared" si="0"/>
        <v>SystemReserved47 : REAL;</v>
      </c>
      <c r="W46" t="s">
        <v>729</v>
      </c>
      <c r="X46" t="str">
        <f t="shared" si="12"/>
        <v>FlagReserved36 : REAL;</v>
      </c>
    </row>
    <row r="47" spans="1:24" x14ac:dyDescent="0.45">
      <c r="A47" s="208" t="str">
        <f>SUBSTITUTE(LEFT(Parameters!B49,IF(IFERROR(FIND("[",Parameters!B49),100)&gt;IFERROR(FIND("(",Parameters!B49),100),IFERROR(FIND("(",Parameters!B49),100),IFERROR(FIND("[",Parameters!B49),100))-1)," ","")</f>
        <v/>
      </c>
      <c r="C47" s="208" t="str">
        <f t="shared" si="1"/>
        <v/>
      </c>
      <c r="D47" s="208" t="str">
        <f t="shared" si="2"/>
        <v/>
      </c>
      <c r="E47" s="209" t="str">
        <f t="shared" si="3"/>
        <v/>
      </c>
      <c r="F47" s="210" t="str">
        <f>SUBSTITUTE(LEFT(Parameters!C49,IF(IFERROR(FIND("[",Parameters!C49),100)&gt;IFERROR(FIND("(",Parameters!C49),100),IFERROR(FIND("(",Parameters!C49),100),IFERROR(FIND("[",Parameters!C49),100))-1)," ","")</f>
        <v/>
      </c>
      <c r="H47" s="208" t="str">
        <f t="shared" si="4"/>
        <v/>
      </c>
      <c r="I47" s="208" t="str">
        <f t="shared" si="5"/>
        <v/>
      </c>
      <c r="J47" s="209" t="str">
        <f t="shared" si="6"/>
        <v/>
      </c>
      <c r="K47" t="str">
        <f>SUBSTITUTE(LEFT(Parameters!D49,IF(IFERROR(FIND("[",Parameters!D49),100)&gt;IFERROR(FIND("(",Parameters!D49),100),IFERROR(FIND("(",Parameters!D49),100),IFERROR(FIND("[",Parameters!D49),100))-1)," ","")</f>
        <v/>
      </c>
      <c r="M47" t="str">
        <f t="shared" si="7"/>
        <v/>
      </c>
      <c r="N47" s="208" t="str">
        <f t="shared" si="8"/>
        <v/>
      </c>
      <c r="O47" s="209" t="str">
        <f t="shared" si="9"/>
        <v/>
      </c>
      <c r="P47" s="211" t="str">
        <f t="shared" si="10"/>
        <v/>
      </c>
      <c r="Q47">
        <f>Parameters!E49</f>
        <v>119</v>
      </c>
      <c r="R47" t="str">
        <f>Parameters!F49</f>
        <v>EngageReserved4</v>
      </c>
      <c r="S47" t="str">
        <f t="shared" si="11"/>
        <v>EngageReserved4 : REAL;</v>
      </c>
      <c r="U47" t="s">
        <v>659</v>
      </c>
      <c r="V47" t="str">
        <f t="shared" si="0"/>
        <v>SystemReserved48 : REAL;</v>
      </c>
      <c r="W47" t="s">
        <v>730</v>
      </c>
      <c r="X47" t="str">
        <f t="shared" si="12"/>
        <v>FlagReserved37 : REAL;</v>
      </c>
    </row>
    <row r="48" spans="1:24" x14ac:dyDescent="0.45">
      <c r="A48" s="208" t="str">
        <f>SUBSTITUTE(LEFT(Parameters!B50,IF(IFERROR(FIND("[",Parameters!B50),100)&gt;IFERROR(FIND("(",Parameters!B50),100),IFERROR(FIND("(",Parameters!B50),100),IFERROR(FIND("[",Parameters!B50),100))-1)," ","")</f>
        <v/>
      </c>
      <c r="C48" s="208" t="str">
        <f t="shared" si="1"/>
        <v/>
      </c>
      <c r="D48" s="208" t="str">
        <f t="shared" si="2"/>
        <v/>
      </c>
      <c r="E48" s="209" t="str">
        <f t="shared" si="3"/>
        <v/>
      </c>
      <c r="F48" s="210" t="str">
        <f>SUBSTITUTE(LEFT(Parameters!C50,IF(IFERROR(FIND("[",Parameters!C50),100)&gt;IFERROR(FIND("(",Parameters!C50),100),IFERROR(FIND("(",Parameters!C50),100),IFERROR(FIND("[",Parameters!C50),100))-1)," ","")</f>
        <v/>
      </c>
      <c r="H48" s="208" t="str">
        <f t="shared" si="4"/>
        <v/>
      </c>
      <c r="I48" s="208" t="str">
        <f t="shared" si="5"/>
        <v/>
      </c>
      <c r="J48" s="209" t="str">
        <f t="shared" si="6"/>
        <v/>
      </c>
      <c r="K48" t="str">
        <f>SUBSTITUTE(LEFT(Parameters!D50,IF(IFERROR(FIND("[",Parameters!D50),100)&gt;IFERROR(FIND("(",Parameters!D50),100),IFERROR(FIND("(",Parameters!D50),100),IFERROR(FIND("[",Parameters!D50),100))-1)," ","")</f>
        <v>Active</v>
      </c>
      <c r="M48" t="str">
        <f t="shared" si="7"/>
        <v/>
      </c>
      <c r="N48" s="208" t="str">
        <f t="shared" si="8"/>
        <v/>
      </c>
      <c r="O48" s="209" t="str">
        <f t="shared" si="9"/>
        <v/>
      </c>
      <c r="P48" s="211" t="str">
        <f t="shared" si="10"/>
        <v>Active</v>
      </c>
      <c r="Q48">
        <f>Parameters!E50</f>
        <v>120</v>
      </c>
      <c r="R48" t="str">
        <f>Parameters!F50</f>
        <v>HUTargetTemp</v>
      </c>
      <c r="S48" t="str">
        <f t="shared" si="11"/>
        <v>HUTargetTemp : REAL;</v>
      </c>
      <c r="U48" t="s">
        <v>660</v>
      </c>
      <c r="V48" t="str">
        <f t="shared" si="0"/>
        <v>SystemReserved49 : REAL;</v>
      </c>
      <c r="W48" t="s">
        <v>731</v>
      </c>
      <c r="X48" t="str">
        <f t="shared" si="12"/>
        <v>FlagReserved38 : REAL;</v>
      </c>
    </row>
    <row r="49" spans="1:24" x14ac:dyDescent="0.45">
      <c r="A49" s="208" t="str">
        <f>SUBSTITUTE(LEFT(Parameters!B51,IF(IFERROR(FIND("[",Parameters!B51),100)&gt;IFERROR(FIND("(",Parameters!B51),100),IFERROR(FIND("(",Parameters!B51),100),IFERROR(FIND("[",Parameters!B51),100))-1)," ","")</f>
        <v/>
      </c>
      <c r="C49" s="208" t="str">
        <f t="shared" si="1"/>
        <v/>
      </c>
      <c r="D49" s="208" t="str">
        <f t="shared" si="2"/>
        <v/>
      </c>
      <c r="E49" s="209" t="str">
        <f t="shared" si="3"/>
        <v/>
      </c>
      <c r="F49" s="210" t="str">
        <f>SUBSTITUTE(LEFT(Parameters!C51,IF(IFERROR(FIND("[",Parameters!C51),100)&gt;IFERROR(FIND("(",Parameters!C51),100),IFERROR(FIND("(",Parameters!C51),100),IFERROR(FIND("[",Parameters!C51),100))-1)," ","")</f>
        <v/>
      </c>
      <c r="H49" s="208" t="str">
        <f t="shared" si="4"/>
        <v/>
      </c>
      <c r="I49" s="208" t="str">
        <f t="shared" si="5"/>
        <v/>
      </c>
      <c r="J49" s="209" t="str">
        <f t="shared" si="6"/>
        <v/>
      </c>
      <c r="K49" t="str">
        <f>SUBSTITUTE(LEFT(Parameters!D51,IF(IFERROR(FIND("[",Parameters!D51),100)&gt;IFERROR(FIND("(",Parameters!D51),100),IFERROR(FIND("(",Parameters!D51),100),IFERROR(FIND("[",Parameters!D51),100))-1)," ","")</f>
        <v/>
      </c>
      <c r="M49" t="str">
        <f t="shared" si="7"/>
        <v/>
      </c>
      <c r="N49" s="208" t="str">
        <f t="shared" si="8"/>
        <v/>
      </c>
      <c r="O49" s="209" t="str">
        <f t="shared" si="9"/>
        <v/>
      </c>
      <c r="P49" s="211" t="str">
        <f t="shared" si="10"/>
        <v/>
      </c>
      <c r="Q49">
        <f>Parameters!E51</f>
        <v>121</v>
      </c>
      <c r="R49" t="str">
        <f>Parameters!F51</f>
        <v>HUActiveTemp</v>
      </c>
      <c r="S49" t="str">
        <f t="shared" si="11"/>
        <v>HUActiveTemp : REAL;</v>
      </c>
      <c r="W49" t="s">
        <v>732</v>
      </c>
      <c r="X49" t="str">
        <f t="shared" si="12"/>
        <v>FlagReserved39 : REAL;</v>
      </c>
    </row>
    <row r="50" spans="1:24" x14ac:dyDescent="0.45">
      <c r="A50" s="208" t="str">
        <f>SUBSTITUTE(LEFT(Parameters!B52,IF(IFERROR(FIND("[",Parameters!B52),100)&gt;IFERROR(FIND("(",Parameters!B52),100),IFERROR(FIND("(",Parameters!B52),100),IFERROR(FIND("[",Parameters!B52),100))-1)," ","")</f>
        <v/>
      </c>
      <c r="C50" s="208" t="str">
        <f t="shared" si="1"/>
        <v/>
      </c>
      <c r="D50" s="208" t="str">
        <f t="shared" si="2"/>
        <v/>
      </c>
      <c r="E50" s="209" t="str">
        <f t="shared" si="3"/>
        <v/>
      </c>
      <c r="F50" s="210" t="str">
        <f>SUBSTITUTE(LEFT(Parameters!C52,IF(IFERROR(FIND("[",Parameters!C52),100)&gt;IFERROR(FIND("(",Parameters!C52),100),IFERROR(FIND("(",Parameters!C52),100),IFERROR(FIND("[",Parameters!C52),100))-1)," ","")</f>
        <v/>
      </c>
      <c r="H50" s="208" t="str">
        <f t="shared" si="4"/>
        <v/>
      </c>
      <c r="I50" s="208" t="str">
        <f t="shared" si="5"/>
        <v/>
      </c>
      <c r="J50" s="209" t="str">
        <f t="shared" si="6"/>
        <v/>
      </c>
      <c r="K50" t="str">
        <f>SUBSTITUTE(LEFT(Parameters!D52,IF(IFERROR(FIND("[",Parameters!D52),100)&gt;IFERROR(FIND("(",Parameters!D52),100),IFERROR(FIND("(",Parameters!D52),100),IFERROR(FIND("[",Parameters!D52),100))-1)," ","")</f>
        <v/>
      </c>
      <c r="M50" t="str">
        <f t="shared" si="7"/>
        <v/>
      </c>
      <c r="N50" s="208" t="str">
        <f t="shared" si="8"/>
        <v/>
      </c>
      <c r="O50" s="209" t="str">
        <f t="shared" si="9"/>
        <v/>
      </c>
      <c r="P50" s="211" t="str">
        <f t="shared" si="10"/>
        <v/>
      </c>
      <c r="Q50">
        <f>Parameters!E52</f>
        <v>122</v>
      </c>
      <c r="R50" t="str">
        <f>Parameters!F52</f>
        <v>HUInactiveOffsetTemp</v>
      </c>
      <c r="S50" t="str">
        <f t="shared" si="11"/>
        <v>HUInactiveOffsetTemp : REAL;</v>
      </c>
      <c r="W50" t="s">
        <v>733</v>
      </c>
      <c r="X50" t="str">
        <f t="shared" si="12"/>
        <v>FlagReserved40 : REAL;</v>
      </c>
    </row>
    <row r="51" spans="1:24" x14ac:dyDescent="0.45">
      <c r="A51" s="208" t="str">
        <f>SUBSTITUTE(LEFT(Parameters!B53,IF(IFERROR(FIND("[",Parameters!B53),100)&gt;IFERROR(FIND("(",Parameters!B53),100),IFERROR(FIND("(",Parameters!B53),100),IFERROR(FIND("[",Parameters!B53),100))-1)," ","")</f>
        <v/>
      </c>
      <c r="C51" s="208" t="str">
        <f t="shared" si="1"/>
        <v/>
      </c>
      <c r="D51" s="208" t="str">
        <f t="shared" si="2"/>
        <v/>
      </c>
      <c r="E51" s="209" t="str">
        <f t="shared" si="3"/>
        <v/>
      </c>
      <c r="F51" s="210" t="str">
        <f>SUBSTITUTE(LEFT(Parameters!C53,IF(IFERROR(FIND("[",Parameters!C53),100)&gt;IFERROR(FIND("(",Parameters!C53),100),IFERROR(FIND("(",Parameters!C53),100),IFERROR(FIND("[",Parameters!C53),100))-1)," ","")</f>
        <v/>
      </c>
      <c r="H51" s="208" t="str">
        <f t="shared" si="4"/>
        <v/>
      </c>
      <c r="I51" s="208" t="str">
        <f t="shared" si="5"/>
        <v/>
      </c>
      <c r="J51" s="209" t="str">
        <f t="shared" si="6"/>
        <v/>
      </c>
      <c r="K51" t="str">
        <f>SUBSTITUTE(LEFT(Parameters!D53,IF(IFERROR(FIND("[",Parameters!D53),100)&gt;IFERROR(FIND("(",Parameters!D53),100),IFERROR(FIND("(",Parameters!D53),100),IFERROR(FIND("[",Parameters!D53),100))-1)," ","")</f>
        <v/>
      </c>
      <c r="M51" t="str">
        <f t="shared" si="7"/>
        <v/>
      </c>
      <c r="N51" s="208" t="str">
        <f t="shared" si="8"/>
        <v/>
      </c>
      <c r="O51" s="209" t="str">
        <f t="shared" si="9"/>
        <v/>
      </c>
      <c r="P51" s="211" t="str">
        <f t="shared" si="10"/>
        <v/>
      </c>
      <c r="Q51">
        <f>Parameters!E53</f>
        <v>123</v>
      </c>
      <c r="R51" t="str">
        <f>Parameters!F53</f>
        <v>ActiveReserved3</v>
      </c>
      <c r="S51" t="str">
        <f t="shared" si="11"/>
        <v>ActiveReserved3 : REAL;</v>
      </c>
      <c r="W51" t="s">
        <v>734</v>
      </c>
      <c r="X51" t="str">
        <f t="shared" si="12"/>
        <v>FlagReserved41 : REAL;</v>
      </c>
    </row>
    <row r="52" spans="1:24" x14ac:dyDescent="0.45">
      <c r="A52" s="208" t="str">
        <f>SUBSTITUTE(LEFT(Parameters!B54,IF(IFERROR(FIND("[",Parameters!B54),100)&gt;IFERROR(FIND("(",Parameters!B54),100),IFERROR(FIND("(",Parameters!B54),100),IFERROR(FIND("[",Parameters!B54),100))-1)," ","")</f>
        <v/>
      </c>
      <c r="C52" s="208" t="str">
        <f t="shared" si="1"/>
        <v/>
      </c>
      <c r="D52" s="208" t="str">
        <f t="shared" si="2"/>
        <v/>
      </c>
      <c r="E52" s="209" t="str">
        <f t="shared" si="3"/>
        <v/>
      </c>
      <c r="F52" s="210" t="str">
        <f>SUBSTITUTE(LEFT(Parameters!C54,IF(IFERROR(FIND("[",Parameters!C54),100)&gt;IFERROR(FIND("(",Parameters!C54),100),IFERROR(FIND("(",Parameters!C54),100),IFERROR(FIND("[",Parameters!C54),100))-1)," ","")</f>
        <v/>
      </c>
      <c r="H52" s="208" t="str">
        <f t="shared" si="4"/>
        <v/>
      </c>
      <c r="I52" s="208" t="str">
        <f t="shared" si="5"/>
        <v/>
      </c>
      <c r="J52" s="209" t="str">
        <f t="shared" si="6"/>
        <v/>
      </c>
      <c r="K52" t="str">
        <f>SUBSTITUTE(LEFT(Parameters!D54,IF(IFERROR(FIND("[",Parameters!D54),100)&gt;IFERROR(FIND("(",Parameters!D54),100),IFERROR(FIND("(",Parameters!D54),100),IFERROR(FIND("[",Parameters!D54),100))-1)," ","")</f>
        <v/>
      </c>
      <c r="M52" t="str">
        <f t="shared" si="7"/>
        <v/>
      </c>
      <c r="N52" s="208" t="str">
        <f t="shared" si="8"/>
        <v/>
      </c>
      <c r="O52" s="209" t="str">
        <f t="shared" si="9"/>
        <v/>
      </c>
      <c r="P52" s="211" t="str">
        <f t="shared" si="10"/>
        <v/>
      </c>
      <c r="Q52">
        <f>Parameters!E54</f>
        <v>124</v>
      </c>
      <c r="R52" t="str">
        <f>Parameters!F54</f>
        <v>ActiveReserved4</v>
      </c>
      <c r="S52" t="str">
        <f t="shared" si="11"/>
        <v>ActiveReserved4 : REAL;</v>
      </c>
      <c r="W52" t="s">
        <v>735</v>
      </c>
      <c r="X52" t="str">
        <f t="shared" si="12"/>
        <v>FlagReserved42 : REAL;</v>
      </c>
    </row>
    <row r="53" spans="1:24" x14ac:dyDescent="0.45">
      <c r="A53" s="208" t="str">
        <f>SUBSTITUTE(LEFT(Parameters!B55,IF(IFERROR(FIND("[",Parameters!B55),100)&gt;IFERROR(FIND("(",Parameters!B55),100),IFERROR(FIND("(",Parameters!B55),100),IFERROR(FIND("[",Parameters!B55),100))-1)," ","")</f>
        <v/>
      </c>
      <c r="C53" s="208" t="str">
        <f t="shared" si="1"/>
        <v/>
      </c>
      <c r="D53" s="208" t="str">
        <f t="shared" si="2"/>
        <v/>
      </c>
      <c r="E53" s="209" t="str">
        <f t="shared" si="3"/>
        <v/>
      </c>
      <c r="F53" s="210" t="str">
        <f>SUBSTITUTE(LEFT(Parameters!C55,IF(IFERROR(FIND("[",Parameters!C55),100)&gt;IFERROR(FIND("(",Parameters!C55),100),IFERROR(FIND("(",Parameters!C55),100),IFERROR(FIND("[",Parameters!C55),100))-1)," ","")</f>
        <v/>
      </c>
      <c r="H53" s="208" t="str">
        <f t="shared" si="4"/>
        <v/>
      </c>
      <c r="I53" s="208" t="str">
        <f t="shared" si="5"/>
        <v/>
      </c>
      <c r="J53" s="209" t="str">
        <f t="shared" si="6"/>
        <v/>
      </c>
      <c r="K53" t="str">
        <f>SUBSTITUTE(LEFT(Parameters!D55,IF(IFERROR(FIND("[",Parameters!D55),100)&gt;IFERROR(FIND("(",Parameters!D55),100),IFERROR(FIND("(",Parameters!D55),100),IFERROR(FIND("[",Parameters!D55),100))-1)," ","")</f>
        <v>TMB</v>
      </c>
      <c r="M53" t="str">
        <f t="shared" si="7"/>
        <v/>
      </c>
      <c r="N53" s="208" t="str">
        <f t="shared" si="8"/>
        <v/>
      </c>
      <c r="O53" s="209" t="str">
        <f t="shared" si="9"/>
        <v/>
      </c>
      <c r="P53" s="211" t="str">
        <f t="shared" si="10"/>
        <v>TMB</v>
      </c>
      <c r="Q53">
        <f>Parameters!E55</f>
        <v>125</v>
      </c>
      <c r="R53" t="str">
        <f>Parameters!F55</f>
        <v>TMBBypassMinDuration</v>
      </c>
      <c r="S53" t="str">
        <f t="shared" si="11"/>
        <v>TMBBypassMinDuration : REAL;</v>
      </c>
      <c r="W53" t="s">
        <v>736</v>
      </c>
      <c r="X53" t="str">
        <f t="shared" si="12"/>
        <v>FlagReserved43 : REAL;</v>
      </c>
    </row>
    <row r="54" spans="1:24" x14ac:dyDescent="0.45">
      <c r="A54" s="208" t="str">
        <f>SUBSTITUTE(LEFT(Parameters!B56,IF(IFERROR(FIND("[",Parameters!B56),100)&gt;IFERROR(FIND("(",Parameters!B56),100),IFERROR(FIND("(",Parameters!B56),100),IFERROR(FIND("[",Parameters!B56),100))-1)," ","")</f>
        <v/>
      </c>
      <c r="C54" s="208" t="str">
        <f t="shared" si="1"/>
        <v/>
      </c>
      <c r="D54" s="208" t="str">
        <f t="shared" si="2"/>
        <v/>
      </c>
      <c r="E54" s="209" t="str">
        <f t="shared" si="3"/>
        <v/>
      </c>
      <c r="F54" s="210" t="str">
        <f>SUBSTITUTE(LEFT(Parameters!C56,IF(IFERROR(FIND("[",Parameters!C56),100)&gt;IFERROR(FIND("(",Parameters!C56),100),IFERROR(FIND("(",Parameters!C56),100),IFERROR(FIND("[",Parameters!C56),100))-1)," ","")</f>
        <v/>
      </c>
      <c r="H54" s="208" t="str">
        <f t="shared" si="4"/>
        <v/>
      </c>
      <c r="I54" s="208" t="str">
        <f t="shared" si="5"/>
        <v/>
      </c>
      <c r="J54" s="209" t="str">
        <f t="shared" si="6"/>
        <v/>
      </c>
      <c r="K54" t="str">
        <f>SUBSTITUTE(LEFT(Parameters!D56,IF(IFERROR(FIND("[",Parameters!D56),100)&gt;IFERROR(FIND("(",Parameters!D56),100),IFERROR(FIND("(",Parameters!D56),100),IFERROR(FIND("[",Parameters!D56),100))-1)," ","")</f>
        <v/>
      </c>
      <c r="M54" t="str">
        <f t="shared" si="7"/>
        <v/>
      </c>
      <c r="N54" s="208" t="str">
        <f t="shared" si="8"/>
        <v/>
      </c>
      <c r="O54" s="209" t="str">
        <f t="shared" si="9"/>
        <v/>
      </c>
      <c r="P54" s="211" t="str">
        <f t="shared" si="10"/>
        <v/>
      </c>
      <c r="Q54">
        <f>Parameters!E56</f>
        <v>126</v>
      </c>
      <c r="R54" t="str">
        <f>Parameters!F56</f>
        <v>TMBTimeoutThreshold</v>
      </c>
      <c r="S54" t="str">
        <f t="shared" si="11"/>
        <v>TMBTimeoutThreshold : REAL;</v>
      </c>
      <c r="W54" t="s">
        <v>737</v>
      </c>
      <c r="X54" t="str">
        <f t="shared" si="12"/>
        <v>FlagReserved44 : REAL;</v>
      </c>
    </row>
    <row r="55" spans="1:24" x14ac:dyDescent="0.45">
      <c r="A55" s="208" t="str">
        <f>SUBSTITUTE(LEFT(Parameters!B57,IF(IFERROR(FIND("[",Parameters!B57),100)&gt;IFERROR(FIND("(",Parameters!B57),100),IFERROR(FIND("(",Parameters!B57),100),IFERROR(FIND("[",Parameters!B57),100))-1)," ","")</f>
        <v/>
      </c>
      <c r="C55" s="208" t="str">
        <f t="shared" si="1"/>
        <v/>
      </c>
      <c r="D55" s="208" t="str">
        <f t="shared" si="2"/>
        <v/>
      </c>
      <c r="E55" s="209" t="str">
        <f t="shared" si="3"/>
        <v/>
      </c>
      <c r="F55" s="210" t="str">
        <f>SUBSTITUTE(LEFT(Parameters!C57,IF(IFERROR(FIND("[",Parameters!C57),100)&gt;IFERROR(FIND("(",Parameters!C57),100),IFERROR(FIND("(",Parameters!C57),100),IFERROR(FIND("[",Parameters!C57),100))-1)," ","")</f>
        <v/>
      </c>
      <c r="H55" s="208" t="str">
        <f t="shared" si="4"/>
        <v/>
      </c>
      <c r="I55" s="208" t="str">
        <f t="shared" si="5"/>
        <v/>
      </c>
      <c r="J55" s="209" t="str">
        <f t="shared" si="6"/>
        <v/>
      </c>
      <c r="K55" t="str">
        <f>SUBSTITUTE(LEFT(Parameters!D57,IF(IFERROR(FIND("[",Parameters!D57),100)&gt;IFERROR(FIND("(",Parameters!D57),100),IFERROR(FIND("(",Parameters!D57),100),IFERROR(FIND("[",Parameters!D57),100))-1)," ","")</f>
        <v/>
      </c>
      <c r="M55" t="str">
        <f t="shared" si="7"/>
        <v/>
      </c>
      <c r="N55" s="208" t="str">
        <f t="shared" si="8"/>
        <v/>
      </c>
      <c r="O55" s="209" t="str">
        <f t="shared" si="9"/>
        <v/>
      </c>
      <c r="P55" s="211" t="str">
        <f t="shared" si="10"/>
        <v/>
      </c>
      <c r="Q55">
        <f>Parameters!E57</f>
        <v>127</v>
      </c>
      <c r="R55" t="str">
        <f>Parameters!F57</f>
        <v>TMBReserved2</v>
      </c>
      <c r="S55" t="str">
        <f t="shared" si="11"/>
        <v>TMBReserved2 : REAL;</v>
      </c>
      <c r="W55" t="s">
        <v>738</v>
      </c>
      <c r="X55" t="str">
        <f t="shared" si="12"/>
        <v>FlagReserved45 : REAL;</v>
      </c>
    </row>
    <row r="56" spans="1:24" x14ac:dyDescent="0.45">
      <c r="A56" s="208" t="str">
        <f>SUBSTITUTE(LEFT(Parameters!B58,IF(IFERROR(FIND("[",Parameters!B58),100)&gt;IFERROR(FIND("(",Parameters!B58),100),IFERROR(FIND("(",Parameters!B58),100),IFERROR(FIND("[",Parameters!B58),100))-1)," ","")</f>
        <v/>
      </c>
      <c r="C56" s="208" t="str">
        <f t="shared" si="1"/>
        <v/>
      </c>
      <c r="D56" s="208" t="str">
        <f t="shared" si="2"/>
        <v/>
      </c>
      <c r="E56" s="209" t="str">
        <f t="shared" si="3"/>
        <v/>
      </c>
      <c r="F56" s="210" t="str">
        <f>SUBSTITUTE(LEFT(Parameters!C58,IF(IFERROR(FIND("[",Parameters!C58),100)&gt;IFERROR(FIND("(",Parameters!C58),100),IFERROR(FIND("(",Parameters!C58),100),IFERROR(FIND("[",Parameters!C58),100))-1)," ","")</f>
        <v/>
      </c>
      <c r="H56" s="208" t="str">
        <f t="shared" si="4"/>
        <v/>
      </c>
      <c r="I56" s="208" t="str">
        <f t="shared" si="5"/>
        <v/>
      </c>
      <c r="J56" s="209" t="str">
        <f t="shared" si="6"/>
        <v/>
      </c>
      <c r="K56" t="str">
        <f>SUBSTITUTE(LEFT(Parameters!D58,IF(IFERROR(FIND("[",Parameters!D58),100)&gt;IFERROR(FIND("(",Parameters!D58),100),IFERROR(FIND("(",Parameters!D58),100),IFERROR(FIND("[",Parameters!D58),100))-1)," ","")</f>
        <v/>
      </c>
      <c r="M56" t="str">
        <f t="shared" si="7"/>
        <v/>
      </c>
      <c r="N56" s="208" t="str">
        <f t="shared" si="8"/>
        <v/>
      </c>
      <c r="O56" s="209" t="str">
        <f t="shared" si="9"/>
        <v/>
      </c>
      <c r="P56" s="211" t="str">
        <f t="shared" si="10"/>
        <v/>
      </c>
      <c r="Q56">
        <f>Parameters!E58</f>
        <v>128</v>
      </c>
      <c r="R56" t="str">
        <f>Parameters!F58</f>
        <v>TMBReserved3</v>
      </c>
      <c r="S56" t="str">
        <f t="shared" si="11"/>
        <v>TMBReserved3 : REAL;</v>
      </c>
      <c r="W56" t="s">
        <v>739</v>
      </c>
      <c r="X56" t="str">
        <f t="shared" si="12"/>
        <v>FlagReserved46 : REAL;</v>
      </c>
    </row>
    <row r="57" spans="1:24" x14ac:dyDescent="0.45">
      <c r="A57" s="208" t="str">
        <f>SUBSTITUTE(LEFT(Parameters!B59,IF(IFERROR(FIND("[",Parameters!B59),100)&gt;IFERROR(FIND("(",Parameters!B59),100),IFERROR(FIND("(",Parameters!B59),100),IFERROR(FIND("[",Parameters!B59),100))-1)," ","")</f>
        <v/>
      </c>
      <c r="C57" s="208" t="str">
        <f t="shared" si="1"/>
        <v/>
      </c>
      <c r="D57" s="208" t="str">
        <f t="shared" si="2"/>
        <v/>
      </c>
      <c r="E57" s="209" t="str">
        <f t="shared" si="3"/>
        <v/>
      </c>
      <c r="F57" s="210" t="str">
        <f>SUBSTITUTE(LEFT(Parameters!C59,IF(IFERROR(FIND("[",Parameters!C59),100)&gt;IFERROR(FIND("(",Parameters!C59),100),IFERROR(FIND("(",Parameters!C59),100),IFERROR(FIND("[",Parameters!C59),100))-1)," ","")</f>
        <v/>
      </c>
      <c r="H57" s="208" t="str">
        <f t="shared" si="4"/>
        <v/>
      </c>
      <c r="I57" s="208" t="str">
        <f t="shared" si="5"/>
        <v/>
      </c>
      <c r="J57" s="209" t="str">
        <f t="shared" si="6"/>
        <v/>
      </c>
      <c r="K57" t="str">
        <f>SUBSTITUTE(LEFT(Parameters!D59,IF(IFERROR(FIND("[",Parameters!D59),100)&gt;IFERROR(FIND("(",Parameters!D59),100),IFERROR(FIND("(",Parameters!D59),100),IFERROR(FIND("[",Parameters!D59),100))-1)," ","")</f>
        <v/>
      </c>
      <c r="M57" t="str">
        <f t="shared" si="7"/>
        <v/>
      </c>
      <c r="N57" s="208" t="str">
        <f t="shared" si="8"/>
        <v/>
      </c>
      <c r="O57" s="209" t="str">
        <f t="shared" si="9"/>
        <v/>
      </c>
      <c r="P57" s="211" t="str">
        <f t="shared" si="10"/>
        <v/>
      </c>
      <c r="Q57">
        <f>Parameters!E59</f>
        <v>129</v>
      </c>
      <c r="R57" t="str">
        <f>Parameters!F59</f>
        <v>TMBReserved4</v>
      </c>
      <c r="S57" t="str">
        <f t="shared" si="11"/>
        <v>TMBReserved4 : REAL;</v>
      </c>
      <c r="W57" t="s">
        <v>740</v>
      </c>
      <c r="X57" t="str">
        <f t="shared" si="12"/>
        <v>FlagReserved47 : REAL;</v>
      </c>
    </row>
    <row r="58" spans="1:24" x14ac:dyDescent="0.45">
      <c r="A58" s="208" t="str">
        <f>SUBSTITUTE(LEFT(Parameters!B60,IF(IFERROR(FIND("[",Parameters!B60),100)&gt;IFERROR(FIND("(",Parameters!B60),100),IFERROR(FIND("(",Parameters!B60),100),IFERROR(FIND("[",Parameters!B60),100))-1)," ","")</f>
        <v/>
      </c>
      <c r="C58" s="208" t="str">
        <f t="shared" si="1"/>
        <v/>
      </c>
      <c r="D58" s="208" t="str">
        <f t="shared" si="2"/>
        <v/>
      </c>
      <c r="E58" s="209" t="str">
        <f t="shared" si="3"/>
        <v/>
      </c>
      <c r="F58" s="210" t="str">
        <f>SUBSTITUTE(LEFT(Parameters!C60,IF(IFERROR(FIND("[",Parameters!C60),100)&gt;IFERROR(FIND("(",Parameters!C60),100),IFERROR(FIND("(",Parameters!C60),100),IFERROR(FIND("[",Parameters!C60),100))-1)," ","")</f>
        <v/>
      </c>
      <c r="H58" s="208" t="str">
        <f t="shared" si="4"/>
        <v/>
      </c>
      <c r="I58" s="208" t="str">
        <f t="shared" si="5"/>
        <v/>
      </c>
      <c r="J58" s="209" t="str">
        <f t="shared" si="6"/>
        <v/>
      </c>
      <c r="K58" t="str">
        <f>SUBSTITUTE(LEFT(Parameters!D60,IF(IFERROR(FIND("[",Parameters!D60),100)&gt;IFERROR(FIND("(",Parameters!D60),100),IFERROR(FIND("(",Parameters!D60),100),IFERROR(FIND("[",Parameters!D60),100))-1)," ","")</f>
        <v>Disengage</v>
      </c>
      <c r="M58" t="str">
        <f t="shared" si="7"/>
        <v/>
      </c>
      <c r="N58" s="208" t="str">
        <f t="shared" si="8"/>
        <v/>
      </c>
      <c r="O58" s="209" t="str">
        <f t="shared" si="9"/>
        <v/>
      </c>
      <c r="P58" s="211" t="str">
        <f t="shared" si="10"/>
        <v>Disengage</v>
      </c>
      <c r="Q58">
        <f>Parameters!E60</f>
        <v>130</v>
      </c>
      <c r="R58" t="str">
        <f>Parameters!F60</f>
        <v>DisenRTVSlope</v>
      </c>
      <c r="S58" t="str">
        <f t="shared" si="11"/>
        <v>DisenRTVSlope : REAL;</v>
      </c>
      <c r="W58" t="s">
        <v>741</v>
      </c>
      <c r="X58" t="str">
        <f t="shared" si="12"/>
        <v>FlagReserved48 : REAL;</v>
      </c>
    </row>
    <row r="59" spans="1:24" x14ac:dyDescent="0.45">
      <c r="A59" s="208" t="str">
        <f>SUBSTITUTE(LEFT(Parameters!B61,IF(IFERROR(FIND("[",Parameters!B61),100)&gt;IFERROR(FIND("(",Parameters!B61),100),IFERROR(FIND("(",Parameters!B61),100),IFERROR(FIND("[",Parameters!B61),100))-1)," ","")</f>
        <v/>
      </c>
      <c r="C59" s="208" t="str">
        <f t="shared" si="1"/>
        <v/>
      </c>
      <c r="D59" s="208" t="str">
        <f t="shared" si="2"/>
        <v/>
      </c>
      <c r="E59" s="209" t="str">
        <f t="shared" si="3"/>
        <v/>
      </c>
      <c r="F59" s="210" t="str">
        <f>SUBSTITUTE(LEFT(Parameters!C61,IF(IFERROR(FIND("[",Parameters!C61),100)&gt;IFERROR(FIND("(",Parameters!C61),100),IFERROR(FIND("(",Parameters!C61),100),IFERROR(FIND("[",Parameters!C61),100))-1)," ","")</f>
        <v/>
      </c>
      <c r="H59" s="208" t="str">
        <f t="shared" si="4"/>
        <v/>
      </c>
      <c r="I59" s="208" t="str">
        <f t="shared" si="5"/>
        <v/>
      </c>
      <c r="J59" s="209" t="str">
        <f t="shared" si="6"/>
        <v/>
      </c>
      <c r="K59" t="str">
        <f>SUBSTITUTE(LEFT(Parameters!D61,IF(IFERROR(FIND("[",Parameters!D61),100)&gt;IFERROR(FIND("(",Parameters!D61),100),IFERROR(FIND("(",Parameters!D61),100),IFERROR(FIND("[",Parameters!D61),100))-1)," ","")</f>
        <v/>
      </c>
      <c r="M59" t="str">
        <f t="shared" si="7"/>
        <v/>
      </c>
      <c r="N59" s="208" t="str">
        <f t="shared" si="8"/>
        <v/>
      </c>
      <c r="O59" s="209" t="str">
        <f t="shared" si="9"/>
        <v/>
      </c>
      <c r="P59" s="211" t="str">
        <f t="shared" si="10"/>
        <v/>
      </c>
      <c r="Q59">
        <f>Parameters!E61</f>
        <v>131</v>
      </c>
      <c r="R59" t="str">
        <f>Parameters!F61</f>
        <v>DisengageReserved1</v>
      </c>
      <c r="S59" t="str">
        <f t="shared" si="11"/>
        <v>DisengageReserved1 : REAL;</v>
      </c>
      <c r="W59" t="s">
        <v>742</v>
      </c>
      <c r="X59" t="str">
        <f t="shared" si="12"/>
        <v>FlagReserved49 : REAL;</v>
      </c>
    </row>
    <row r="60" spans="1:24" x14ac:dyDescent="0.45">
      <c r="A60" s="208" t="str">
        <f>SUBSTITUTE(LEFT(Parameters!B62,IF(IFERROR(FIND("[",Parameters!B62),100)&gt;IFERROR(FIND("(",Parameters!B62),100),IFERROR(FIND("(",Parameters!B62),100),IFERROR(FIND("[",Parameters!B62),100))-1)," ","")</f>
        <v/>
      </c>
      <c r="C60" s="208" t="str">
        <f t="shared" si="1"/>
        <v/>
      </c>
      <c r="D60" s="208" t="str">
        <f t="shared" si="2"/>
        <v/>
      </c>
      <c r="E60" s="209" t="str">
        <f t="shared" si="3"/>
        <v/>
      </c>
      <c r="F60" s="210" t="str">
        <f>SUBSTITUTE(LEFT(Parameters!C62,IF(IFERROR(FIND("[",Parameters!C62),100)&gt;IFERROR(FIND("(",Parameters!C62),100),IFERROR(FIND("(",Parameters!C62),100),IFERROR(FIND("[",Parameters!C62),100))-1)," ","")</f>
        <v/>
      </c>
      <c r="H60" s="208" t="str">
        <f t="shared" si="4"/>
        <v/>
      </c>
      <c r="I60" s="208" t="str">
        <f t="shared" si="5"/>
        <v/>
      </c>
      <c r="J60" s="209" t="str">
        <f t="shared" si="6"/>
        <v/>
      </c>
      <c r="K60" t="str">
        <f>SUBSTITUTE(LEFT(Parameters!D62,IF(IFERROR(FIND("[",Parameters!D62),100)&gt;IFERROR(FIND("(",Parameters!D62),100),IFERROR(FIND("(",Parameters!D62),100),IFERROR(FIND("[",Parameters!D62),100))-1)," ","")</f>
        <v/>
      </c>
      <c r="M60" t="str">
        <f t="shared" si="7"/>
        <v/>
      </c>
      <c r="N60" s="208" t="str">
        <f t="shared" si="8"/>
        <v/>
      </c>
      <c r="O60" s="209" t="str">
        <f t="shared" si="9"/>
        <v/>
      </c>
      <c r="P60" s="211" t="str">
        <f t="shared" si="10"/>
        <v/>
      </c>
      <c r="Q60">
        <f>Parameters!E62</f>
        <v>132</v>
      </c>
      <c r="R60" t="str">
        <f>Parameters!F62</f>
        <v>DisengageReserved2</v>
      </c>
      <c r="S60" t="str">
        <f t="shared" si="11"/>
        <v>DisengageReserved2 : REAL;</v>
      </c>
    </row>
    <row r="61" spans="1:24" x14ac:dyDescent="0.45">
      <c r="A61" s="208" t="str">
        <f>SUBSTITUTE(LEFT(Parameters!B63,IF(IFERROR(FIND("[",Parameters!B63),100)&gt;IFERROR(FIND("(",Parameters!B63),100),IFERROR(FIND("(",Parameters!B63),100),IFERROR(FIND("[",Parameters!B63),100))-1)," ","")</f>
        <v/>
      </c>
      <c r="C61" s="208" t="str">
        <f t="shared" si="1"/>
        <v/>
      </c>
      <c r="D61" s="208" t="str">
        <f t="shared" si="2"/>
        <v/>
      </c>
      <c r="E61" s="209" t="str">
        <f t="shared" si="3"/>
        <v/>
      </c>
      <c r="F61" s="210" t="str">
        <f>SUBSTITUTE(LEFT(Parameters!C63,IF(IFERROR(FIND("[",Parameters!C63),100)&gt;IFERROR(FIND("(",Parameters!C63),100),IFERROR(FIND("(",Parameters!C63),100),IFERROR(FIND("[",Parameters!C63),100))-1)," ","")</f>
        <v/>
      </c>
      <c r="H61" s="208" t="str">
        <f t="shared" si="4"/>
        <v/>
      </c>
      <c r="I61" s="208" t="str">
        <f t="shared" si="5"/>
        <v/>
      </c>
      <c r="J61" s="209" t="str">
        <f t="shared" si="6"/>
        <v/>
      </c>
      <c r="K61" t="str">
        <f>SUBSTITUTE(LEFT(Parameters!D63,IF(IFERROR(FIND("[",Parameters!D63),100)&gt;IFERROR(FIND("(",Parameters!D63),100),IFERROR(FIND("(",Parameters!D63),100),IFERROR(FIND("[",Parameters!D63),100))-1)," ","")</f>
        <v/>
      </c>
      <c r="M61" t="str">
        <f t="shared" si="7"/>
        <v/>
      </c>
      <c r="N61" s="208" t="str">
        <f t="shared" si="8"/>
        <v/>
      </c>
      <c r="O61" s="209" t="str">
        <f t="shared" si="9"/>
        <v/>
      </c>
      <c r="P61" s="211" t="str">
        <f t="shared" si="10"/>
        <v/>
      </c>
      <c r="Q61">
        <f>Parameters!E63</f>
        <v>133</v>
      </c>
      <c r="R61" t="str">
        <f>Parameters!F63</f>
        <v>DisengageReserved3</v>
      </c>
      <c r="S61" t="str">
        <f t="shared" si="11"/>
        <v>DisengageReserved3 : REAL;</v>
      </c>
    </row>
    <row r="62" spans="1:24" x14ac:dyDescent="0.45">
      <c r="A62" s="208" t="str">
        <f>SUBSTITUTE(LEFT(Parameters!B64,IF(IFERROR(FIND("[",Parameters!B64),100)&gt;IFERROR(FIND("(",Parameters!B64),100),IFERROR(FIND("(",Parameters!B64),100),IFERROR(FIND("[",Parameters!B64),100))-1)," ","")</f>
        <v/>
      </c>
      <c r="C62" s="208" t="str">
        <f t="shared" si="1"/>
        <v/>
      </c>
      <c r="D62" s="208" t="str">
        <f t="shared" si="2"/>
        <v/>
      </c>
      <c r="E62" s="209" t="str">
        <f t="shared" si="3"/>
        <v/>
      </c>
      <c r="F62" s="210" t="str">
        <f>SUBSTITUTE(LEFT(Parameters!C64,IF(IFERROR(FIND("[",Parameters!C64),100)&gt;IFERROR(FIND("(",Parameters!C64),100),IFERROR(FIND("(",Parameters!C64),100),IFERROR(FIND("[",Parameters!C64),100))-1)," ","")</f>
        <v/>
      </c>
      <c r="H62" s="208" t="str">
        <f t="shared" si="4"/>
        <v/>
      </c>
      <c r="I62" s="208" t="str">
        <f t="shared" si="5"/>
        <v/>
      </c>
      <c r="J62" s="209" t="str">
        <f t="shared" si="6"/>
        <v/>
      </c>
      <c r="K62" t="str">
        <f>SUBSTITUTE(LEFT(Parameters!D64,IF(IFERROR(FIND("[",Parameters!D64),100)&gt;IFERROR(FIND("(",Parameters!D64),100),IFERROR(FIND("(",Parameters!D64),100),IFERROR(FIND("[",Parameters!D64),100))-1)," ","")</f>
        <v/>
      </c>
      <c r="M62" t="str">
        <f t="shared" si="7"/>
        <v/>
      </c>
      <c r="N62" s="208" t="str">
        <f t="shared" si="8"/>
        <v/>
      </c>
      <c r="O62" s="209" t="str">
        <f t="shared" si="9"/>
        <v/>
      </c>
      <c r="P62" s="211" t="str">
        <f t="shared" si="10"/>
        <v/>
      </c>
      <c r="Q62">
        <f>Parameters!E64</f>
        <v>134</v>
      </c>
      <c r="R62" t="str">
        <f>Parameters!F64</f>
        <v>DisengageReserved4</v>
      </c>
      <c r="S62" t="str">
        <f t="shared" si="11"/>
        <v>DisengageReserved4 : REAL;</v>
      </c>
    </row>
    <row r="63" spans="1:24" x14ac:dyDescent="0.45">
      <c r="A63" s="208" t="str">
        <f>SUBSTITUTE(LEFT(Parameters!B65,IF(IFERROR(FIND("[",Parameters!B65),100)&gt;IFERROR(FIND("(",Parameters!B65),100),IFERROR(FIND("(",Parameters!B65),100),IFERROR(FIND("[",Parameters!B65),100))-1)," ","")</f>
        <v/>
      </c>
      <c r="C63" s="208" t="str">
        <f t="shared" si="1"/>
        <v/>
      </c>
      <c r="D63" s="208" t="str">
        <f t="shared" si="2"/>
        <v/>
      </c>
      <c r="E63" s="209" t="str">
        <f t="shared" si="3"/>
        <v/>
      </c>
      <c r="F63" s="210" t="str">
        <f>SUBSTITUTE(LEFT(Parameters!C65,IF(IFERROR(FIND("[",Parameters!C65),100)&gt;IFERROR(FIND("(",Parameters!C65),100),IFERROR(FIND("(",Parameters!C65),100),IFERROR(FIND("[",Parameters!C65),100))-1)," ","")</f>
        <v/>
      </c>
      <c r="H63" s="208" t="str">
        <f t="shared" si="4"/>
        <v/>
      </c>
      <c r="I63" s="208" t="str">
        <f t="shared" si="5"/>
        <v/>
      </c>
      <c r="J63" s="209" t="str">
        <f t="shared" si="6"/>
        <v/>
      </c>
      <c r="K63" t="str">
        <f>SUBSTITUTE(LEFT(Parameters!D65,IF(IFERROR(FIND("[",Parameters!D65),100)&gt;IFERROR(FIND("(",Parameters!D65),100),IFERROR(FIND("(",Parameters!D65),100),IFERROR(FIND("[",Parameters!D65),100))-1)," ","")</f>
        <v>Airventing</v>
      </c>
      <c r="M63" t="str">
        <f t="shared" si="7"/>
        <v/>
      </c>
      <c r="N63" s="208" t="str">
        <f t="shared" si="8"/>
        <v/>
      </c>
      <c r="O63" s="209" t="str">
        <f t="shared" si="9"/>
        <v/>
      </c>
      <c r="P63" s="211" t="str">
        <f t="shared" si="10"/>
        <v>Airventing</v>
      </c>
      <c r="Q63">
        <f>Parameters!E65</f>
        <v>135</v>
      </c>
      <c r="R63" t="str">
        <f>Parameters!F65</f>
        <v>VentRTVSetpoint</v>
      </c>
      <c r="S63" t="str">
        <f t="shared" si="11"/>
        <v>VentRTVSetpoint : REAL;</v>
      </c>
    </row>
    <row r="64" spans="1:24" x14ac:dyDescent="0.45">
      <c r="A64" s="208" t="str">
        <f>SUBSTITUTE(LEFT(Parameters!B66,IF(IFERROR(FIND("[",Parameters!B66),100)&gt;IFERROR(FIND("(",Parameters!B66),100),IFERROR(FIND("(",Parameters!B66),100),IFERROR(FIND("[",Parameters!B66),100))-1)," ","")</f>
        <v/>
      </c>
      <c r="C64" s="208" t="str">
        <f t="shared" si="1"/>
        <v/>
      </c>
      <c r="D64" s="208" t="str">
        <f t="shared" si="2"/>
        <v/>
      </c>
      <c r="E64" s="209" t="str">
        <f t="shared" si="3"/>
        <v/>
      </c>
      <c r="F64" s="210" t="str">
        <f>SUBSTITUTE(LEFT(Parameters!C66,IF(IFERROR(FIND("[",Parameters!C66),100)&gt;IFERROR(FIND("(",Parameters!C66),100),IFERROR(FIND("(",Parameters!C66),100),IFERROR(FIND("[",Parameters!C66),100))-1)," ","")</f>
        <v/>
      </c>
      <c r="H64" s="208" t="str">
        <f t="shared" si="4"/>
        <v/>
      </c>
      <c r="I64" s="208" t="str">
        <f t="shared" si="5"/>
        <v/>
      </c>
      <c r="J64" s="209" t="str">
        <f t="shared" si="6"/>
        <v/>
      </c>
      <c r="K64" t="str">
        <f>SUBSTITUTE(LEFT(Parameters!D66,IF(IFERROR(FIND("[",Parameters!D66),100)&gt;IFERROR(FIND("(",Parameters!D66),100),IFERROR(FIND("(",Parameters!D66),100),IFERROR(FIND("[",Parameters!D66),100))-1)," ","")</f>
        <v/>
      </c>
      <c r="M64" t="str">
        <f t="shared" si="7"/>
        <v/>
      </c>
      <c r="N64" s="208" t="str">
        <f t="shared" si="8"/>
        <v/>
      </c>
      <c r="O64" s="209" t="str">
        <f t="shared" si="9"/>
        <v/>
      </c>
      <c r="P64" s="211" t="str">
        <f t="shared" si="10"/>
        <v/>
      </c>
      <c r="Q64">
        <f>Parameters!E66</f>
        <v>136</v>
      </c>
      <c r="R64" t="str">
        <f>Parameters!F66</f>
        <v>VentDuration</v>
      </c>
      <c r="S64" t="str">
        <f t="shared" si="11"/>
        <v>VentDuration : REAL;</v>
      </c>
    </row>
    <row r="65" spans="1:19" x14ac:dyDescent="0.45">
      <c r="A65" s="208" t="str">
        <f>SUBSTITUTE(LEFT(Parameters!B67,IF(IFERROR(FIND("[",Parameters!B67),100)&gt;IFERROR(FIND("(",Parameters!B67),100),IFERROR(FIND("(",Parameters!B67),100),IFERROR(FIND("[",Parameters!B67),100))-1)," ","")</f>
        <v/>
      </c>
      <c r="C65" s="208" t="str">
        <f t="shared" si="1"/>
        <v/>
      </c>
      <c r="D65" s="208" t="str">
        <f t="shared" si="2"/>
        <v/>
      </c>
      <c r="E65" s="209" t="str">
        <f t="shared" si="3"/>
        <v/>
      </c>
      <c r="F65" s="210" t="str">
        <f>SUBSTITUTE(LEFT(Parameters!C67,IF(IFERROR(FIND("[",Parameters!C67),100)&gt;IFERROR(FIND("(",Parameters!C67),100),IFERROR(FIND("(",Parameters!C67),100),IFERROR(FIND("[",Parameters!C67),100))-1)," ","")</f>
        <v/>
      </c>
      <c r="H65" s="208" t="str">
        <f t="shared" si="4"/>
        <v/>
      </c>
      <c r="I65" s="208" t="str">
        <f t="shared" si="5"/>
        <v/>
      </c>
      <c r="J65" s="209" t="str">
        <f t="shared" si="6"/>
        <v/>
      </c>
      <c r="K65" t="str">
        <f>SUBSTITUTE(LEFT(Parameters!D67,IF(IFERROR(FIND("[",Parameters!D67),100)&gt;IFERROR(FIND("(",Parameters!D67),100),IFERROR(FIND("(",Parameters!D67),100),IFERROR(FIND("[",Parameters!D67),100))-1)," ","")</f>
        <v/>
      </c>
      <c r="M65" t="str">
        <f t="shared" si="7"/>
        <v/>
      </c>
      <c r="N65" s="208" t="str">
        <f t="shared" si="8"/>
        <v/>
      </c>
      <c r="O65" s="209" t="str">
        <f t="shared" si="9"/>
        <v/>
      </c>
      <c r="P65" s="211" t="str">
        <f t="shared" si="10"/>
        <v/>
      </c>
      <c r="Q65">
        <f>Parameters!E67</f>
        <v>137</v>
      </c>
      <c r="R65" t="str">
        <f>Parameters!F67</f>
        <v>AirVentingReserved2</v>
      </c>
      <c r="S65" t="str">
        <f t="shared" si="11"/>
        <v>AirVentingReserved2 : REAL;</v>
      </c>
    </row>
    <row r="66" spans="1:19" x14ac:dyDescent="0.45">
      <c r="A66" s="208" t="str">
        <f>SUBSTITUTE(LEFT(Parameters!B68,IF(IFERROR(FIND("[",Parameters!B68),100)&gt;IFERROR(FIND("(",Parameters!B68),100),IFERROR(FIND("(",Parameters!B68),100),IFERROR(FIND("[",Parameters!B68),100))-1)," ","")</f>
        <v/>
      </c>
      <c r="C66" s="208" t="str">
        <f t="shared" si="1"/>
        <v/>
      </c>
      <c r="D66" s="208" t="str">
        <f t="shared" si="2"/>
        <v/>
      </c>
      <c r="E66" s="209" t="str">
        <f t="shared" si="3"/>
        <v/>
      </c>
      <c r="F66" s="210" t="str">
        <f>SUBSTITUTE(LEFT(Parameters!C68,IF(IFERROR(FIND("[",Parameters!C68),100)&gt;IFERROR(FIND("(",Parameters!C68),100),IFERROR(FIND("(",Parameters!C68),100),IFERROR(FIND("[",Parameters!C68),100))-1)," ","")</f>
        <v/>
      </c>
      <c r="H66" s="208" t="str">
        <f t="shared" si="4"/>
        <v/>
      </c>
      <c r="I66" s="208" t="str">
        <f t="shared" si="5"/>
        <v/>
      </c>
      <c r="J66" s="209" t="str">
        <f t="shared" si="6"/>
        <v/>
      </c>
      <c r="K66" t="str">
        <f>SUBSTITUTE(LEFT(Parameters!D68,IF(IFERROR(FIND("[",Parameters!D68),100)&gt;IFERROR(FIND("(",Parameters!D68),100),IFERROR(FIND("(",Parameters!D68),100),IFERROR(FIND("[",Parameters!D68),100))-1)," ","")</f>
        <v/>
      </c>
      <c r="M66" t="str">
        <f t="shared" si="7"/>
        <v/>
      </c>
      <c r="N66" s="208" t="str">
        <f t="shared" si="8"/>
        <v/>
      </c>
      <c r="O66" s="209" t="str">
        <f t="shared" si="9"/>
        <v/>
      </c>
      <c r="P66" s="211" t="str">
        <f t="shared" si="10"/>
        <v/>
      </c>
      <c r="Q66">
        <f>Parameters!E68</f>
        <v>138</v>
      </c>
      <c r="R66" t="str">
        <f>Parameters!F68</f>
        <v>AirVentingReserved3</v>
      </c>
      <c r="S66" t="str">
        <f t="shared" si="11"/>
        <v>AirVentingReserved3 : REAL;</v>
      </c>
    </row>
    <row r="67" spans="1:19" x14ac:dyDescent="0.45">
      <c r="A67" s="208" t="str">
        <f>SUBSTITUTE(LEFT(Parameters!B69,IF(IFERROR(FIND("[",Parameters!B69),100)&gt;IFERROR(FIND("(",Parameters!B69),100),IFERROR(FIND("(",Parameters!B69),100),IFERROR(FIND("[",Parameters!B69),100))-1)," ","")</f>
        <v/>
      </c>
      <c r="C67" s="208" t="str">
        <f t="shared" si="1"/>
        <v/>
      </c>
      <c r="D67" s="208" t="str">
        <f t="shared" si="2"/>
        <v/>
      </c>
      <c r="E67" s="209" t="str">
        <f t="shared" si="3"/>
        <v/>
      </c>
      <c r="F67" s="210" t="str">
        <f>SUBSTITUTE(LEFT(Parameters!C69,IF(IFERROR(FIND("[",Parameters!C69),100)&gt;IFERROR(FIND("(",Parameters!C69),100),IFERROR(FIND("(",Parameters!C69),100),IFERROR(FIND("[",Parameters!C69),100))-1)," ","")</f>
        <v/>
      </c>
      <c r="H67" s="208" t="str">
        <f t="shared" si="4"/>
        <v/>
      </c>
      <c r="I67" s="208" t="str">
        <f t="shared" si="5"/>
        <v/>
      </c>
      <c r="J67" s="209" t="str">
        <f t="shared" si="6"/>
        <v/>
      </c>
      <c r="K67" t="str">
        <f>SUBSTITUTE(LEFT(Parameters!D69,IF(IFERROR(FIND("[",Parameters!D69),100)&gt;IFERROR(FIND("(",Parameters!D69),100),IFERROR(FIND("(",Parameters!D69),100),IFERROR(FIND("[",Parameters!D69),100))-1)," ","")</f>
        <v/>
      </c>
      <c r="M67" t="str">
        <f t="shared" si="7"/>
        <v/>
      </c>
      <c r="N67" s="208" t="str">
        <f t="shared" si="8"/>
        <v/>
      </c>
      <c r="O67" s="209" t="str">
        <f t="shared" si="9"/>
        <v/>
      </c>
      <c r="P67" s="211" t="str">
        <f t="shared" si="10"/>
        <v/>
      </c>
      <c r="Q67">
        <f>Parameters!E69</f>
        <v>139</v>
      </c>
      <c r="R67" t="str">
        <f>Parameters!F69</f>
        <v>AirVentingReserved4</v>
      </c>
      <c r="S67" t="str">
        <f t="shared" si="11"/>
        <v>AirVentingReserved4 : REAL;</v>
      </c>
    </row>
    <row r="68" spans="1:19" x14ac:dyDescent="0.45">
      <c r="A68" s="208" t="str">
        <f>SUBSTITUTE(LEFT(Parameters!B70,IF(IFERROR(FIND("[",Parameters!B70),100)&gt;IFERROR(FIND("(",Parameters!B70),100),IFERROR(FIND("(",Parameters!B70),100),IFERROR(FIND("[",Parameters!B70),100))-1)," ","")</f>
        <v/>
      </c>
      <c r="C68" s="208" t="str">
        <f t="shared" ref="C68:C131" si="13">IF(B68="","",_xlfn.CONCAT(B68,"_typ"))</f>
        <v/>
      </c>
      <c r="D68" s="208" t="str">
        <f t="shared" ref="D68:D131" si="14">IF(C68 = "","",_xlfn.CONCAT(C68," : STRUCT END_STRUCT;"))</f>
        <v/>
      </c>
      <c r="E68" s="209" t="str">
        <f t="shared" ref="E68:E131" si="15">IF(B68="","",_xlfn.CONCAT(B68," : ",C68,";"))</f>
        <v/>
      </c>
      <c r="F68" s="210" t="str">
        <f>SUBSTITUTE(LEFT(Parameters!C70,IF(IFERROR(FIND("[",Parameters!C70),100)&gt;IFERROR(FIND("(",Parameters!C70),100),IFERROR(FIND("(",Parameters!C70),100),IFERROR(FIND("[",Parameters!C70),100))-1)," ","")</f>
        <v/>
      </c>
      <c r="H68" s="208" t="str">
        <f t="shared" ref="H68:H131" si="16">IF(G68="","",_xlfn.CONCAT(G68,"_typ"))</f>
        <v/>
      </c>
      <c r="I68" s="208" t="str">
        <f t="shared" ref="I68:I131" si="17">IF(H68 = "","",_xlfn.CONCAT(H68," : STRUCT END_STRUCT;"))</f>
        <v/>
      </c>
      <c r="J68" s="209" t="str">
        <f t="shared" ref="J68:J131" si="18">IF(G68="","",_xlfn.CONCAT(G68," : ",H68,";"))</f>
        <v/>
      </c>
      <c r="K68" t="str">
        <f>SUBSTITUTE(LEFT(Parameters!D70,IF(IFERROR(FIND("[",Parameters!D70),100)&gt;IFERROR(FIND("(",Parameters!D70),100),IFERROR(FIND("(",Parameters!D70),100),IFERROR(FIND("[",Parameters!D70),100))-1)," ","")</f>
        <v>MOCSshutdown</v>
      </c>
      <c r="M68" t="str">
        <f t="shared" ref="M68:M131" si="19">IF(L68="","",_xlfn.CONCAT(L68,"_typ"))</f>
        <v/>
      </c>
      <c r="N68" s="208" t="str">
        <f t="shared" ref="N68:N131" si="20">IF(M68 = "","",_xlfn.CONCAT(M68," : STRUCT END_STRUCT;"))</f>
        <v/>
      </c>
      <c r="O68" s="209" t="str">
        <f t="shared" ref="O68:O131" si="21">IF(L68="","",_xlfn.CONCAT(L68," : ",M68,";"))</f>
        <v/>
      </c>
      <c r="P68" s="211" t="str">
        <f t="shared" ref="P68:P131" si="22">K68</f>
        <v>MOCSshutdown</v>
      </c>
      <c r="Q68">
        <f>Parameters!E70</f>
        <v>140</v>
      </c>
      <c r="R68" t="str">
        <f>Parameters!F70</f>
        <v>MOCSShutdownReserved0</v>
      </c>
      <c r="S68" t="str">
        <f t="shared" ref="S68:S131" si="23">IF(R68 = "","",_xlfn.CONCAT(R68," : REAL;"))</f>
        <v>MOCSShutdownReserved0 : REAL;</v>
      </c>
    </row>
    <row r="69" spans="1:19" x14ac:dyDescent="0.45">
      <c r="A69" s="208" t="str">
        <f>SUBSTITUTE(LEFT(Parameters!B71,IF(IFERROR(FIND("[",Parameters!B71),100)&gt;IFERROR(FIND("(",Parameters!B71),100),IFERROR(FIND("(",Parameters!B71),100),IFERROR(FIND("[",Parameters!B71),100))-1)," ","")</f>
        <v/>
      </c>
      <c r="C69" s="208" t="str">
        <f t="shared" si="13"/>
        <v/>
      </c>
      <c r="D69" s="208" t="str">
        <f t="shared" si="14"/>
        <v/>
      </c>
      <c r="E69" s="209" t="str">
        <f t="shared" si="15"/>
        <v/>
      </c>
      <c r="F69" s="210" t="str">
        <f>SUBSTITUTE(LEFT(Parameters!C71,IF(IFERROR(FIND("[",Parameters!C71),100)&gt;IFERROR(FIND("(",Parameters!C71),100),IFERROR(FIND("(",Parameters!C71),100),IFERROR(FIND("[",Parameters!C71),100))-1)," ","")</f>
        <v/>
      </c>
      <c r="H69" s="208" t="str">
        <f t="shared" si="16"/>
        <v/>
      </c>
      <c r="I69" s="208" t="str">
        <f t="shared" si="17"/>
        <v/>
      </c>
      <c r="J69" s="209" t="str">
        <f t="shared" si="18"/>
        <v/>
      </c>
      <c r="K69" t="str">
        <f>SUBSTITUTE(LEFT(Parameters!D71,IF(IFERROR(FIND("[",Parameters!D71),100)&gt;IFERROR(FIND("(",Parameters!D71),100),IFERROR(FIND("(",Parameters!D71),100),IFERROR(FIND("[",Parameters!D71),100))-1)," ","")</f>
        <v/>
      </c>
      <c r="M69" t="str">
        <f t="shared" si="19"/>
        <v/>
      </c>
      <c r="N69" s="208" t="str">
        <f t="shared" si="20"/>
        <v/>
      </c>
      <c r="O69" s="209" t="str">
        <f t="shared" si="21"/>
        <v/>
      </c>
      <c r="P69" s="211" t="str">
        <f t="shared" si="22"/>
        <v/>
      </c>
      <c r="Q69">
        <f>Parameters!E71</f>
        <v>141</v>
      </c>
      <c r="R69" t="str">
        <f>Parameters!F71</f>
        <v>MOCSShutdownReserved1</v>
      </c>
      <c r="S69" t="str">
        <f t="shared" si="23"/>
        <v>MOCSShutdownReserved1 : REAL;</v>
      </c>
    </row>
    <row r="70" spans="1:19" x14ac:dyDescent="0.45">
      <c r="A70" s="208" t="str">
        <f>SUBSTITUTE(LEFT(Parameters!B72,IF(IFERROR(FIND("[",Parameters!B72),100)&gt;IFERROR(FIND("(",Parameters!B72),100),IFERROR(FIND("(",Parameters!B72),100),IFERROR(FIND("[",Parameters!B72),100))-1)," ","")</f>
        <v/>
      </c>
      <c r="C70" s="208" t="str">
        <f t="shared" si="13"/>
        <v/>
      </c>
      <c r="D70" s="208" t="str">
        <f t="shared" si="14"/>
        <v/>
      </c>
      <c r="E70" s="209" t="str">
        <f t="shared" si="15"/>
        <v/>
      </c>
      <c r="F70" s="210" t="str">
        <f>SUBSTITUTE(LEFT(Parameters!C72,IF(IFERROR(FIND("[",Parameters!C72),100)&gt;IFERROR(FIND("(",Parameters!C72),100),IFERROR(FIND("(",Parameters!C72),100),IFERROR(FIND("[",Parameters!C72),100))-1)," ","")</f>
        <v/>
      </c>
      <c r="H70" s="208" t="str">
        <f t="shared" si="16"/>
        <v/>
      </c>
      <c r="I70" s="208" t="str">
        <f t="shared" si="17"/>
        <v/>
      </c>
      <c r="J70" s="209" t="str">
        <f t="shared" si="18"/>
        <v/>
      </c>
      <c r="K70" t="str">
        <f>SUBSTITUTE(LEFT(Parameters!D72,IF(IFERROR(FIND("[",Parameters!D72),100)&gt;IFERROR(FIND("(",Parameters!D72),100),IFERROR(FIND("(",Parameters!D72),100),IFERROR(FIND("[",Parameters!D72),100))-1)," ","")</f>
        <v/>
      </c>
      <c r="M70" t="str">
        <f t="shared" si="19"/>
        <v/>
      </c>
      <c r="N70" s="208" t="str">
        <f t="shared" si="20"/>
        <v/>
      </c>
      <c r="O70" s="209" t="str">
        <f t="shared" si="21"/>
        <v/>
      </c>
      <c r="P70" s="211" t="str">
        <f t="shared" si="22"/>
        <v/>
      </c>
      <c r="Q70">
        <f>Parameters!E72</f>
        <v>142</v>
      </c>
      <c r="R70" t="str">
        <f>Parameters!F72</f>
        <v>MOCSShutdownReserved2</v>
      </c>
      <c r="S70" t="str">
        <f t="shared" si="23"/>
        <v>MOCSShutdownReserved2 : REAL;</v>
      </c>
    </row>
    <row r="71" spans="1:19" x14ac:dyDescent="0.45">
      <c r="A71" s="208" t="str">
        <f>SUBSTITUTE(LEFT(Parameters!B73,IF(IFERROR(FIND("[",Parameters!B73),100)&gt;IFERROR(FIND("(",Parameters!B73),100),IFERROR(FIND("(",Parameters!B73),100),IFERROR(FIND("[",Parameters!B73),100))-1)," ","")</f>
        <v/>
      </c>
      <c r="C71" s="208" t="str">
        <f t="shared" si="13"/>
        <v/>
      </c>
      <c r="D71" s="208" t="str">
        <f t="shared" si="14"/>
        <v/>
      </c>
      <c r="E71" s="209" t="str">
        <f t="shared" si="15"/>
        <v/>
      </c>
      <c r="F71" s="210" t="str">
        <f>SUBSTITUTE(LEFT(Parameters!C73,IF(IFERROR(FIND("[",Parameters!C73),100)&gt;IFERROR(FIND("(",Parameters!C73),100),IFERROR(FIND("(",Parameters!C73),100),IFERROR(FIND("[",Parameters!C73),100))-1)," ","")</f>
        <v/>
      </c>
      <c r="H71" s="208" t="str">
        <f t="shared" si="16"/>
        <v/>
      </c>
      <c r="I71" s="208" t="str">
        <f t="shared" si="17"/>
        <v/>
      </c>
      <c r="J71" s="209" t="str">
        <f t="shared" si="18"/>
        <v/>
      </c>
      <c r="K71" t="str">
        <f>SUBSTITUTE(LEFT(Parameters!D73,IF(IFERROR(FIND("[",Parameters!D73),100)&gt;IFERROR(FIND("(",Parameters!D73),100),IFERROR(FIND("(",Parameters!D73),100),IFERROR(FIND("[",Parameters!D73),100))-1)," ","")</f>
        <v/>
      </c>
      <c r="M71" t="str">
        <f t="shared" si="19"/>
        <v/>
      </c>
      <c r="N71" s="208" t="str">
        <f t="shared" si="20"/>
        <v/>
      </c>
      <c r="O71" s="209" t="str">
        <f t="shared" si="21"/>
        <v/>
      </c>
      <c r="P71" s="211" t="str">
        <f t="shared" si="22"/>
        <v/>
      </c>
      <c r="Q71">
        <f>Parameters!E73</f>
        <v>143</v>
      </c>
      <c r="R71" t="str">
        <f>Parameters!F73</f>
        <v>MOCSShutdownReserved3</v>
      </c>
      <c r="S71" t="str">
        <f t="shared" si="23"/>
        <v>MOCSShutdownReserved3 : REAL;</v>
      </c>
    </row>
    <row r="72" spans="1:19" x14ac:dyDescent="0.45">
      <c r="A72" s="208" t="str">
        <f>SUBSTITUTE(LEFT(Parameters!B74,IF(IFERROR(FIND("[",Parameters!B74),100)&gt;IFERROR(FIND("(",Parameters!B74),100),IFERROR(FIND("(",Parameters!B74),100),IFERROR(FIND("[",Parameters!B74),100))-1)," ","")</f>
        <v/>
      </c>
      <c r="C72" s="208" t="str">
        <f t="shared" si="13"/>
        <v/>
      </c>
      <c r="D72" s="208" t="str">
        <f t="shared" si="14"/>
        <v/>
      </c>
      <c r="E72" s="209" t="str">
        <f t="shared" si="15"/>
        <v/>
      </c>
      <c r="F72" s="210" t="str">
        <f>SUBSTITUTE(LEFT(Parameters!C74,IF(IFERROR(FIND("[",Parameters!C74),100)&gt;IFERROR(FIND("(",Parameters!C74),100),IFERROR(FIND("(",Parameters!C74),100),IFERROR(FIND("[",Parameters!C74),100))-1)," ","")</f>
        <v/>
      </c>
      <c r="H72" s="208" t="str">
        <f t="shared" si="16"/>
        <v/>
      </c>
      <c r="I72" s="208" t="str">
        <f t="shared" si="17"/>
        <v/>
      </c>
      <c r="J72" s="209" t="str">
        <f t="shared" si="18"/>
        <v/>
      </c>
      <c r="K72" t="str">
        <f>SUBSTITUTE(LEFT(Parameters!D74,IF(IFERROR(FIND("[",Parameters!D74),100)&gt;IFERROR(FIND("(",Parameters!D74),100),IFERROR(FIND("(",Parameters!D74),100),IFERROR(FIND("[",Parameters!D74),100))-1)," ","")</f>
        <v/>
      </c>
      <c r="M72" t="str">
        <f t="shared" si="19"/>
        <v/>
      </c>
      <c r="N72" s="208" t="str">
        <f t="shared" si="20"/>
        <v/>
      </c>
      <c r="O72" s="209" t="str">
        <f t="shared" si="21"/>
        <v/>
      </c>
      <c r="P72" s="211" t="str">
        <f t="shared" si="22"/>
        <v/>
      </c>
      <c r="Q72">
        <f>Parameters!E74</f>
        <v>144</v>
      </c>
      <c r="R72" t="str">
        <f>Parameters!F74</f>
        <v>MOCSShutdownReserved4</v>
      </c>
      <c r="S72" t="str">
        <f t="shared" si="23"/>
        <v>MOCSShutdownReserved4 : REAL;</v>
      </c>
    </row>
    <row r="73" spans="1:19" x14ac:dyDescent="0.45">
      <c r="A73" s="208" t="str">
        <f>SUBSTITUTE(LEFT(Parameters!B75,IF(IFERROR(FIND("[",Parameters!B75),100)&gt;IFERROR(FIND("(",Parameters!B75),100),IFERROR(FIND("(",Parameters!B75),100),IFERROR(FIND("[",Parameters!B75),100))-1)," ","")</f>
        <v/>
      </c>
      <c r="C73" s="208" t="str">
        <f t="shared" si="13"/>
        <v/>
      </c>
      <c r="D73" s="208" t="str">
        <f t="shared" si="14"/>
        <v/>
      </c>
      <c r="E73" s="209" t="str">
        <f t="shared" si="15"/>
        <v/>
      </c>
      <c r="F73" s="210" t="str">
        <f>SUBSTITUTE(LEFT(Parameters!C75,IF(IFERROR(FIND("[",Parameters!C75),100)&gt;IFERROR(FIND("(",Parameters!C75),100),IFERROR(FIND("(",Parameters!C75),100),IFERROR(FIND("[",Parameters!C75),100))-1)," ","")</f>
        <v/>
      </c>
      <c r="H73" s="208" t="str">
        <f t="shared" si="16"/>
        <v/>
      </c>
      <c r="I73" s="208" t="str">
        <f t="shared" si="17"/>
        <v/>
      </c>
      <c r="J73" s="209" t="str">
        <f t="shared" si="18"/>
        <v/>
      </c>
      <c r="K73" t="str">
        <f>SUBSTITUTE(LEFT(Parameters!D75,IF(IFERROR(FIND("[",Parameters!D75),100)&gt;IFERROR(FIND("(",Parameters!D75),100),IFERROR(FIND("(",Parameters!D75),100),IFERROR(FIND("[",Parameters!D75),100))-1)," ","")</f>
        <v>Valveshutdown</v>
      </c>
      <c r="M73" t="str">
        <f t="shared" si="19"/>
        <v/>
      </c>
      <c r="N73" s="208" t="str">
        <f t="shared" si="20"/>
        <v/>
      </c>
      <c r="O73" s="209" t="str">
        <f t="shared" si="21"/>
        <v/>
      </c>
      <c r="P73" s="211" t="str">
        <f t="shared" si="22"/>
        <v>Valveshutdown</v>
      </c>
      <c r="Q73">
        <f>Parameters!E75</f>
        <v>145</v>
      </c>
      <c r="R73" t="str">
        <f>Parameters!F75</f>
        <v>ValveShutdownReserved0</v>
      </c>
      <c r="S73" t="str">
        <f t="shared" si="23"/>
        <v>ValveShutdownReserved0 : REAL;</v>
      </c>
    </row>
    <row r="74" spans="1:19" x14ac:dyDescent="0.45">
      <c r="A74" s="208" t="str">
        <f>SUBSTITUTE(LEFT(Parameters!B76,IF(IFERROR(FIND("[",Parameters!B76),100)&gt;IFERROR(FIND("(",Parameters!B76),100),IFERROR(FIND("(",Parameters!B76),100),IFERROR(FIND("[",Parameters!B76),100))-1)," ","")</f>
        <v/>
      </c>
      <c r="C74" s="208" t="str">
        <f t="shared" si="13"/>
        <v/>
      </c>
      <c r="D74" s="208" t="str">
        <f t="shared" si="14"/>
        <v/>
      </c>
      <c r="E74" s="209" t="str">
        <f t="shared" si="15"/>
        <v/>
      </c>
      <c r="F74" s="210" t="str">
        <f>SUBSTITUTE(LEFT(Parameters!C76,IF(IFERROR(FIND("[",Parameters!C76),100)&gt;IFERROR(FIND("(",Parameters!C76),100),IFERROR(FIND("(",Parameters!C76),100),IFERROR(FIND("[",Parameters!C76),100))-1)," ","")</f>
        <v/>
      </c>
      <c r="H74" s="208" t="str">
        <f t="shared" si="16"/>
        <v/>
      </c>
      <c r="I74" s="208" t="str">
        <f t="shared" si="17"/>
        <v/>
      </c>
      <c r="J74" s="209" t="str">
        <f t="shared" si="18"/>
        <v/>
      </c>
      <c r="K74" t="str">
        <f>SUBSTITUTE(LEFT(Parameters!D76,IF(IFERROR(FIND("[",Parameters!D76),100)&gt;IFERROR(FIND("(",Parameters!D76),100),IFERROR(FIND("(",Parameters!D76),100),IFERROR(FIND("[",Parameters!D76),100))-1)," ","")</f>
        <v/>
      </c>
      <c r="M74" t="str">
        <f t="shared" si="19"/>
        <v/>
      </c>
      <c r="N74" s="208" t="str">
        <f t="shared" si="20"/>
        <v/>
      </c>
      <c r="O74" s="209" t="str">
        <f t="shared" si="21"/>
        <v/>
      </c>
      <c r="P74" s="211" t="str">
        <f t="shared" si="22"/>
        <v/>
      </c>
      <c r="Q74">
        <f>Parameters!E76</f>
        <v>146</v>
      </c>
      <c r="R74" t="str">
        <f>Parameters!F76</f>
        <v>ValveShutdownReserved1</v>
      </c>
      <c r="S74" t="str">
        <f t="shared" si="23"/>
        <v>ValveShutdownReserved1 : REAL;</v>
      </c>
    </row>
    <row r="75" spans="1:19" x14ac:dyDescent="0.45">
      <c r="A75" s="208" t="str">
        <f>SUBSTITUTE(LEFT(Parameters!B77,IF(IFERROR(FIND("[",Parameters!B77),100)&gt;IFERROR(FIND("(",Parameters!B77),100),IFERROR(FIND("(",Parameters!B77),100),IFERROR(FIND("[",Parameters!B77),100))-1)," ","")</f>
        <v/>
      </c>
      <c r="C75" s="208" t="str">
        <f t="shared" si="13"/>
        <v/>
      </c>
      <c r="D75" s="208" t="str">
        <f t="shared" si="14"/>
        <v/>
      </c>
      <c r="E75" s="209" t="str">
        <f t="shared" si="15"/>
        <v/>
      </c>
      <c r="F75" s="210" t="str">
        <f>SUBSTITUTE(LEFT(Parameters!C77,IF(IFERROR(FIND("[",Parameters!C77),100)&gt;IFERROR(FIND("(",Parameters!C77),100),IFERROR(FIND("(",Parameters!C77),100),IFERROR(FIND("[",Parameters!C77),100))-1)," ","")</f>
        <v/>
      </c>
      <c r="H75" s="208" t="str">
        <f t="shared" si="16"/>
        <v/>
      </c>
      <c r="I75" s="208" t="str">
        <f t="shared" si="17"/>
        <v/>
      </c>
      <c r="J75" s="209" t="str">
        <f t="shared" si="18"/>
        <v/>
      </c>
      <c r="K75" t="str">
        <f>SUBSTITUTE(LEFT(Parameters!D77,IF(IFERROR(FIND("[",Parameters!D77),100)&gt;IFERROR(FIND("(",Parameters!D77),100),IFERROR(FIND("(",Parameters!D77),100),IFERROR(FIND("[",Parameters!D77),100))-1)," ","")</f>
        <v/>
      </c>
      <c r="M75" t="str">
        <f t="shared" si="19"/>
        <v/>
      </c>
      <c r="N75" s="208" t="str">
        <f t="shared" si="20"/>
        <v/>
      </c>
      <c r="O75" s="209" t="str">
        <f t="shared" si="21"/>
        <v/>
      </c>
      <c r="P75" s="211" t="str">
        <f t="shared" si="22"/>
        <v/>
      </c>
      <c r="Q75">
        <f>Parameters!E77</f>
        <v>147</v>
      </c>
      <c r="R75" t="str">
        <f>Parameters!F77</f>
        <v>ValveShutdownReserved2</v>
      </c>
      <c r="S75" t="str">
        <f t="shared" si="23"/>
        <v>ValveShutdownReserved2 : REAL;</v>
      </c>
    </row>
    <row r="76" spans="1:19" x14ac:dyDescent="0.45">
      <c r="A76" s="208" t="str">
        <f>SUBSTITUTE(LEFT(Parameters!B78,IF(IFERROR(FIND("[",Parameters!B78),100)&gt;IFERROR(FIND("(",Parameters!B78),100),IFERROR(FIND("(",Parameters!B78),100),IFERROR(FIND("[",Parameters!B78),100))-1)," ","")</f>
        <v/>
      </c>
      <c r="C76" s="208" t="str">
        <f t="shared" si="13"/>
        <v/>
      </c>
      <c r="D76" s="208" t="str">
        <f t="shared" si="14"/>
        <v/>
      </c>
      <c r="E76" s="209" t="str">
        <f t="shared" si="15"/>
        <v/>
      </c>
      <c r="F76" s="210" t="str">
        <f>SUBSTITUTE(LEFT(Parameters!C78,IF(IFERROR(FIND("[",Parameters!C78),100)&gt;IFERROR(FIND("(",Parameters!C78),100),IFERROR(FIND("(",Parameters!C78),100),IFERROR(FIND("[",Parameters!C78),100))-1)," ","")</f>
        <v/>
      </c>
      <c r="H76" s="208" t="str">
        <f t="shared" si="16"/>
        <v/>
      </c>
      <c r="I76" s="208" t="str">
        <f t="shared" si="17"/>
        <v/>
      </c>
      <c r="J76" s="209" t="str">
        <f t="shared" si="18"/>
        <v/>
      </c>
      <c r="K76" t="str">
        <f>SUBSTITUTE(LEFT(Parameters!D78,IF(IFERROR(FIND("[",Parameters!D78),100)&gt;IFERROR(FIND("(",Parameters!D78),100),IFERROR(FIND("(",Parameters!D78),100),IFERROR(FIND("[",Parameters!D78),100))-1)," ","")</f>
        <v/>
      </c>
      <c r="M76" t="str">
        <f t="shared" si="19"/>
        <v/>
      </c>
      <c r="N76" s="208" t="str">
        <f t="shared" si="20"/>
        <v/>
      </c>
      <c r="O76" s="209" t="str">
        <f t="shared" si="21"/>
        <v/>
      </c>
      <c r="P76" s="211" t="str">
        <f t="shared" si="22"/>
        <v/>
      </c>
      <c r="Q76">
        <f>Parameters!E78</f>
        <v>148</v>
      </c>
      <c r="R76" t="str">
        <f>Parameters!F78</f>
        <v>ValveShutdownReserved3</v>
      </c>
      <c r="S76" t="str">
        <f t="shared" si="23"/>
        <v>ValveShutdownReserved3 : REAL;</v>
      </c>
    </row>
    <row r="77" spans="1:19" x14ac:dyDescent="0.45">
      <c r="A77" s="208" t="str">
        <f>SUBSTITUTE(LEFT(Parameters!B79,IF(IFERROR(FIND("[",Parameters!B79),100)&gt;IFERROR(FIND("(",Parameters!B79),100),IFERROR(FIND("(",Parameters!B79),100),IFERROR(FIND("[",Parameters!B79),100))-1)," ","")</f>
        <v/>
      </c>
      <c r="C77" s="208" t="str">
        <f t="shared" si="13"/>
        <v/>
      </c>
      <c r="D77" s="208" t="str">
        <f t="shared" si="14"/>
        <v/>
      </c>
      <c r="E77" s="209" t="str">
        <f t="shared" si="15"/>
        <v/>
      </c>
      <c r="F77" s="210" t="str">
        <f>SUBSTITUTE(LEFT(Parameters!C79,IF(IFERROR(FIND("[",Parameters!C79),100)&gt;IFERROR(FIND("(",Parameters!C79),100),IFERROR(FIND("(",Parameters!C79),100),IFERROR(FIND("[",Parameters!C79),100))-1)," ","")</f>
        <v/>
      </c>
      <c r="H77" s="208" t="str">
        <f t="shared" si="16"/>
        <v/>
      </c>
      <c r="I77" s="208" t="str">
        <f t="shared" si="17"/>
        <v/>
      </c>
      <c r="J77" s="209" t="str">
        <f t="shared" si="18"/>
        <v/>
      </c>
      <c r="K77" t="str">
        <f>SUBSTITUTE(LEFT(Parameters!D79,IF(IFERROR(FIND("[",Parameters!D79),100)&gt;IFERROR(FIND("(",Parameters!D79),100),IFERROR(FIND("(",Parameters!D79),100),IFERROR(FIND("[",Parameters!D79),100))-1)," ","")</f>
        <v/>
      </c>
      <c r="M77" t="str">
        <f t="shared" si="19"/>
        <v/>
      </c>
      <c r="N77" s="208" t="str">
        <f t="shared" si="20"/>
        <v/>
      </c>
      <c r="O77" s="209" t="str">
        <f t="shared" si="21"/>
        <v/>
      </c>
      <c r="P77" s="211" t="str">
        <f t="shared" si="22"/>
        <v/>
      </c>
      <c r="Q77">
        <f>Parameters!E79</f>
        <v>149</v>
      </c>
      <c r="R77" t="str">
        <f>Parameters!F79</f>
        <v>ValveShutdownReserved4</v>
      </c>
      <c r="S77" t="str">
        <f t="shared" si="23"/>
        <v>ValveShutdownReserved4 : REAL;</v>
      </c>
    </row>
    <row r="78" spans="1:19" x14ac:dyDescent="0.45">
      <c r="A78" s="208" t="str">
        <f>SUBSTITUTE(LEFT(Parameters!B80,IF(IFERROR(FIND("[",Parameters!B80),100)&gt;IFERROR(FIND("(",Parameters!B80),100),IFERROR(FIND("(",Parameters!B80),100),IFERROR(FIND("[",Parameters!B80),100))-1)," ","")</f>
        <v/>
      </c>
      <c r="C78" s="208" t="str">
        <f t="shared" si="13"/>
        <v/>
      </c>
      <c r="D78" s="208" t="str">
        <f t="shared" si="14"/>
        <v/>
      </c>
      <c r="E78" s="209" t="str">
        <f t="shared" si="15"/>
        <v/>
      </c>
      <c r="F78" s="210" t="str">
        <f>SUBSTITUTE(LEFT(Parameters!C80,IF(IFERROR(FIND("[",Parameters!C80),100)&gt;IFERROR(FIND("(",Parameters!C80),100),IFERROR(FIND("(",Parameters!C80),100),IFERROR(FIND("[",Parameters!C80),100))-1)," ","")</f>
        <v>FODS</v>
      </c>
      <c r="H78" s="208" t="str">
        <f t="shared" si="16"/>
        <v/>
      </c>
      <c r="I78" s="208" t="str">
        <f t="shared" si="17"/>
        <v/>
      </c>
      <c r="J78" s="209" t="str">
        <f t="shared" si="18"/>
        <v/>
      </c>
      <c r="K78" t="str">
        <f>SUBSTITUTE(LEFT(Parameters!D80,IF(IFERROR(FIND("[",Parameters!D80),100)&gt;IFERROR(FIND("(",Parameters!D80),100),IFERROR(FIND("(",Parameters!D80),100),IFERROR(FIND("[",Parameters!D80),100))-1)," ","")</f>
        <v>FODSInitReady</v>
      </c>
      <c r="M78" t="str">
        <f t="shared" si="19"/>
        <v/>
      </c>
      <c r="N78" s="208" t="str">
        <f t="shared" si="20"/>
        <v/>
      </c>
      <c r="O78" s="209" t="str">
        <f t="shared" si="21"/>
        <v/>
      </c>
      <c r="P78" s="211" t="str">
        <f t="shared" si="22"/>
        <v>FODSInitReady</v>
      </c>
      <c r="Q78">
        <f>Parameters!E80</f>
        <v>150</v>
      </c>
      <c r="R78" t="str">
        <f>Parameters!F80</f>
        <v>FODSInitReserved0</v>
      </c>
      <c r="S78" t="str">
        <f t="shared" si="23"/>
        <v>FODSInitReserved0 : REAL;</v>
      </c>
    </row>
    <row r="79" spans="1:19" x14ac:dyDescent="0.45">
      <c r="A79" s="208" t="str">
        <f>SUBSTITUTE(LEFT(Parameters!B81,IF(IFERROR(FIND("[",Parameters!B81),100)&gt;IFERROR(FIND("(",Parameters!B81),100),IFERROR(FIND("(",Parameters!B81),100),IFERROR(FIND("[",Parameters!B81),100))-1)," ","")</f>
        <v/>
      </c>
      <c r="C79" s="208" t="str">
        <f t="shared" si="13"/>
        <v/>
      </c>
      <c r="D79" s="208" t="str">
        <f t="shared" si="14"/>
        <v/>
      </c>
      <c r="E79" s="209" t="str">
        <f t="shared" si="15"/>
        <v/>
      </c>
      <c r="F79" s="210" t="str">
        <f>SUBSTITUTE(LEFT(Parameters!C81,IF(IFERROR(FIND("[",Parameters!C81),100)&gt;IFERROR(FIND("(",Parameters!C81),100),IFERROR(FIND("(",Parameters!C81),100),IFERROR(FIND("[",Parameters!C81),100))-1)," ","")</f>
        <v/>
      </c>
      <c r="H79" s="208" t="str">
        <f t="shared" si="16"/>
        <v/>
      </c>
      <c r="I79" s="208" t="str">
        <f t="shared" si="17"/>
        <v/>
      </c>
      <c r="J79" s="209" t="str">
        <f t="shared" si="18"/>
        <v/>
      </c>
      <c r="K79" t="str">
        <f>SUBSTITUTE(LEFT(Parameters!D81,IF(IFERROR(FIND("[",Parameters!D81),100)&gt;IFERROR(FIND("(",Parameters!D81),100),IFERROR(FIND("(",Parameters!D81),100),IFERROR(FIND("[",Parameters!D81),100))-1)," ","")</f>
        <v/>
      </c>
      <c r="M79" t="str">
        <f t="shared" si="19"/>
        <v/>
      </c>
      <c r="N79" s="208" t="str">
        <f t="shared" si="20"/>
        <v/>
      </c>
      <c r="O79" s="209" t="str">
        <f t="shared" si="21"/>
        <v/>
      </c>
      <c r="P79" s="211" t="str">
        <f t="shared" si="22"/>
        <v/>
      </c>
      <c r="Q79">
        <f>Parameters!E81</f>
        <v>151</v>
      </c>
      <c r="R79" t="str">
        <f>Parameters!F81</f>
        <v>FODSInitReserved1</v>
      </c>
      <c r="S79" t="str">
        <f t="shared" si="23"/>
        <v>FODSInitReserved1 : REAL;</v>
      </c>
    </row>
    <row r="80" spans="1:19" x14ac:dyDescent="0.45">
      <c r="A80" s="208" t="str">
        <f>SUBSTITUTE(LEFT(Parameters!B82,IF(IFERROR(FIND("[",Parameters!B82),100)&gt;IFERROR(FIND("(",Parameters!B82),100),IFERROR(FIND("(",Parameters!B82),100),IFERROR(FIND("[",Parameters!B82),100))-1)," ","")</f>
        <v/>
      </c>
      <c r="C80" s="208" t="str">
        <f t="shared" si="13"/>
        <v/>
      </c>
      <c r="D80" s="208" t="str">
        <f t="shared" si="14"/>
        <v/>
      </c>
      <c r="E80" s="209" t="str">
        <f t="shared" si="15"/>
        <v/>
      </c>
      <c r="F80" s="210" t="str">
        <f>SUBSTITUTE(LEFT(Parameters!C82,IF(IFERROR(FIND("[",Parameters!C82),100)&gt;IFERROR(FIND("(",Parameters!C82),100),IFERROR(FIND("(",Parameters!C82),100),IFERROR(FIND("[",Parameters!C82),100))-1)," ","")</f>
        <v/>
      </c>
      <c r="H80" s="208" t="str">
        <f t="shared" si="16"/>
        <v/>
      </c>
      <c r="I80" s="208" t="str">
        <f t="shared" si="17"/>
        <v/>
      </c>
      <c r="J80" s="209" t="str">
        <f t="shared" si="18"/>
        <v/>
      </c>
      <c r="K80" t="str">
        <f>SUBSTITUTE(LEFT(Parameters!D82,IF(IFERROR(FIND("[",Parameters!D82),100)&gt;IFERROR(FIND("(",Parameters!D82),100),IFERROR(FIND("(",Parameters!D82),100),IFERROR(FIND("[",Parameters!D82),100))-1)," ","")</f>
        <v/>
      </c>
      <c r="M80" t="str">
        <f t="shared" si="19"/>
        <v/>
      </c>
      <c r="N80" s="208" t="str">
        <f t="shared" si="20"/>
        <v/>
      </c>
      <c r="O80" s="209" t="str">
        <f t="shared" si="21"/>
        <v/>
      </c>
      <c r="P80" s="211" t="str">
        <f t="shared" si="22"/>
        <v/>
      </c>
      <c r="Q80">
        <f>Parameters!E82</f>
        <v>152</v>
      </c>
      <c r="R80" t="str">
        <f>Parameters!F82</f>
        <v>FODSInitReserved2</v>
      </c>
      <c r="S80" t="str">
        <f t="shared" si="23"/>
        <v>FODSInitReserved2 : REAL;</v>
      </c>
    </row>
    <row r="81" spans="1:19" x14ac:dyDescent="0.45">
      <c r="A81" s="208" t="str">
        <f>SUBSTITUTE(LEFT(Parameters!B83,IF(IFERROR(FIND("[",Parameters!B83),100)&gt;IFERROR(FIND("(",Parameters!B83),100),IFERROR(FIND("(",Parameters!B83),100),IFERROR(FIND("[",Parameters!B83),100))-1)," ","")</f>
        <v/>
      </c>
      <c r="C81" s="208" t="str">
        <f t="shared" si="13"/>
        <v/>
      </c>
      <c r="D81" s="208" t="str">
        <f t="shared" si="14"/>
        <v/>
      </c>
      <c r="E81" s="209" t="str">
        <f t="shared" si="15"/>
        <v/>
      </c>
      <c r="F81" s="210" t="str">
        <f>SUBSTITUTE(LEFT(Parameters!C83,IF(IFERROR(FIND("[",Parameters!C83),100)&gt;IFERROR(FIND("(",Parameters!C83),100),IFERROR(FIND("(",Parameters!C83),100),IFERROR(FIND("[",Parameters!C83),100))-1)," ","")</f>
        <v/>
      </c>
      <c r="H81" s="208" t="str">
        <f t="shared" si="16"/>
        <v/>
      </c>
      <c r="I81" s="208" t="str">
        <f t="shared" si="17"/>
        <v/>
      </c>
      <c r="J81" s="209" t="str">
        <f t="shared" si="18"/>
        <v/>
      </c>
      <c r="K81" t="str">
        <f>SUBSTITUTE(LEFT(Parameters!D83,IF(IFERROR(FIND("[",Parameters!D83),100)&gt;IFERROR(FIND("(",Parameters!D83),100),IFERROR(FIND("(",Parameters!D83),100),IFERROR(FIND("[",Parameters!D83),100))-1)," ","")</f>
        <v/>
      </c>
      <c r="M81" t="str">
        <f t="shared" si="19"/>
        <v/>
      </c>
      <c r="N81" s="208" t="str">
        <f t="shared" si="20"/>
        <v/>
      </c>
      <c r="O81" s="209" t="str">
        <f t="shared" si="21"/>
        <v/>
      </c>
      <c r="P81" s="211" t="str">
        <f t="shared" si="22"/>
        <v/>
      </c>
      <c r="Q81">
        <f>Parameters!E83</f>
        <v>153</v>
      </c>
      <c r="R81" t="str">
        <f>Parameters!F83</f>
        <v>FODSInitReserved3</v>
      </c>
      <c r="S81" t="str">
        <f t="shared" si="23"/>
        <v>FODSInitReserved3 : REAL;</v>
      </c>
    </row>
    <row r="82" spans="1:19" x14ac:dyDescent="0.45">
      <c r="A82" s="208" t="str">
        <f>SUBSTITUTE(LEFT(Parameters!B84,IF(IFERROR(FIND("[",Parameters!B84),100)&gt;IFERROR(FIND("(",Parameters!B84),100),IFERROR(FIND("(",Parameters!B84),100),IFERROR(FIND("[",Parameters!B84),100))-1)," ","")</f>
        <v/>
      </c>
      <c r="C82" s="208" t="str">
        <f t="shared" si="13"/>
        <v/>
      </c>
      <c r="D82" s="208" t="str">
        <f t="shared" si="14"/>
        <v/>
      </c>
      <c r="E82" s="209" t="str">
        <f t="shared" si="15"/>
        <v/>
      </c>
      <c r="F82" s="210" t="str">
        <f>SUBSTITUTE(LEFT(Parameters!C84,IF(IFERROR(FIND("[",Parameters!C84),100)&gt;IFERROR(FIND("(",Parameters!C84),100),IFERROR(FIND("(",Parameters!C84),100),IFERROR(FIND("[",Parameters!C84),100))-1)," ","")</f>
        <v/>
      </c>
      <c r="H82" s="208" t="str">
        <f t="shared" si="16"/>
        <v/>
      </c>
      <c r="I82" s="208" t="str">
        <f t="shared" si="17"/>
        <v/>
      </c>
      <c r="J82" s="209" t="str">
        <f t="shared" si="18"/>
        <v/>
      </c>
      <c r="K82" t="str">
        <f>SUBSTITUTE(LEFT(Parameters!D84,IF(IFERROR(FIND("[",Parameters!D84),100)&gt;IFERROR(FIND("(",Parameters!D84),100),IFERROR(FIND("(",Parameters!D84),100),IFERROR(FIND("[",Parameters!D84),100))-1)," ","")</f>
        <v/>
      </c>
      <c r="M82" t="str">
        <f t="shared" si="19"/>
        <v/>
      </c>
      <c r="N82" s="208" t="str">
        <f t="shared" si="20"/>
        <v/>
      </c>
      <c r="O82" s="209" t="str">
        <f t="shared" si="21"/>
        <v/>
      </c>
      <c r="P82" s="211" t="str">
        <f t="shared" si="22"/>
        <v/>
      </c>
      <c r="Q82">
        <f>Parameters!E84</f>
        <v>154</v>
      </c>
      <c r="R82" t="str">
        <f>Parameters!F84</f>
        <v>FODSInitReserved4</v>
      </c>
      <c r="S82" t="str">
        <f t="shared" si="23"/>
        <v>FODSInitReserved4 : REAL;</v>
      </c>
    </row>
    <row r="83" spans="1:19" x14ac:dyDescent="0.45">
      <c r="A83" s="208" t="str">
        <f>SUBSTITUTE(LEFT(Parameters!B85,IF(IFERROR(FIND("[",Parameters!B85),100)&gt;IFERROR(FIND("(",Parameters!B85),100),IFERROR(FIND("(",Parameters!B85),100),IFERROR(FIND("[",Parameters!B85),100))-1)," ","")</f>
        <v/>
      </c>
      <c r="C83" s="208" t="str">
        <f t="shared" si="13"/>
        <v/>
      </c>
      <c r="D83" s="208" t="str">
        <f t="shared" si="14"/>
        <v/>
      </c>
      <c r="E83" s="209" t="str">
        <f t="shared" si="15"/>
        <v/>
      </c>
      <c r="F83" s="210" t="str">
        <f>SUBSTITUTE(LEFT(Parameters!C85,IF(IFERROR(FIND("[",Parameters!C85),100)&gt;IFERROR(FIND("(",Parameters!C85),100),IFERROR(FIND("(",Parameters!C85),100),IFERROR(FIND("[",Parameters!C85),100))-1)," ","")</f>
        <v/>
      </c>
      <c r="H83" s="208" t="str">
        <f t="shared" si="16"/>
        <v/>
      </c>
      <c r="I83" s="208" t="str">
        <f t="shared" si="17"/>
        <v/>
      </c>
      <c r="J83" s="209" t="str">
        <f t="shared" si="18"/>
        <v/>
      </c>
      <c r="K83" t="str">
        <f>SUBSTITUTE(LEFT(Parameters!D85,IF(IFERROR(FIND("[",Parameters!D85),100)&gt;IFERROR(FIND("(",Parameters!D85),100),IFERROR(FIND("(",Parameters!D85),100),IFERROR(FIND("[",Parameters!D85),100))-1)," ","")</f>
        <v>FODSCooling</v>
      </c>
      <c r="M83" t="str">
        <f t="shared" si="19"/>
        <v/>
      </c>
      <c r="N83" s="208" t="str">
        <f t="shared" si="20"/>
        <v/>
      </c>
      <c r="O83" s="209" t="str">
        <f t="shared" si="21"/>
        <v/>
      </c>
      <c r="P83" s="211" t="str">
        <f t="shared" si="22"/>
        <v>FODSCooling</v>
      </c>
      <c r="Q83">
        <f>Parameters!E85</f>
        <v>155</v>
      </c>
      <c r="R83" t="str">
        <f>Parameters!F85</f>
        <v>FOCoolDuration</v>
      </c>
      <c r="S83" t="str">
        <f t="shared" si="23"/>
        <v>FOCoolDuration : REAL;</v>
      </c>
    </row>
    <row r="84" spans="1:19" x14ac:dyDescent="0.45">
      <c r="A84" s="208" t="str">
        <f>SUBSTITUTE(LEFT(Parameters!B86,IF(IFERROR(FIND("[",Parameters!B86),100)&gt;IFERROR(FIND("(",Parameters!B86),100),IFERROR(FIND("(",Parameters!B86),100),IFERROR(FIND("[",Parameters!B86),100))-1)," ","")</f>
        <v/>
      </c>
      <c r="C84" s="208" t="str">
        <f t="shared" si="13"/>
        <v/>
      </c>
      <c r="D84" s="208" t="str">
        <f t="shared" si="14"/>
        <v/>
      </c>
      <c r="E84" s="209" t="str">
        <f t="shared" si="15"/>
        <v/>
      </c>
      <c r="F84" s="210" t="str">
        <f>SUBSTITUTE(LEFT(Parameters!C86,IF(IFERROR(FIND("[",Parameters!C86),100)&gt;IFERROR(FIND("(",Parameters!C86),100),IFERROR(FIND("(",Parameters!C86),100),IFERROR(FIND("[",Parameters!C86),100))-1)," ","")</f>
        <v/>
      </c>
      <c r="H84" s="208" t="str">
        <f t="shared" si="16"/>
        <v/>
      </c>
      <c r="I84" s="208" t="str">
        <f t="shared" si="17"/>
        <v/>
      </c>
      <c r="J84" s="209" t="str">
        <f t="shared" si="18"/>
        <v/>
      </c>
      <c r="K84" t="str">
        <f>SUBSTITUTE(LEFT(Parameters!D86,IF(IFERROR(FIND("[",Parameters!D86),100)&gt;IFERROR(FIND("(",Parameters!D86),100),IFERROR(FIND("(",Parameters!D86),100),IFERROR(FIND("[",Parameters!D86),100))-1)," ","")</f>
        <v/>
      </c>
      <c r="M84" t="str">
        <f t="shared" si="19"/>
        <v/>
      </c>
      <c r="N84" s="208" t="str">
        <f t="shared" si="20"/>
        <v/>
      </c>
      <c r="O84" s="209" t="str">
        <f t="shared" si="21"/>
        <v/>
      </c>
      <c r="P84" s="211" t="str">
        <f t="shared" si="22"/>
        <v/>
      </c>
      <c r="Q84">
        <f>Parameters!E86</f>
        <v>156</v>
      </c>
      <c r="R84" t="str">
        <f>Parameters!F86</f>
        <v>FODSCoolingReserved1</v>
      </c>
      <c r="S84" t="str">
        <f t="shared" si="23"/>
        <v>FODSCoolingReserved1 : REAL;</v>
      </c>
    </row>
    <row r="85" spans="1:19" x14ac:dyDescent="0.45">
      <c r="A85" s="208" t="str">
        <f>SUBSTITUTE(LEFT(Parameters!B87,IF(IFERROR(FIND("[",Parameters!B87),100)&gt;IFERROR(FIND("(",Parameters!B87),100),IFERROR(FIND("(",Parameters!B87),100),IFERROR(FIND("[",Parameters!B87),100))-1)," ","")</f>
        <v/>
      </c>
      <c r="C85" s="208" t="str">
        <f t="shared" si="13"/>
        <v/>
      </c>
      <c r="D85" s="208" t="str">
        <f t="shared" si="14"/>
        <v/>
      </c>
      <c r="E85" s="209" t="str">
        <f t="shared" si="15"/>
        <v/>
      </c>
      <c r="F85" s="210" t="str">
        <f>SUBSTITUTE(LEFT(Parameters!C87,IF(IFERROR(FIND("[",Parameters!C87),100)&gt;IFERROR(FIND("(",Parameters!C87),100),IFERROR(FIND("(",Parameters!C87),100),IFERROR(FIND("[",Parameters!C87),100))-1)," ","")</f>
        <v/>
      </c>
      <c r="H85" s="208" t="str">
        <f t="shared" si="16"/>
        <v/>
      </c>
      <c r="I85" s="208" t="str">
        <f t="shared" si="17"/>
        <v/>
      </c>
      <c r="J85" s="209" t="str">
        <f t="shared" si="18"/>
        <v/>
      </c>
      <c r="K85" t="str">
        <f>SUBSTITUTE(LEFT(Parameters!D87,IF(IFERROR(FIND("[",Parameters!D87),100)&gt;IFERROR(FIND("(",Parameters!D87),100),IFERROR(FIND("(",Parameters!D87),100),IFERROR(FIND("[",Parameters!D87),100))-1)," ","")</f>
        <v/>
      </c>
      <c r="M85" t="str">
        <f t="shared" si="19"/>
        <v/>
      </c>
      <c r="N85" s="208" t="str">
        <f t="shared" si="20"/>
        <v/>
      </c>
      <c r="O85" s="209" t="str">
        <f t="shared" si="21"/>
        <v/>
      </c>
      <c r="P85" s="211" t="str">
        <f t="shared" si="22"/>
        <v/>
      </c>
      <c r="Q85">
        <f>Parameters!E87</f>
        <v>157</v>
      </c>
      <c r="R85" t="str">
        <f>Parameters!F87</f>
        <v>FODSCoolingReserved2</v>
      </c>
      <c r="S85" t="str">
        <f t="shared" si="23"/>
        <v>FODSCoolingReserved2 : REAL;</v>
      </c>
    </row>
    <row r="86" spans="1:19" x14ac:dyDescent="0.45">
      <c r="A86" s="208" t="str">
        <f>SUBSTITUTE(LEFT(Parameters!B88,IF(IFERROR(FIND("[",Parameters!B88),100)&gt;IFERROR(FIND("(",Parameters!B88),100),IFERROR(FIND("(",Parameters!B88),100),IFERROR(FIND("[",Parameters!B88),100))-1)," ","")</f>
        <v/>
      </c>
      <c r="C86" s="208" t="str">
        <f t="shared" si="13"/>
        <v/>
      </c>
      <c r="D86" s="208" t="str">
        <f t="shared" si="14"/>
        <v/>
      </c>
      <c r="E86" s="209" t="str">
        <f t="shared" si="15"/>
        <v/>
      </c>
      <c r="F86" s="210" t="str">
        <f>SUBSTITUTE(LEFT(Parameters!C88,IF(IFERROR(FIND("[",Parameters!C88),100)&gt;IFERROR(FIND("(",Parameters!C88),100),IFERROR(FIND("(",Parameters!C88),100),IFERROR(FIND("[",Parameters!C88),100))-1)," ","")</f>
        <v/>
      </c>
      <c r="H86" s="208" t="str">
        <f t="shared" si="16"/>
        <v/>
      </c>
      <c r="I86" s="208" t="str">
        <f t="shared" si="17"/>
        <v/>
      </c>
      <c r="J86" s="209" t="str">
        <f t="shared" si="18"/>
        <v/>
      </c>
      <c r="K86" t="str">
        <f>SUBSTITUTE(LEFT(Parameters!D88,IF(IFERROR(FIND("[",Parameters!D88),100)&gt;IFERROR(FIND("(",Parameters!D88),100),IFERROR(FIND("(",Parameters!D88),100),IFERROR(FIND("[",Parameters!D88),100))-1)," ","")</f>
        <v/>
      </c>
      <c r="M86" t="str">
        <f t="shared" si="19"/>
        <v/>
      </c>
      <c r="N86" s="208" t="str">
        <f t="shared" si="20"/>
        <v/>
      </c>
      <c r="O86" s="209" t="str">
        <f t="shared" si="21"/>
        <v/>
      </c>
      <c r="P86" s="211" t="str">
        <f t="shared" si="22"/>
        <v/>
      </c>
      <c r="Q86">
        <f>Parameters!E88</f>
        <v>158</v>
      </c>
      <c r="R86" t="str">
        <f>Parameters!F88</f>
        <v>FODSCoolingReserved3</v>
      </c>
      <c r="S86" t="str">
        <f t="shared" si="23"/>
        <v>FODSCoolingReserved3 : REAL;</v>
      </c>
    </row>
    <row r="87" spans="1:19" x14ac:dyDescent="0.45">
      <c r="A87" s="208" t="str">
        <f>SUBSTITUTE(LEFT(Parameters!B89,IF(IFERROR(FIND("[",Parameters!B89),100)&gt;IFERROR(FIND("(",Parameters!B89),100),IFERROR(FIND("(",Parameters!B89),100),IFERROR(FIND("[",Parameters!B89),100))-1)," ","")</f>
        <v/>
      </c>
      <c r="C87" s="208" t="str">
        <f t="shared" si="13"/>
        <v/>
      </c>
      <c r="D87" s="208" t="str">
        <f t="shared" si="14"/>
        <v/>
      </c>
      <c r="E87" s="209" t="str">
        <f t="shared" si="15"/>
        <v/>
      </c>
      <c r="F87" s="210" t="str">
        <f>SUBSTITUTE(LEFT(Parameters!C89,IF(IFERROR(FIND("[",Parameters!C89),100)&gt;IFERROR(FIND("(",Parameters!C89),100),IFERROR(FIND("(",Parameters!C89),100),IFERROR(FIND("[",Parameters!C89),100))-1)," ","")</f>
        <v/>
      </c>
      <c r="H87" s="208" t="str">
        <f t="shared" si="16"/>
        <v/>
      </c>
      <c r="I87" s="208" t="str">
        <f t="shared" si="17"/>
        <v/>
      </c>
      <c r="J87" s="209" t="str">
        <f t="shared" si="18"/>
        <v/>
      </c>
      <c r="K87" t="str">
        <f>SUBSTITUTE(LEFT(Parameters!D89,IF(IFERROR(FIND("[",Parameters!D89),100)&gt;IFERROR(FIND("(",Parameters!D89),100),IFERROR(FIND("(",Parameters!D89),100),IFERROR(FIND("[",Parameters!D89),100))-1)," ","")</f>
        <v/>
      </c>
      <c r="M87" t="str">
        <f t="shared" si="19"/>
        <v/>
      </c>
      <c r="N87" s="208" t="str">
        <f t="shared" si="20"/>
        <v/>
      </c>
      <c r="O87" s="209" t="str">
        <f t="shared" si="21"/>
        <v/>
      </c>
      <c r="P87" s="211" t="str">
        <f t="shared" si="22"/>
        <v/>
      </c>
      <c r="Q87">
        <f>Parameters!E89</f>
        <v>159</v>
      </c>
      <c r="R87" t="str">
        <f>Parameters!F89</f>
        <v>FODSCoolingReserved4</v>
      </c>
      <c r="S87" t="str">
        <f t="shared" si="23"/>
        <v>FODSCoolingReserved4 : REAL;</v>
      </c>
    </row>
    <row r="88" spans="1:19" x14ac:dyDescent="0.45">
      <c r="A88" s="208" t="str">
        <f>SUBSTITUTE(LEFT(Parameters!B90,IF(IFERROR(FIND("[",Parameters!B90),100)&gt;IFERROR(FIND("(",Parameters!B90),100),IFERROR(FIND("(",Parameters!B90),100),IFERROR(FIND("[",Parameters!B90),100))-1)," ","")</f>
        <v/>
      </c>
      <c r="C88" s="208" t="str">
        <f t="shared" si="13"/>
        <v/>
      </c>
      <c r="D88" s="208" t="str">
        <f t="shared" si="14"/>
        <v/>
      </c>
      <c r="E88" s="209" t="str">
        <f t="shared" si="15"/>
        <v/>
      </c>
      <c r="F88" s="210" t="str">
        <f>SUBSTITUTE(LEFT(Parameters!C90,IF(IFERROR(FIND("[",Parameters!C90),100)&gt;IFERROR(FIND("(",Parameters!C90),100),IFERROR(FIND("(",Parameters!C90),100),IFERROR(FIND("[",Parameters!C90),100))-1)," ","")</f>
        <v/>
      </c>
      <c r="H88" s="208" t="str">
        <f t="shared" si="16"/>
        <v/>
      </c>
      <c r="I88" s="208" t="str">
        <f t="shared" si="17"/>
        <v/>
      </c>
      <c r="J88" s="209" t="str">
        <f t="shared" si="18"/>
        <v/>
      </c>
      <c r="K88" t="str">
        <f>SUBSTITUTE(LEFT(Parameters!D90,IF(IFERROR(FIND("[",Parameters!D90),100)&gt;IFERROR(FIND("(",Parameters!D90),100),IFERROR(FIND("(",Parameters!D90),100),IFERROR(FIND("[",Parameters!D90),100))-1)," ","")</f>
        <v>FODSDosing</v>
      </c>
      <c r="M88" t="str">
        <f t="shared" si="19"/>
        <v/>
      </c>
      <c r="N88" s="208" t="str">
        <f t="shared" si="20"/>
        <v/>
      </c>
      <c r="O88" s="209" t="str">
        <f t="shared" si="21"/>
        <v/>
      </c>
      <c r="P88" s="211" t="str">
        <f t="shared" si="22"/>
        <v>FODSDosing</v>
      </c>
      <c r="Q88">
        <f>Parameters!E90</f>
        <v>160</v>
      </c>
      <c r="R88" t="str">
        <f>Parameters!F90</f>
        <v>PumpChangeOverTime</v>
      </c>
      <c r="S88" t="str">
        <f t="shared" si="23"/>
        <v>PumpChangeOverTime : REAL;</v>
      </c>
    </row>
    <row r="89" spans="1:19" x14ac:dyDescent="0.45">
      <c r="A89" s="208" t="str">
        <f>SUBSTITUTE(LEFT(Parameters!B91,IF(IFERROR(FIND("[",Parameters!B91),100)&gt;IFERROR(FIND("(",Parameters!B91),100),IFERROR(FIND("(",Parameters!B91),100),IFERROR(FIND("[",Parameters!B91),100))-1)," ","")</f>
        <v/>
      </c>
      <c r="C89" s="208" t="str">
        <f t="shared" si="13"/>
        <v/>
      </c>
      <c r="D89" s="208" t="str">
        <f t="shared" si="14"/>
        <v/>
      </c>
      <c r="E89" s="209" t="str">
        <f t="shared" si="15"/>
        <v/>
      </c>
      <c r="F89" s="210" t="str">
        <f>SUBSTITUTE(LEFT(Parameters!C91,IF(IFERROR(FIND("[",Parameters!C91),100)&gt;IFERROR(FIND("(",Parameters!C91),100),IFERROR(FIND("(",Parameters!C91),100),IFERROR(FIND("[",Parameters!C91),100))-1)," ","")</f>
        <v/>
      </c>
      <c r="H89" s="208" t="str">
        <f t="shared" si="16"/>
        <v/>
      </c>
      <c r="I89" s="208" t="str">
        <f t="shared" si="17"/>
        <v/>
      </c>
      <c r="J89" s="209" t="str">
        <f t="shared" si="18"/>
        <v/>
      </c>
      <c r="K89" t="str">
        <f>SUBSTITUTE(LEFT(Parameters!D91,IF(IFERROR(FIND("[",Parameters!D91),100)&gt;IFERROR(FIND("(",Parameters!D91),100),IFERROR(FIND("(",Parameters!D91),100),IFERROR(FIND("[",Parameters!D91),100))-1)," ","")</f>
        <v/>
      </c>
      <c r="M89" t="str">
        <f t="shared" si="19"/>
        <v/>
      </c>
      <c r="N89" s="208" t="str">
        <f t="shared" si="20"/>
        <v/>
      </c>
      <c r="O89" s="209" t="str">
        <f t="shared" si="21"/>
        <v/>
      </c>
      <c r="P89" s="211" t="str">
        <f t="shared" si="22"/>
        <v/>
      </c>
      <c r="Q89">
        <f>Parameters!E91</f>
        <v>161</v>
      </c>
      <c r="R89" t="str">
        <f>Parameters!F91</f>
        <v>SolVVDelay</v>
      </c>
      <c r="S89" t="str">
        <f t="shared" si="23"/>
        <v>SolVVDelay : REAL;</v>
      </c>
    </row>
    <row r="90" spans="1:19" x14ac:dyDescent="0.45">
      <c r="A90" s="208" t="str">
        <f>SUBSTITUTE(LEFT(Parameters!B92,IF(IFERROR(FIND("[",Parameters!B92),100)&gt;IFERROR(FIND("(",Parameters!B92),100),IFERROR(FIND("(",Parameters!B92),100),IFERROR(FIND("[",Parameters!B92),100))-1)," ","")</f>
        <v/>
      </c>
      <c r="C90" s="208" t="str">
        <f t="shared" si="13"/>
        <v/>
      </c>
      <c r="D90" s="208" t="str">
        <f t="shared" si="14"/>
        <v/>
      </c>
      <c r="E90" s="209" t="str">
        <f t="shared" si="15"/>
        <v/>
      </c>
      <c r="F90" s="210" t="str">
        <f>SUBSTITUTE(LEFT(Parameters!C92,IF(IFERROR(FIND("[",Parameters!C92),100)&gt;IFERROR(FIND("(",Parameters!C92),100),IFERROR(FIND("(",Parameters!C92),100),IFERROR(FIND("[",Parameters!C92),100))-1)," ","")</f>
        <v/>
      </c>
      <c r="H90" s="208" t="str">
        <f t="shared" si="16"/>
        <v/>
      </c>
      <c r="I90" s="208" t="str">
        <f t="shared" si="17"/>
        <v/>
      </c>
      <c r="J90" s="209" t="str">
        <f t="shared" si="18"/>
        <v/>
      </c>
      <c r="K90" t="str">
        <f>SUBSTITUTE(LEFT(Parameters!D92,IF(IFERROR(FIND("[",Parameters!D92),100)&gt;IFERROR(FIND("(",Parameters!D92),100),IFERROR(FIND("(",Parameters!D92),100),IFERROR(FIND("[",Parameters!D92),100))-1)," ","")</f>
        <v/>
      </c>
      <c r="M90" t="str">
        <f t="shared" si="19"/>
        <v/>
      </c>
      <c r="N90" s="208" t="str">
        <f t="shared" si="20"/>
        <v/>
      </c>
      <c r="O90" s="209" t="str">
        <f t="shared" si="21"/>
        <v/>
      </c>
      <c r="P90" s="211" t="str">
        <f t="shared" si="22"/>
        <v/>
      </c>
      <c r="Q90">
        <f>Parameters!E92</f>
        <v>162</v>
      </c>
      <c r="R90" t="str">
        <f>Parameters!F92</f>
        <v>LowRefQFOTimeout</v>
      </c>
      <c r="S90" t="str">
        <f t="shared" si="23"/>
        <v>LowRefQFOTimeout : REAL;</v>
      </c>
    </row>
    <row r="91" spans="1:19" x14ac:dyDescent="0.45">
      <c r="A91" s="208" t="str">
        <f>SUBSTITUTE(LEFT(Parameters!B93,IF(IFERROR(FIND("[",Parameters!B93),100)&gt;IFERROR(FIND("(",Parameters!B93),100),IFERROR(FIND("(",Parameters!B93),100),IFERROR(FIND("[",Parameters!B93),100))-1)," ","")</f>
        <v/>
      </c>
      <c r="C91" s="208" t="str">
        <f t="shared" si="13"/>
        <v/>
      </c>
      <c r="D91" s="208" t="str">
        <f t="shared" si="14"/>
        <v/>
      </c>
      <c r="E91" s="209" t="str">
        <f t="shared" si="15"/>
        <v/>
      </c>
      <c r="F91" s="210" t="str">
        <f>SUBSTITUTE(LEFT(Parameters!C93,IF(IFERROR(FIND("[",Parameters!C93),100)&gt;IFERROR(FIND("(",Parameters!C93),100),IFERROR(FIND("(",Parameters!C93),100),IFERROR(FIND("[",Parameters!C93),100))-1)," ","")</f>
        <v/>
      </c>
      <c r="H91" s="208" t="str">
        <f t="shared" si="16"/>
        <v/>
      </c>
      <c r="I91" s="208" t="str">
        <f t="shared" si="17"/>
        <v/>
      </c>
      <c r="J91" s="209" t="str">
        <f t="shared" si="18"/>
        <v/>
      </c>
      <c r="K91" t="str">
        <f>SUBSTITUTE(LEFT(Parameters!D93,IF(IFERROR(FIND("[",Parameters!D93),100)&gt;IFERROR(FIND("(",Parameters!D93),100),IFERROR(FIND("(",Parameters!D93),100),IFERROR(FIND("[",Parameters!D93),100))-1)," ","")</f>
        <v/>
      </c>
      <c r="M91" t="str">
        <f t="shared" si="19"/>
        <v/>
      </c>
      <c r="N91" s="208" t="str">
        <f t="shared" si="20"/>
        <v/>
      </c>
      <c r="O91" s="209" t="str">
        <f t="shared" si="21"/>
        <v/>
      </c>
      <c r="P91" s="211" t="str">
        <f t="shared" si="22"/>
        <v/>
      </c>
      <c r="Q91">
        <f>Parameters!E93</f>
        <v>163</v>
      </c>
      <c r="R91" t="str">
        <f>Parameters!F93</f>
        <v>QFOLowLimitTimeout</v>
      </c>
      <c r="S91" t="str">
        <f t="shared" si="23"/>
        <v>QFOLowLimitTimeout : REAL;</v>
      </c>
    </row>
    <row r="92" spans="1:19" x14ac:dyDescent="0.45">
      <c r="A92" s="208" t="str">
        <f>SUBSTITUTE(LEFT(Parameters!B94,IF(IFERROR(FIND("[",Parameters!B94),100)&gt;IFERROR(FIND("(",Parameters!B94),100),IFERROR(FIND("(",Parameters!B94),100),IFERROR(FIND("[",Parameters!B94),100))-1)," ","")</f>
        <v/>
      </c>
      <c r="C92" s="208" t="str">
        <f t="shared" si="13"/>
        <v/>
      </c>
      <c r="D92" s="208" t="str">
        <f t="shared" si="14"/>
        <v/>
      </c>
      <c r="E92" s="209" t="str">
        <f t="shared" si="15"/>
        <v/>
      </c>
      <c r="F92" s="210" t="str">
        <f>SUBSTITUTE(LEFT(Parameters!C94,IF(IFERROR(FIND("[",Parameters!C94),100)&gt;IFERROR(FIND("(",Parameters!C94),100),IFERROR(FIND("(",Parameters!C94),100),IFERROR(FIND("[",Parameters!C94),100))-1)," ","")</f>
        <v/>
      </c>
      <c r="H92" s="208" t="str">
        <f t="shared" si="16"/>
        <v/>
      </c>
      <c r="I92" s="208" t="str">
        <f t="shared" si="17"/>
        <v/>
      </c>
      <c r="J92" s="209" t="str">
        <f t="shared" si="18"/>
        <v/>
      </c>
      <c r="K92" t="str">
        <f>SUBSTITUTE(LEFT(Parameters!D94,IF(IFERROR(FIND("[",Parameters!D94),100)&gt;IFERROR(FIND("(",Parameters!D94),100),IFERROR(FIND("(",Parameters!D94),100),IFERROR(FIND("[",Parameters!D94),100))-1)," ","")</f>
        <v/>
      </c>
      <c r="M92" t="str">
        <f t="shared" si="19"/>
        <v/>
      </c>
      <c r="N92" s="208" t="str">
        <f t="shared" si="20"/>
        <v/>
      </c>
      <c r="O92" s="209" t="str">
        <f t="shared" si="21"/>
        <v/>
      </c>
      <c r="P92" s="211" t="str">
        <f t="shared" si="22"/>
        <v/>
      </c>
      <c r="Q92">
        <f>Parameters!E94</f>
        <v>164</v>
      </c>
      <c r="R92" t="str">
        <f>Parameters!F94</f>
        <v>SFFlowrateThHigh</v>
      </c>
      <c r="S92" t="str">
        <f t="shared" si="23"/>
        <v>SFFlowrateThHigh : REAL;</v>
      </c>
    </row>
    <row r="93" spans="1:19" x14ac:dyDescent="0.45">
      <c r="A93" s="208" t="str">
        <f>SUBSTITUTE(LEFT(Parameters!B95,IF(IFERROR(FIND("[",Parameters!B95),100)&gt;IFERROR(FIND("(",Parameters!B95),100),IFERROR(FIND("(",Parameters!B95),100),IFERROR(FIND("[",Parameters!B95),100))-1)," ","")</f>
        <v/>
      </c>
      <c r="C93" s="208" t="str">
        <f t="shared" si="13"/>
        <v/>
      </c>
      <c r="D93" s="208" t="str">
        <f t="shared" si="14"/>
        <v/>
      </c>
      <c r="E93" s="209" t="str">
        <f t="shared" si="15"/>
        <v/>
      </c>
      <c r="F93" s="210" t="str">
        <f>SUBSTITUTE(LEFT(Parameters!C95,IF(IFERROR(FIND("[",Parameters!C95),100)&gt;IFERROR(FIND("(",Parameters!C95),100),IFERROR(FIND("(",Parameters!C95),100),IFERROR(FIND("[",Parameters!C95),100))-1)," ","")</f>
        <v/>
      </c>
      <c r="H93" s="208" t="str">
        <f t="shared" si="16"/>
        <v/>
      </c>
      <c r="I93" s="208" t="str">
        <f t="shared" si="17"/>
        <v/>
      </c>
      <c r="J93" s="209" t="str">
        <f t="shared" si="18"/>
        <v/>
      </c>
      <c r="K93" t="str">
        <f>SUBSTITUTE(LEFT(Parameters!D95,IF(IFERROR(FIND("[",Parameters!D95),100)&gt;IFERROR(FIND("(",Parameters!D95),100),IFERROR(FIND("(",Parameters!D95),100),IFERROR(FIND("[",Parameters!D95),100))-1)," ","")</f>
        <v/>
      </c>
      <c r="M93" t="str">
        <f t="shared" si="19"/>
        <v/>
      </c>
      <c r="N93" s="208" t="str">
        <f t="shared" si="20"/>
        <v/>
      </c>
      <c r="O93" s="209" t="str">
        <f t="shared" si="21"/>
        <v/>
      </c>
      <c r="P93" s="211" t="str">
        <f t="shared" si="22"/>
        <v/>
      </c>
      <c r="Q93">
        <f>Parameters!E95</f>
        <v>165</v>
      </c>
      <c r="R93" t="str">
        <f>Parameters!F95</f>
        <v>SFFlowrateThLow</v>
      </c>
      <c r="S93" t="str">
        <f t="shared" si="23"/>
        <v>SFFlowrateThLow : REAL;</v>
      </c>
    </row>
    <row r="94" spans="1:19" x14ac:dyDescent="0.45">
      <c r="A94" s="208" t="str">
        <f>SUBSTITUTE(LEFT(Parameters!B96,IF(IFERROR(FIND("[",Parameters!B96),100)&gt;IFERROR(FIND("(",Parameters!B96),100),IFERROR(FIND("(",Parameters!B96),100),IFERROR(FIND("[",Parameters!B96),100))-1)," ","")</f>
        <v/>
      </c>
      <c r="C94" s="208" t="str">
        <f t="shared" si="13"/>
        <v/>
      </c>
      <c r="D94" s="208" t="str">
        <f t="shared" si="14"/>
        <v/>
      </c>
      <c r="E94" s="209" t="str">
        <f t="shared" si="15"/>
        <v/>
      </c>
      <c r="F94" s="210" t="str">
        <f>SUBSTITUTE(LEFT(Parameters!C96,IF(IFERROR(FIND("[",Parameters!C96),100)&gt;IFERROR(FIND("(",Parameters!C96),100),IFERROR(FIND("(",Parameters!C96),100),IFERROR(FIND("[",Parameters!C96),100))-1)," ","")</f>
        <v/>
      </c>
      <c r="H94" s="208" t="str">
        <f t="shared" si="16"/>
        <v/>
      </c>
      <c r="I94" s="208" t="str">
        <f t="shared" si="17"/>
        <v/>
      </c>
      <c r="J94" s="209" t="str">
        <f t="shared" si="18"/>
        <v/>
      </c>
      <c r="K94" t="str">
        <f>SUBSTITUTE(LEFT(Parameters!D96,IF(IFERROR(FIND("[",Parameters!D96),100)&gt;IFERROR(FIND("(",Parameters!D96),100),IFERROR(FIND("(",Parameters!D96),100),IFERROR(FIND("[",Parameters!D96),100))-1)," ","")</f>
        <v/>
      </c>
      <c r="M94" t="str">
        <f t="shared" si="19"/>
        <v/>
      </c>
      <c r="N94" s="208" t="str">
        <f t="shared" si="20"/>
        <v/>
      </c>
      <c r="O94" s="209" t="str">
        <f t="shared" si="21"/>
        <v/>
      </c>
      <c r="P94" s="211" t="str">
        <f t="shared" si="22"/>
        <v/>
      </c>
      <c r="Q94">
        <f>Parameters!E96</f>
        <v>166</v>
      </c>
      <c r="R94" t="str">
        <f>Parameters!F96</f>
        <v>QFOHighLimitGain</v>
      </c>
      <c r="S94" t="str">
        <f t="shared" si="23"/>
        <v>QFOHighLimitGain : REAL;</v>
      </c>
    </row>
    <row r="95" spans="1:19" x14ac:dyDescent="0.45">
      <c r="A95" s="208" t="str">
        <f>SUBSTITUTE(LEFT(Parameters!B97,IF(IFERROR(FIND("[",Parameters!B97),100)&gt;IFERROR(FIND("(",Parameters!B97),100),IFERROR(FIND("(",Parameters!B97),100),IFERROR(FIND("[",Parameters!B97),100))-1)," ","")</f>
        <v/>
      </c>
      <c r="C95" s="208" t="str">
        <f t="shared" si="13"/>
        <v/>
      </c>
      <c r="D95" s="208" t="str">
        <f t="shared" si="14"/>
        <v/>
      </c>
      <c r="E95" s="209" t="str">
        <f t="shared" si="15"/>
        <v/>
      </c>
      <c r="F95" s="210" t="str">
        <f>SUBSTITUTE(LEFT(Parameters!C97,IF(IFERROR(FIND("[",Parameters!C97),100)&gt;IFERROR(FIND("(",Parameters!C97),100),IFERROR(FIND("(",Parameters!C97),100),IFERROR(FIND("[",Parameters!C97),100))-1)," ","")</f>
        <v/>
      </c>
      <c r="H95" s="208" t="str">
        <f t="shared" si="16"/>
        <v/>
      </c>
      <c r="I95" s="208" t="str">
        <f t="shared" si="17"/>
        <v/>
      </c>
      <c r="J95" s="209" t="str">
        <f t="shared" si="18"/>
        <v/>
      </c>
      <c r="K95" t="str">
        <f>SUBSTITUTE(LEFT(Parameters!D97,IF(IFERROR(FIND("[",Parameters!D97),100)&gt;IFERROR(FIND("(",Parameters!D97),100),IFERROR(FIND("(",Parameters!D97),100),IFERROR(FIND("[",Parameters!D97),100))-1)," ","")</f>
        <v/>
      </c>
      <c r="M95" t="str">
        <f t="shared" si="19"/>
        <v/>
      </c>
      <c r="N95" s="208" t="str">
        <f t="shared" si="20"/>
        <v/>
      </c>
      <c r="O95" s="209" t="str">
        <f t="shared" si="21"/>
        <v/>
      </c>
      <c r="P95" s="211" t="str">
        <f t="shared" si="22"/>
        <v/>
      </c>
      <c r="Q95">
        <f>Parameters!E97</f>
        <v>167</v>
      </c>
      <c r="R95" t="str">
        <f>Parameters!F97</f>
        <v>QFOHighLimitMin</v>
      </c>
      <c r="S95" t="str">
        <f t="shared" si="23"/>
        <v>QFOHighLimitMin : REAL;</v>
      </c>
    </row>
    <row r="96" spans="1:19" x14ac:dyDescent="0.45">
      <c r="A96" s="208" t="str">
        <f>SUBSTITUTE(LEFT(Parameters!B98,IF(IFERROR(FIND("[",Parameters!B98),100)&gt;IFERROR(FIND("(",Parameters!B98),100),IFERROR(FIND("(",Parameters!B98),100),IFERROR(FIND("[",Parameters!B98),100))-1)," ","")</f>
        <v/>
      </c>
      <c r="C96" s="208" t="str">
        <f t="shared" si="13"/>
        <v/>
      </c>
      <c r="D96" s="208" t="str">
        <f t="shared" si="14"/>
        <v/>
      </c>
      <c r="E96" s="209" t="str">
        <f t="shared" si="15"/>
        <v/>
      </c>
      <c r="F96" s="210" t="str">
        <f>SUBSTITUTE(LEFT(Parameters!C98,IF(IFERROR(FIND("[",Parameters!C98),100)&gt;IFERROR(FIND("(",Parameters!C98),100),IFERROR(FIND("(",Parameters!C98),100),IFERROR(FIND("[",Parameters!C98),100))-1)," ","")</f>
        <v/>
      </c>
      <c r="H96" s="208" t="str">
        <f t="shared" si="16"/>
        <v/>
      </c>
      <c r="I96" s="208" t="str">
        <f t="shared" si="17"/>
        <v/>
      </c>
      <c r="J96" s="209" t="str">
        <f t="shared" si="18"/>
        <v/>
      </c>
      <c r="K96" t="str">
        <f>SUBSTITUTE(LEFT(Parameters!D98,IF(IFERROR(FIND("[",Parameters!D98),100)&gt;IFERROR(FIND("(",Parameters!D98),100),IFERROR(FIND("(",Parameters!D98),100),IFERROR(FIND("[",Parameters!D98),100))-1)," ","")</f>
        <v/>
      </c>
      <c r="M96" t="str">
        <f t="shared" si="19"/>
        <v/>
      </c>
      <c r="N96" s="208" t="str">
        <f t="shared" si="20"/>
        <v/>
      </c>
      <c r="O96" s="209" t="str">
        <f t="shared" si="21"/>
        <v/>
      </c>
      <c r="P96" s="211" t="str">
        <f t="shared" si="22"/>
        <v/>
      </c>
      <c r="Q96">
        <f>Parameters!E98</f>
        <v>168</v>
      </c>
      <c r="R96" t="str">
        <f>Parameters!F98</f>
        <v>QFOLowLimitValue</v>
      </c>
      <c r="S96" t="str">
        <f t="shared" si="23"/>
        <v>QFOLowLimitValue : REAL;</v>
      </c>
    </row>
    <row r="97" spans="1:22" x14ac:dyDescent="0.45">
      <c r="A97" s="208" t="str">
        <f>SUBSTITUTE(LEFT(Parameters!B99,IF(IFERROR(FIND("[",Parameters!B99),100)&gt;IFERROR(FIND("(",Parameters!B99),100),IFERROR(FIND("(",Parameters!B99),100),IFERROR(FIND("[",Parameters!B99),100))-1)," ","")</f>
        <v/>
      </c>
      <c r="C97" s="208" t="str">
        <f t="shared" si="13"/>
        <v/>
      </c>
      <c r="D97" s="208" t="str">
        <f t="shared" si="14"/>
        <v/>
      </c>
      <c r="E97" s="209" t="str">
        <f t="shared" si="15"/>
        <v/>
      </c>
      <c r="F97" s="210" t="str">
        <f>SUBSTITUTE(LEFT(Parameters!C99,IF(IFERROR(FIND("[",Parameters!C99),100)&gt;IFERROR(FIND("(",Parameters!C99),100),IFERROR(FIND("(",Parameters!C99),100),IFERROR(FIND("[",Parameters!C99),100))-1)," ","")</f>
        <v/>
      </c>
      <c r="H97" s="208" t="str">
        <f t="shared" si="16"/>
        <v/>
      </c>
      <c r="I97" s="208" t="str">
        <f t="shared" si="17"/>
        <v/>
      </c>
      <c r="J97" s="209" t="str">
        <f t="shared" si="18"/>
        <v/>
      </c>
      <c r="K97" t="str">
        <f>SUBSTITUTE(LEFT(Parameters!D99,IF(IFERROR(FIND("[",Parameters!D99),100)&gt;IFERROR(FIND("(",Parameters!D99),100),IFERROR(FIND("(",Parameters!D99),100),IFERROR(FIND("[",Parameters!D99),100))-1)," ","")</f>
        <v/>
      </c>
      <c r="M97" t="str">
        <f t="shared" si="19"/>
        <v/>
      </c>
      <c r="N97" s="208" t="str">
        <f t="shared" si="20"/>
        <v/>
      </c>
      <c r="O97" s="209" t="str">
        <f t="shared" si="21"/>
        <v/>
      </c>
      <c r="P97" s="211" t="str">
        <f t="shared" si="22"/>
        <v/>
      </c>
      <c r="Q97">
        <f>Parameters!E99</f>
        <v>169</v>
      </c>
      <c r="R97" t="str">
        <f>Parameters!F99</f>
        <v>FOCValHighLimitValue</v>
      </c>
      <c r="S97" t="str">
        <f t="shared" si="23"/>
        <v>FOCValHighLimitValue : REAL;</v>
      </c>
    </row>
    <row r="98" spans="1:22" x14ac:dyDescent="0.45">
      <c r="A98" s="208" t="str">
        <f>SUBSTITUTE(LEFT(Parameters!B100,IF(IFERROR(FIND("[",Parameters!B100),100)&gt;IFERROR(FIND("(",Parameters!B100),100),IFERROR(FIND("(",Parameters!B100),100),IFERROR(FIND("[",Parameters!B100),100))-1)," ","")</f>
        <v/>
      </c>
      <c r="C98" s="208" t="str">
        <f t="shared" si="13"/>
        <v/>
      </c>
      <c r="D98" s="208" t="str">
        <f t="shared" si="14"/>
        <v/>
      </c>
      <c r="E98" s="209" t="str">
        <f t="shared" si="15"/>
        <v/>
      </c>
      <c r="F98" s="210" t="str">
        <f>SUBSTITUTE(LEFT(Parameters!C100,IF(IFERROR(FIND("[",Parameters!C100),100)&gt;IFERROR(FIND("(",Parameters!C100),100),IFERROR(FIND("(",Parameters!C100),100),IFERROR(FIND("[",Parameters!C100),100))-1)," ","")</f>
        <v/>
      </c>
      <c r="H98" s="208" t="str">
        <f t="shared" si="16"/>
        <v/>
      </c>
      <c r="I98" s="208" t="str">
        <f t="shared" si="17"/>
        <v/>
      </c>
      <c r="J98" s="209" t="str">
        <f t="shared" si="18"/>
        <v/>
      </c>
      <c r="K98" t="str">
        <f>SUBSTITUTE(LEFT(Parameters!D100,IF(IFERROR(FIND("[",Parameters!D100),100)&gt;IFERROR(FIND("(",Parameters!D100),100),IFERROR(FIND("(",Parameters!D100),100),IFERROR(FIND("[",Parameters!D100),100))-1)," ","")</f>
        <v/>
      </c>
      <c r="M98" t="str">
        <f t="shared" si="19"/>
        <v/>
      </c>
      <c r="N98" s="208" t="str">
        <f t="shared" si="20"/>
        <v/>
      </c>
      <c r="O98" s="209" t="str">
        <f t="shared" si="21"/>
        <v/>
      </c>
      <c r="P98" s="211" t="str">
        <f t="shared" si="22"/>
        <v/>
      </c>
      <c r="Q98">
        <f>Parameters!E100</f>
        <v>170</v>
      </c>
      <c r="R98" t="str">
        <f>Parameters!F100</f>
        <v>FOCValLowLimitValue</v>
      </c>
      <c r="S98" t="str">
        <f t="shared" si="23"/>
        <v>FOCValLowLimitValue : REAL;</v>
      </c>
    </row>
    <row r="99" spans="1:22" x14ac:dyDescent="0.45">
      <c r="A99" s="208" t="str">
        <f>SUBSTITUTE(LEFT(Parameters!B101,IF(IFERROR(FIND("[",Parameters!B101),100)&gt;IFERROR(FIND("(",Parameters!B101),100),IFERROR(FIND("(",Parameters!B101),100),IFERROR(FIND("[",Parameters!B101),100))-1)," ","")</f>
        <v/>
      </c>
      <c r="C99" s="208" t="str">
        <f t="shared" si="13"/>
        <v/>
      </c>
      <c r="D99" s="208" t="str">
        <f t="shared" si="14"/>
        <v/>
      </c>
      <c r="E99" s="209" t="str">
        <f t="shared" si="15"/>
        <v/>
      </c>
      <c r="F99" s="210" t="str">
        <f>SUBSTITUTE(LEFT(Parameters!C101,IF(IFERROR(FIND("[",Parameters!C101),100)&gt;IFERROR(FIND("(",Parameters!C101),100),IFERROR(FIND("(",Parameters!C101),100),IFERROR(FIND("[",Parameters!C101),100))-1)," ","")</f>
        <v/>
      </c>
      <c r="H99" s="208" t="str">
        <f t="shared" si="16"/>
        <v/>
      </c>
      <c r="I99" s="208" t="str">
        <f t="shared" si="17"/>
        <v/>
      </c>
      <c r="J99" s="209" t="str">
        <f t="shared" si="18"/>
        <v/>
      </c>
      <c r="K99" t="str">
        <f>SUBSTITUTE(LEFT(Parameters!D101,IF(IFERROR(FIND("[",Parameters!D101),100)&gt;IFERROR(FIND("(",Parameters!D101),100),IFERROR(FIND("(",Parameters!D101),100),IFERROR(FIND("[",Parameters!D101),100))-1)," ","")</f>
        <v/>
      </c>
      <c r="M99" t="str">
        <f t="shared" si="19"/>
        <v/>
      </c>
      <c r="N99" s="208" t="str">
        <f t="shared" si="20"/>
        <v/>
      </c>
      <c r="O99" s="209" t="str">
        <f t="shared" si="21"/>
        <v/>
      </c>
      <c r="P99" s="211" t="str">
        <f t="shared" si="22"/>
        <v/>
      </c>
      <c r="Q99">
        <f>Parameters!E101</f>
        <v>171</v>
      </c>
      <c r="R99" t="str">
        <f>Parameters!F101</f>
        <v>FODSDosingReserved11</v>
      </c>
      <c r="S99" t="str">
        <f t="shared" si="23"/>
        <v>FODSDosingReserved11 : REAL;</v>
      </c>
    </row>
    <row r="100" spans="1:22" x14ac:dyDescent="0.45">
      <c r="A100" s="208" t="str">
        <f>SUBSTITUTE(LEFT(Parameters!B102,IF(IFERROR(FIND("[",Parameters!B102),100)&gt;IFERROR(FIND("(",Parameters!B102),100),IFERROR(FIND("(",Parameters!B102),100),IFERROR(FIND("[",Parameters!B102),100))-1)," ","")</f>
        <v/>
      </c>
      <c r="C100" s="208" t="str">
        <f t="shared" si="13"/>
        <v/>
      </c>
      <c r="D100" s="208" t="str">
        <f t="shared" si="14"/>
        <v/>
      </c>
      <c r="E100" s="209" t="str">
        <f t="shared" si="15"/>
        <v/>
      </c>
      <c r="F100" s="210" t="str">
        <f>SUBSTITUTE(LEFT(Parameters!C102,IF(IFERROR(FIND("[",Parameters!C102),100)&gt;IFERROR(FIND("(",Parameters!C102),100),IFERROR(FIND("(",Parameters!C102),100),IFERROR(FIND("[",Parameters!C102),100))-1)," ","")</f>
        <v/>
      </c>
      <c r="H100" s="208" t="str">
        <f t="shared" si="16"/>
        <v/>
      </c>
      <c r="I100" s="208" t="str">
        <f t="shared" si="17"/>
        <v/>
      </c>
      <c r="J100" s="209" t="str">
        <f t="shared" si="18"/>
        <v/>
      </c>
      <c r="K100" t="str">
        <f>SUBSTITUTE(LEFT(Parameters!D102,IF(IFERROR(FIND("[",Parameters!D102),100)&gt;IFERROR(FIND("(",Parameters!D102),100),IFERROR(FIND("(",Parameters!D102),100),IFERROR(FIND("[",Parameters!D102),100))-1)," ","")</f>
        <v/>
      </c>
      <c r="M100" t="str">
        <f t="shared" si="19"/>
        <v/>
      </c>
      <c r="N100" s="208" t="str">
        <f t="shared" si="20"/>
        <v/>
      </c>
      <c r="O100" s="209" t="str">
        <f t="shared" si="21"/>
        <v/>
      </c>
      <c r="P100" s="211" t="str">
        <f t="shared" si="22"/>
        <v/>
      </c>
      <c r="Q100">
        <f>Parameters!E102</f>
        <v>172</v>
      </c>
      <c r="R100" t="str">
        <f>Parameters!F102</f>
        <v>FODSDosingReserved12</v>
      </c>
      <c r="S100" t="str">
        <f t="shared" si="23"/>
        <v>FODSDosingReserved12 : REAL;</v>
      </c>
    </row>
    <row r="101" spans="1:22" x14ac:dyDescent="0.45">
      <c r="A101" s="208" t="str">
        <f>SUBSTITUTE(LEFT(Parameters!B103,IF(IFERROR(FIND("[",Parameters!B103),100)&gt;IFERROR(FIND("(",Parameters!B103),100),IFERROR(FIND("(",Parameters!B103),100),IFERROR(FIND("[",Parameters!B103),100))-1)," ","")</f>
        <v/>
      </c>
      <c r="C101" s="208" t="str">
        <f t="shared" si="13"/>
        <v/>
      </c>
      <c r="D101" s="208" t="str">
        <f t="shared" si="14"/>
        <v/>
      </c>
      <c r="E101" s="209" t="str">
        <f t="shared" si="15"/>
        <v/>
      </c>
      <c r="F101" s="210" t="str">
        <f>SUBSTITUTE(LEFT(Parameters!C103,IF(IFERROR(FIND("[",Parameters!C103),100)&gt;IFERROR(FIND("(",Parameters!C103),100),IFERROR(FIND("(",Parameters!C103),100),IFERROR(FIND("[",Parameters!C103),100))-1)," ","")</f>
        <v/>
      </c>
      <c r="H101" s="208" t="str">
        <f t="shared" si="16"/>
        <v/>
      </c>
      <c r="I101" s="208" t="str">
        <f t="shared" si="17"/>
        <v/>
      </c>
      <c r="J101" s="209" t="str">
        <f t="shared" si="18"/>
        <v/>
      </c>
      <c r="K101" t="str">
        <f>SUBSTITUTE(LEFT(Parameters!D103,IF(IFERROR(FIND("[",Parameters!D103),100)&gt;IFERROR(FIND("(",Parameters!D103),100),IFERROR(FIND("(",Parameters!D103),100),IFERROR(FIND("[",Parameters!D103),100))-1)," ","")</f>
        <v/>
      </c>
      <c r="M101" t="str">
        <f t="shared" si="19"/>
        <v/>
      </c>
      <c r="N101" s="208" t="str">
        <f t="shared" si="20"/>
        <v/>
      </c>
      <c r="O101" s="209" t="str">
        <f t="shared" si="21"/>
        <v/>
      </c>
      <c r="P101" s="211" t="str">
        <f t="shared" si="22"/>
        <v/>
      </c>
      <c r="Q101">
        <f>Parameters!E103</f>
        <v>173</v>
      </c>
      <c r="R101" t="str">
        <f>Parameters!F103</f>
        <v>FODSDosingReserved13</v>
      </c>
      <c r="S101" t="str">
        <f t="shared" si="23"/>
        <v>FODSDosingReserved13 : REAL;</v>
      </c>
    </row>
    <row r="102" spans="1:22" x14ac:dyDescent="0.45">
      <c r="A102" s="208" t="str">
        <f>SUBSTITUTE(LEFT(Parameters!B104,IF(IFERROR(FIND("[",Parameters!B104),100)&gt;IFERROR(FIND("(",Parameters!B104),100),IFERROR(FIND("(",Parameters!B104),100),IFERROR(FIND("[",Parameters!B104),100))-1)," ","")</f>
        <v/>
      </c>
      <c r="C102" s="208" t="str">
        <f t="shared" si="13"/>
        <v/>
      </c>
      <c r="D102" s="208" t="str">
        <f t="shared" si="14"/>
        <v/>
      </c>
      <c r="E102" s="209" t="str">
        <f t="shared" si="15"/>
        <v/>
      </c>
      <c r="F102" s="210" t="str">
        <f>SUBSTITUTE(LEFT(Parameters!C104,IF(IFERROR(FIND("[",Parameters!C104),100)&gt;IFERROR(FIND("(",Parameters!C104),100),IFERROR(FIND("(",Parameters!C104),100),IFERROR(FIND("[",Parameters!C104),100))-1)," ","")</f>
        <v/>
      </c>
      <c r="H102" s="208" t="str">
        <f t="shared" si="16"/>
        <v/>
      </c>
      <c r="I102" s="208" t="str">
        <f t="shared" si="17"/>
        <v/>
      </c>
      <c r="J102" s="209" t="str">
        <f t="shared" si="18"/>
        <v/>
      </c>
      <c r="K102" t="str">
        <f>SUBSTITUTE(LEFT(Parameters!D104,IF(IFERROR(FIND("[",Parameters!D104),100)&gt;IFERROR(FIND("(",Parameters!D104),100),IFERROR(FIND("(",Parameters!D104),100),IFERROR(FIND("[",Parameters!D104),100))-1)," ","")</f>
        <v/>
      </c>
      <c r="M102" t="str">
        <f t="shared" si="19"/>
        <v/>
      </c>
      <c r="N102" s="208" t="str">
        <f t="shared" si="20"/>
        <v/>
      </c>
      <c r="O102" s="209" t="str">
        <f t="shared" si="21"/>
        <v/>
      </c>
      <c r="P102" s="211" t="str">
        <f t="shared" si="22"/>
        <v/>
      </c>
      <c r="Q102">
        <f>Parameters!E104</f>
        <v>174</v>
      </c>
      <c r="R102" t="str">
        <f>Parameters!F104</f>
        <v>FODSDosingReserved14</v>
      </c>
      <c r="S102" t="str">
        <f t="shared" si="23"/>
        <v>FODSDosingReserved14 : REAL;</v>
      </c>
    </row>
    <row r="103" spans="1:22" x14ac:dyDescent="0.45">
      <c r="A103" s="208" t="str">
        <f>SUBSTITUTE(LEFT(Parameters!B105,IF(IFERROR(FIND("[",Parameters!B105),100)&gt;IFERROR(FIND("(",Parameters!B105),100),IFERROR(FIND("(",Parameters!B105),100),IFERROR(FIND("[",Parameters!B105),100))-1)," ","")</f>
        <v/>
      </c>
      <c r="C103" s="208" t="str">
        <f t="shared" si="13"/>
        <v/>
      </c>
      <c r="D103" s="208" t="str">
        <f t="shared" si="14"/>
        <v/>
      </c>
      <c r="E103" s="209" t="str">
        <f t="shared" si="15"/>
        <v/>
      </c>
      <c r="F103" s="210" t="str">
        <f>SUBSTITUTE(LEFT(Parameters!C105,IF(IFERROR(FIND("[",Parameters!C105),100)&gt;IFERROR(FIND("(",Parameters!C105),100),IFERROR(FIND("(",Parameters!C105),100),IFERROR(FIND("[",Parameters!C105),100))-1)," ","")</f>
        <v/>
      </c>
      <c r="H103" s="208" t="str">
        <f t="shared" si="16"/>
        <v/>
      </c>
      <c r="I103" s="208" t="str">
        <f t="shared" si="17"/>
        <v/>
      </c>
      <c r="J103" s="209" t="str">
        <f t="shared" si="18"/>
        <v/>
      </c>
      <c r="K103" t="str">
        <f>SUBSTITUTE(LEFT(Parameters!D105,IF(IFERROR(FIND("[",Parameters!D105),100)&gt;IFERROR(FIND("(",Parameters!D105),100),IFERROR(FIND("(",Parameters!D105),100),IFERROR(FIND("[",Parameters!D105),100))-1)," ","")</f>
        <v>FODSFlushing</v>
      </c>
      <c r="M103" t="str">
        <f t="shared" si="19"/>
        <v/>
      </c>
      <c r="N103" s="208" t="str">
        <f t="shared" si="20"/>
        <v/>
      </c>
      <c r="O103" s="209" t="str">
        <f t="shared" si="21"/>
        <v/>
      </c>
      <c r="P103" s="211" t="str">
        <f t="shared" si="22"/>
        <v>FODSFlushing</v>
      </c>
      <c r="Q103">
        <f>Parameters!E105</f>
        <v>175</v>
      </c>
      <c r="R103" t="str">
        <f>Parameters!F105</f>
        <v>FOReturnDelay</v>
      </c>
      <c r="S103" t="str">
        <f t="shared" si="23"/>
        <v>FOReturnDelay : REAL;</v>
      </c>
    </row>
    <row r="104" spans="1:22" x14ac:dyDescent="0.45">
      <c r="A104" s="208" t="str">
        <f>SUBSTITUTE(LEFT(Parameters!B106,IF(IFERROR(FIND("[",Parameters!B106),100)&gt;IFERROR(FIND("(",Parameters!B106),100),IFERROR(FIND("(",Parameters!B106),100),IFERROR(FIND("[",Parameters!B106),100))-1)," ","")</f>
        <v/>
      </c>
      <c r="C104" s="208" t="str">
        <f t="shared" si="13"/>
        <v/>
      </c>
      <c r="D104" s="208" t="str">
        <f t="shared" si="14"/>
        <v/>
      </c>
      <c r="E104" s="209" t="str">
        <f t="shared" si="15"/>
        <v/>
      </c>
      <c r="F104" s="210" t="str">
        <f>SUBSTITUTE(LEFT(Parameters!C106,IF(IFERROR(FIND("[",Parameters!C106),100)&gt;IFERROR(FIND("(",Parameters!C106),100),IFERROR(FIND("(",Parameters!C106),100),IFERROR(FIND("[",Parameters!C106),100))-1)," ","")</f>
        <v/>
      </c>
      <c r="H104" s="208" t="str">
        <f t="shared" si="16"/>
        <v/>
      </c>
      <c r="I104" s="208" t="str">
        <f t="shared" si="17"/>
        <v/>
      </c>
      <c r="J104" s="209" t="str">
        <f t="shared" si="18"/>
        <v/>
      </c>
      <c r="K104" t="str">
        <f>SUBSTITUTE(LEFT(Parameters!D106,IF(IFERROR(FIND("[",Parameters!D106),100)&gt;IFERROR(FIND("(",Parameters!D106),100),IFERROR(FIND("(",Parameters!D106),100),IFERROR(FIND("[",Parameters!D106),100))-1)," ","")</f>
        <v/>
      </c>
      <c r="M104" t="str">
        <f t="shared" si="19"/>
        <v/>
      </c>
      <c r="N104" s="208" t="str">
        <f t="shared" si="20"/>
        <v/>
      </c>
      <c r="O104" s="209" t="str">
        <f t="shared" si="21"/>
        <v/>
      </c>
      <c r="P104" s="211" t="str">
        <f t="shared" si="22"/>
        <v/>
      </c>
      <c r="Q104">
        <f>Parameters!E106</f>
        <v>176</v>
      </c>
      <c r="R104" t="str">
        <f>Parameters!F106</f>
        <v>FOPurgingDuration</v>
      </c>
      <c r="S104" t="str">
        <f t="shared" si="23"/>
        <v>FOPurgingDuration : REAL;</v>
      </c>
    </row>
    <row r="105" spans="1:22" x14ac:dyDescent="0.45">
      <c r="A105" s="208" t="str">
        <f>SUBSTITUTE(LEFT(Parameters!B107,IF(IFERROR(FIND("[",Parameters!B107),100)&gt;IFERROR(FIND("(",Parameters!B107),100),IFERROR(FIND("(",Parameters!B107),100),IFERROR(FIND("[",Parameters!B107),100))-1)," ","")</f>
        <v/>
      </c>
      <c r="C105" s="208" t="str">
        <f t="shared" si="13"/>
        <v/>
      </c>
      <c r="D105" s="208" t="str">
        <f t="shared" si="14"/>
        <v/>
      </c>
      <c r="E105" s="209" t="str">
        <f t="shared" si="15"/>
        <v/>
      </c>
      <c r="F105" s="210" t="str">
        <f>SUBSTITUTE(LEFT(Parameters!C107,IF(IFERROR(FIND("[",Parameters!C107),100)&gt;IFERROR(FIND("(",Parameters!C107),100),IFERROR(FIND("(",Parameters!C107),100),IFERROR(FIND("[",Parameters!C107),100))-1)," ","")</f>
        <v/>
      </c>
      <c r="H105" s="208" t="str">
        <f t="shared" si="16"/>
        <v/>
      </c>
      <c r="I105" s="208" t="str">
        <f t="shared" si="17"/>
        <v/>
      </c>
      <c r="J105" s="209" t="str">
        <f t="shared" si="18"/>
        <v/>
      </c>
      <c r="K105" t="str">
        <f>SUBSTITUTE(LEFT(Parameters!D107,IF(IFERROR(FIND("[",Parameters!D107),100)&gt;IFERROR(FIND("(",Parameters!D107),100),IFERROR(FIND("(",Parameters!D107),100),IFERROR(FIND("[",Parameters!D107),100))-1)," ","")</f>
        <v/>
      </c>
      <c r="M105" t="str">
        <f t="shared" si="19"/>
        <v/>
      </c>
      <c r="N105" s="208" t="str">
        <f t="shared" si="20"/>
        <v/>
      </c>
      <c r="O105" s="209" t="str">
        <f t="shared" si="21"/>
        <v/>
      </c>
      <c r="P105" s="211" t="str">
        <f t="shared" si="22"/>
        <v/>
      </c>
      <c r="Q105">
        <f>Parameters!E107</f>
        <v>177</v>
      </c>
      <c r="R105" t="str">
        <f>Parameters!F107</f>
        <v>FODSFlushingReserved2</v>
      </c>
      <c r="S105" t="str">
        <f t="shared" si="23"/>
        <v>FODSFlushingReserved2 : REAL;</v>
      </c>
    </row>
    <row r="106" spans="1:22" x14ac:dyDescent="0.45">
      <c r="A106" s="208" t="str">
        <f>SUBSTITUTE(LEFT(Parameters!B108,IF(IFERROR(FIND("[",Parameters!B108),100)&gt;IFERROR(FIND("(",Parameters!B108),100),IFERROR(FIND("(",Parameters!B108),100),IFERROR(FIND("[",Parameters!B108),100))-1)," ","")</f>
        <v/>
      </c>
      <c r="C106" s="208" t="str">
        <f t="shared" si="13"/>
        <v/>
      </c>
      <c r="D106" s="208" t="str">
        <f t="shared" si="14"/>
        <v/>
      </c>
      <c r="E106" s="209" t="str">
        <f t="shared" si="15"/>
        <v/>
      </c>
      <c r="F106" s="210" t="str">
        <f>SUBSTITUTE(LEFT(Parameters!C108,IF(IFERROR(FIND("[",Parameters!C108),100)&gt;IFERROR(FIND("(",Parameters!C108),100),IFERROR(FIND("(",Parameters!C108),100),IFERROR(FIND("[",Parameters!C108),100))-1)," ","")</f>
        <v/>
      </c>
      <c r="H106" s="208" t="str">
        <f t="shared" si="16"/>
        <v/>
      </c>
      <c r="I106" s="208" t="str">
        <f t="shared" si="17"/>
        <v/>
      </c>
      <c r="J106" s="209" t="str">
        <f t="shared" si="18"/>
        <v/>
      </c>
      <c r="K106" t="str">
        <f>SUBSTITUTE(LEFT(Parameters!D108,IF(IFERROR(FIND("[",Parameters!D108),100)&gt;IFERROR(FIND("(",Parameters!D108),100),IFERROR(FIND("(",Parameters!D108),100),IFERROR(FIND("[",Parameters!D108),100))-1)," ","")</f>
        <v/>
      </c>
      <c r="M106" t="str">
        <f t="shared" si="19"/>
        <v/>
      </c>
      <c r="N106" s="208" t="str">
        <f t="shared" si="20"/>
        <v/>
      </c>
      <c r="O106" s="209" t="str">
        <f t="shared" si="21"/>
        <v/>
      </c>
      <c r="P106" s="211" t="str">
        <f t="shared" si="22"/>
        <v/>
      </c>
      <c r="Q106">
        <f>Parameters!E108</f>
        <v>178</v>
      </c>
      <c r="R106" t="str">
        <f>Parameters!F108</f>
        <v>FODSFlushingReserved3</v>
      </c>
      <c r="S106" t="str">
        <f t="shared" si="23"/>
        <v>FODSFlushingReserved3 : REAL;</v>
      </c>
    </row>
    <row r="107" spans="1:22" x14ac:dyDescent="0.45">
      <c r="A107" s="208" t="str">
        <f>SUBSTITUTE(LEFT(Parameters!B109,IF(IFERROR(FIND("[",Parameters!B109),100)&gt;IFERROR(FIND("(",Parameters!B109),100),IFERROR(FIND("(",Parameters!B109),100),IFERROR(FIND("[",Parameters!B109),100))-1)," ","")</f>
        <v/>
      </c>
      <c r="C107" s="208" t="str">
        <f t="shared" si="13"/>
        <v/>
      </c>
      <c r="D107" s="208" t="str">
        <f t="shared" si="14"/>
        <v/>
      </c>
      <c r="E107" s="209" t="str">
        <f t="shared" si="15"/>
        <v/>
      </c>
      <c r="F107" s="210" t="str">
        <f>SUBSTITUTE(LEFT(Parameters!C109,IF(IFERROR(FIND("[",Parameters!C109),100)&gt;IFERROR(FIND("(",Parameters!C109),100),IFERROR(FIND("(",Parameters!C109),100),IFERROR(FIND("[",Parameters!C109),100))-1)," ","")</f>
        <v/>
      </c>
      <c r="H107" s="208" t="str">
        <f t="shared" si="16"/>
        <v/>
      </c>
      <c r="I107" s="208" t="str">
        <f t="shared" si="17"/>
        <v/>
      </c>
      <c r="J107" s="209" t="str">
        <f t="shared" si="18"/>
        <v/>
      </c>
      <c r="K107" t="str">
        <f>SUBSTITUTE(LEFT(Parameters!D109,IF(IFERROR(FIND("[",Parameters!D109),100)&gt;IFERROR(FIND("(",Parameters!D109),100),IFERROR(FIND("(",Parameters!D109),100),IFERROR(FIND("[",Parameters!D109),100))-1)," ","")</f>
        <v/>
      </c>
      <c r="M107" t="str">
        <f t="shared" si="19"/>
        <v/>
      </c>
      <c r="N107" s="208" t="str">
        <f t="shared" si="20"/>
        <v/>
      </c>
      <c r="O107" s="209" t="str">
        <f t="shared" si="21"/>
        <v/>
      </c>
      <c r="P107" s="211" t="str">
        <f t="shared" si="22"/>
        <v/>
      </c>
      <c r="Q107">
        <f>Parameters!E109</f>
        <v>179</v>
      </c>
      <c r="R107" t="str">
        <f>Parameters!F109</f>
        <v>FODSFlushingReserved4</v>
      </c>
      <c r="S107" t="str">
        <f t="shared" si="23"/>
        <v>FODSFlushingReserved4 : REAL;</v>
      </c>
    </row>
    <row r="108" spans="1:22" x14ac:dyDescent="0.45">
      <c r="A108" s="208" t="str">
        <f>SUBSTITUTE(LEFT(Parameters!B110,IF(IFERROR(FIND("[",Parameters!B110),100)&gt;IFERROR(FIND("(",Parameters!B110),100),IFERROR(FIND("(",Parameters!B110),100),IFERROR(FIND("[",Parameters!B110),100))-1)," ","")</f>
        <v/>
      </c>
      <c r="C108" s="208" t="str">
        <f t="shared" si="13"/>
        <v/>
      </c>
      <c r="D108" s="208" t="str">
        <f t="shared" si="14"/>
        <v/>
      </c>
      <c r="E108" s="209" t="str">
        <f t="shared" si="15"/>
        <v/>
      </c>
      <c r="F108" s="210" t="str">
        <f>SUBSTITUTE(LEFT(Parameters!C110,IF(IFERROR(FIND("[",Parameters!C110),100)&gt;IFERROR(FIND("(",Parameters!C110),100),IFERROR(FIND("(",Parameters!C110),100),IFERROR(FIND("[",Parameters!C110),100))-1)," ","")</f>
        <v>CommonReservedCat2</v>
      </c>
      <c r="H108" s="208" t="str">
        <f t="shared" si="16"/>
        <v/>
      </c>
      <c r="I108" s="208" t="str">
        <f t="shared" si="17"/>
        <v/>
      </c>
      <c r="J108" s="209" t="str">
        <f t="shared" si="18"/>
        <v/>
      </c>
      <c r="K108" t="str">
        <f>SUBSTITUTE(LEFT(Parameters!D110,IF(IFERROR(FIND("[",Parameters!D110),100)&gt;IFERROR(FIND("(",Parameters!D110),100),IFERROR(FIND("(",Parameters!D110),100),IFERROR(FIND("[",Parameters!D110),100))-1)," ","")</f>
        <v>CommonReservedCat3</v>
      </c>
      <c r="M108" t="str">
        <f t="shared" si="19"/>
        <v/>
      </c>
      <c r="N108" s="208" t="str">
        <f t="shared" si="20"/>
        <v/>
      </c>
      <c r="O108" s="209" t="str">
        <f t="shared" si="21"/>
        <v/>
      </c>
      <c r="P108" s="211" t="str">
        <f t="shared" si="22"/>
        <v>CommonReservedCat3</v>
      </c>
      <c r="Q108">
        <f>Parameters!E110</f>
        <v>180</v>
      </c>
      <c r="R108" t="str">
        <f>Parameters!F110</f>
        <v>CommReserved180</v>
      </c>
      <c r="S108" t="str">
        <f t="shared" si="23"/>
        <v>CommReserved180 : REAL;</v>
      </c>
      <c r="U108" t="s">
        <v>661</v>
      </c>
      <c r="V108" t="str">
        <f t="shared" ref="V108:V127" si="24">IF(U108 = "","",_xlfn.CONCAT(U108," : REAL;"))</f>
        <v>CommReserved180 : REAL;</v>
      </c>
    </row>
    <row r="109" spans="1:22" x14ac:dyDescent="0.45">
      <c r="A109" s="208" t="str">
        <f>SUBSTITUTE(LEFT(Parameters!B111,IF(IFERROR(FIND("[",Parameters!B111),100)&gt;IFERROR(FIND("(",Parameters!B111),100),IFERROR(FIND("(",Parameters!B111),100),IFERROR(FIND("[",Parameters!B111),100))-1)," ","")</f>
        <v/>
      </c>
      <c r="C109" s="208" t="str">
        <f t="shared" si="13"/>
        <v/>
      </c>
      <c r="D109" s="208" t="str">
        <f t="shared" si="14"/>
        <v/>
      </c>
      <c r="E109" s="209" t="str">
        <f t="shared" si="15"/>
        <v/>
      </c>
      <c r="F109" s="210" t="str">
        <f>SUBSTITUTE(LEFT(Parameters!C111,IF(IFERROR(FIND("[",Parameters!C111),100)&gt;IFERROR(FIND("(",Parameters!C111),100),IFERROR(FIND("(",Parameters!C111),100),IFERROR(FIND("[",Parameters!C111),100))-1)," ","")</f>
        <v/>
      </c>
      <c r="H109" s="208" t="str">
        <f t="shared" si="16"/>
        <v/>
      </c>
      <c r="I109" s="208" t="str">
        <f t="shared" si="17"/>
        <v/>
      </c>
      <c r="J109" s="209" t="str">
        <f t="shared" si="18"/>
        <v/>
      </c>
      <c r="K109" t="str">
        <f>SUBSTITUTE(LEFT(Parameters!D111,IF(IFERROR(FIND("[",Parameters!D111),100)&gt;IFERROR(FIND("(",Parameters!D111),100),IFERROR(FIND("(",Parameters!D111),100),IFERROR(FIND("[",Parameters!D111),100))-1)," ","")</f>
        <v/>
      </c>
      <c r="M109" t="str">
        <f t="shared" si="19"/>
        <v/>
      </c>
      <c r="N109" s="208" t="str">
        <f t="shared" si="20"/>
        <v/>
      </c>
      <c r="O109" s="209" t="str">
        <f t="shared" si="21"/>
        <v/>
      </c>
      <c r="P109" s="211" t="str">
        <f t="shared" si="22"/>
        <v/>
      </c>
      <c r="Q109" t="str">
        <f>Parameters!E111</f>
        <v>...</v>
      </c>
      <c r="R109" t="str">
        <f>Parameters!F111</f>
        <v>...</v>
      </c>
      <c r="S109" t="str">
        <f t="shared" si="23"/>
        <v>... : REAL;</v>
      </c>
      <c r="U109" t="s">
        <v>662</v>
      </c>
      <c r="V109" t="str">
        <f t="shared" si="24"/>
        <v>CommReserved181 : REAL;</v>
      </c>
    </row>
    <row r="110" spans="1:22" x14ac:dyDescent="0.45">
      <c r="A110" s="208" t="str">
        <f>SUBSTITUTE(LEFT(Parameters!B112,IF(IFERROR(FIND("[",Parameters!B112),100)&gt;IFERROR(FIND("(",Parameters!B112),100),IFERROR(FIND("(",Parameters!B112),100),IFERROR(FIND("[",Parameters!B112),100))-1)," ","")</f>
        <v/>
      </c>
      <c r="C110" s="208" t="str">
        <f t="shared" si="13"/>
        <v/>
      </c>
      <c r="D110" s="208" t="str">
        <f t="shared" si="14"/>
        <v/>
      </c>
      <c r="E110" s="209" t="str">
        <f t="shared" si="15"/>
        <v/>
      </c>
      <c r="F110" s="210" t="str">
        <f>SUBSTITUTE(LEFT(Parameters!C112,IF(IFERROR(FIND("[",Parameters!C112),100)&gt;IFERROR(FIND("(",Parameters!C112),100),IFERROR(FIND("(",Parameters!C112),100),IFERROR(FIND("[",Parameters!C112),100))-1)," ","")</f>
        <v/>
      </c>
      <c r="H110" s="208" t="str">
        <f t="shared" si="16"/>
        <v/>
      </c>
      <c r="I110" s="208" t="str">
        <f t="shared" si="17"/>
        <v/>
      </c>
      <c r="J110" s="209" t="str">
        <f t="shared" si="18"/>
        <v/>
      </c>
      <c r="K110" t="str">
        <f>SUBSTITUTE(LEFT(Parameters!D112,IF(IFERROR(FIND("[",Parameters!D112),100)&gt;IFERROR(FIND("(",Parameters!D112),100),IFERROR(FIND("(",Parameters!D112),100),IFERROR(FIND("[",Parameters!D112),100))-1)," ","")</f>
        <v/>
      </c>
      <c r="M110" t="str">
        <f t="shared" si="19"/>
        <v/>
      </c>
      <c r="N110" s="208" t="str">
        <f t="shared" si="20"/>
        <v/>
      </c>
      <c r="O110" s="209" t="str">
        <f t="shared" si="21"/>
        <v/>
      </c>
      <c r="P110" s="211" t="str">
        <f t="shared" si="22"/>
        <v/>
      </c>
      <c r="Q110">
        <f>Parameters!E112</f>
        <v>199</v>
      </c>
      <c r="R110" t="str">
        <f>Parameters!F112</f>
        <v>CommReserved199</v>
      </c>
      <c r="S110" t="str">
        <f t="shared" si="23"/>
        <v>CommReserved199 : REAL;</v>
      </c>
      <c r="U110" t="s">
        <v>663</v>
      </c>
      <c r="V110" t="str">
        <f t="shared" si="24"/>
        <v>CommReserved182 : REAL;</v>
      </c>
    </row>
    <row r="111" spans="1:22" x14ac:dyDescent="0.45">
      <c r="A111" s="208" t="str">
        <f>SUBSTITUTE(LEFT(Parameters!B113,IF(IFERROR(FIND("[",Parameters!B113),100)&gt;IFERROR(FIND("(",Parameters!B113),100),IFERROR(FIND("(",Parameters!B113),100),IFERROR(FIND("[",Parameters!B113),100))-1)," ","")</f>
        <v>Indiv</v>
      </c>
      <c r="C111" s="208" t="str">
        <f t="shared" si="13"/>
        <v/>
      </c>
      <c r="D111" s="208" t="str">
        <f t="shared" si="14"/>
        <v/>
      </c>
      <c r="E111" s="209" t="str">
        <f t="shared" si="15"/>
        <v/>
      </c>
      <c r="F111" s="210" t="str">
        <f>SUBSTITUTE(LEFT(Parameters!C113,IF(IFERROR(FIND("[",Parameters!C113),100)&gt;IFERROR(FIND("(",Parameters!C113),100),IFERROR(FIND("(",Parameters!C113),100),IFERROR(FIND("[",Parameters!C113),100))-1)," ","")</f>
        <v>FODSFeedforward</v>
      </c>
      <c r="H111" s="208" t="str">
        <f t="shared" si="16"/>
        <v/>
      </c>
      <c r="I111" s="208" t="str">
        <f t="shared" si="17"/>
        <v/>
      </c>
      <c r="J111" s="209" t="str">
        <f t="shared" si="18"/>
        <v/>
      </c>
      <c r="K111" t="str">
        <f>SUBSTITUTE(LEFT(Parameters!D113,IF(IFERROR(FIND("[",Parameters!D113),100)&gt;IFERROR(FIND("(",Parameters!D113),100),IFERROR(FIND("(",Parameters!D113),100),IFERROR(FIND("[",Parameters!D113),100))-1)," ","")</f>
        <v>FFpara</v>
      </c>
      <c r="M111" t="str">
        <f t="shared" si="19"/>
        <v/>
      </c>
      <c r="N111" s="208" t="str">
        <f t="shared" si="20"/>
        <v/>
      </c>
      <c r="O111" s="209" t="str">
        <f t="shared" si="21"/>
        <v/>
      </c>
      <c r="P111" s="211" t="str">
        <f t="shared" si="22"/>
        <v>FFpara</v>
      </c>
      <c r="Q111">
        <f>Parameters!E113</f>
        <v>0</v>
      </c>
      <c r="R111" t="str">
        <f>Parameters!F113</f>
        <v>NumTableRow</v>
      </c>
      <c r="S111" t="str">
        <f t="shared" si="23"/>
        <v>NumTableRow : REAL;</v>
      </c>
      <c r="U111" t="s">
        <v>664</v>
      </c>
      <c r="V111" t="str">
        <f t="shared" si="24"/>
        <v>CommReserved183 : REAL;</v>
      </c>
    </row>
    <row r="112" spans="1:22" x14ac:dyDescent="0.45">
      <c r="A112" s="208" t="str">
        <f>SUBSTITUTE(LEFT(Parameters!B114,IF(IFERROR(FIND("[",Parameters!B114),100)&gt;IFERROR(FIND("(",Parameters!B114),100),IFERROR(FIND("(",Parameters!B114),100),IFERROR(FIND("[",Parameters!B114),100))-1)," ","")</f>
        <v/>
      </c>
      <c r="C112" s="208" t="str">
        <f t="shared" si="13"/>
        <v/>
      </c>
      <c r="D112" s="208" t="str">
        <f t="shared" si="14"/>
        <v/>
      </c>
      <c r="E112" s="209" t="str">
        <f t="shared" si="15"/>
        <v/>
      </c>
      <c r="F112" s="210" t="str">
        <f>SUBSTITUTE(LEFT(Parameters!C114,IF(IFERROR(FIND("[",Parameters!C114),100)&gt;IFERROR(FIND("(",Parameters!C114),100),IFERROR(FIND("(",Parameters!C114),100),IFERROR(FIND("[",Parameters!C114),100))-1)," ","")</f>
        <v/>
      </c>
      <c r="H112" s="208" t="str">
        <f t="shared" si="16"/>
        <v/>
      </c>
      <c r="I112" s="208" t="str">
        <f t="shared" si="17"/>
        <v/>
      </c>
      <c r="J112" s="209" t="str">
        <f t="shared" si="18"/>
        <v/>
      </c>
      <c r="K112" t="str">
        <f>SUBSTITUTE(LEFT(Parameters!D114,IF(IFERROR(FIND("[",Parameters!D114),100)&gt;IFERROR(FIND("(",Parameters!D114),100),IFERROR(FIND("(",Parameters!D114),100),IFERROR(FIND("[",Parameters!D114),100))-1)," ","")</f>
        <v/>
      </c>
      <c r="M112" t="str">
        <f t="shared" si="19"/>
        <v/>
      </c>
      <c r="N112" s="208" t="str">
        <f t="shared" si="20"/>
        <v/>
      </c>
      <c r="O112" s="209" t="str">
        <f t="shared" si="21"/>
        <v/>
      </c>
      <c r="P112" s="211" t="str">
        <f t="shared" si="22"/>
        <v/>
      </c>
      <c r="Q112">
        <f>Parameters!E114</f>
        <v>1</v>
      </c>
      <c r="R112" t="str">
        <f>Parameters!F114</f>
        <v>HeatLossTemp</v>
      </c>
      <c r="S112" t="str">
        <f t="shared" si="23"/>
        <v>HeatLossTemp : REAL;</v>
      </c>
      <c r="U112" t="s">
        <v>665</v>
      </c>
      <c r="V112" t="str">
        <f t="shared" si="24"/>
        <v>CommReserved184 : REAL;</v>
      </c>
    </row>
    <row r="113" spans="1:22" x14ac:dyDescent="0.45">
      <c r="A113" s="208" t="str">
        <f>SUBSTITUTE(LEFT(Parameters!B115,IF(IFERROR(FIND("[",Parameters!B115),100)&gt;IFERROR(FIND("(",Parameters!B115),100),IFERROR(FIND("(",Parameters!B115),100),IFERROR(FIND("[",Parameters!B115),100))-1)," ","")</f>
        <v/>
      </c>
      <c r="C113" s="208" t="str">
        <f t="shared" si="13"/>
        <v/>
      </c>
      <c r="D113" s="208" t="str">
        <f t="shared" si="14"/>
        <v/>
      </c>
      <c r="E113" s="209" t="str">
        <f t="shared" si="15"/>
        <v/>
      </c>
      <c r="F113" s="210" t="str">
        <f>SUBSTITUTE(LEFT(Parameters!C115,IF(IFERROR(FIND("[",Parameters!C115),100)&gt;IFERROR(FIND("(",Parameters!C115),100),IFERROR(FIND("(",Parameters!C115),100),IFERROR(FIND("[",Parameters!C115),100))-1)," ","")</f>
        <v/>
      </c>
      <c r="H113" s="208" t="str">
        <f t="shared" si="16"/>
        <v/>
      </c>
      <c r="I113" s="208" t="str">
        <f t="shared" si="17"/>
        <v/>
      </c>
      <c r="J113" s="209" t="str">
        <f t="shared" si="18"/>
        <v/>
      </c>
      <c r="K113" t="str">
        <f>SUBSTITUTE(LEFT(Parameters!D115,IF(IFERROR(FIND("[",Parameters!D115),100)&gt;IFERROR(FIND("(",Parameters!D115),100),IFERROR(FIND("(",Parameters!D115),100),IFERROR(FIND("[",Parameters!D115),100))-1)," ","")</f>
        <v>EngineLoad</v>
      </c>
      <c r="M113" t="str">
        <f t="shared" si="19"/>
        <v/>
      </c>
      <c r="N113" s="208" t="str">
        <f t="shared" si="20"/>
        <v/>
      </c>
      <c r="O113" s="209" t="str">
        <f t="shared" si="21"/>
        <v/>
      </c>
      <c r="P113" s="211" t="str">
        <f t="shared" si="22"/>
        <v>EngineLoad</v>
      </c>
      <c r="Q113">
        <f>Parameters!E115</f>
        <v>2</v>
      </c>
      <c r="R113" t="str">
        <f>Parameters!F115</f>
        <v>EngineLoad0</v>
      </c>
      <c r="S113" t="str">
        <f t="shared" si="23"/>
        <v>EngineLoad0 : REAL;</v>
      </c>
      <c r="U113" t="s">
        <v>666</v>
      </c>
      <c r="V113" t="str">
        <f t="shared" si="24"/>
        <v>CommReserved185 : REAL;</v>
      </c>
    </row>
    <row r="114" spans="1:22" x14ac:dyDescent="0.45">
      <c r="A114" s="208" t="str">
        <f>SUBSTITUTE(LEFT(Parameters!B116,IF(IFERROR(FIND("[",Parameters!B116),100)&gt;IFERROR(FIND("(",Parameters!B116),100),IFERROR(FIND("(",Parameters!B116),100),IFERROR(FIND("[",Parameters!B116),100))-1)," ","")</f>
        <v/>
      </c>
      <c r="C114" s="208" t="str">
        <f t="shared" si="13"/>
        <v/>
      </c>
      <c r="D114" s="208" t="str">
        <f t="shared" si="14"/>
        <v/>
      </c>
      <c r="E114" s="209" t="str">
        <f t="shared" si="15"/>
        <v/>
      </c>
      <c r="F114" s="210" t="str">
        <f>SUBSTITUTE(LEFT(Parameters!C116,IF(IFERROR(FIND("[",Parameters!C116),100)&gt;IFERROR(FIND("(",Parameters!C116),100),IFERROR(FIND("(",Parameters!C116),100),IFERROR(FIND("[",Parameters!C116),100))-1)," ","")</f>
        <v/>
      </c>
      <c r="H114" s="208" t="str">
        <f t="shared" si="16"/>
        <v/>
      </c>
      <c r="I114" s="208" t="str">
        <f t="shared" si="17"/>
        <v/>
      </c>
      <c r="J114" s="209" t="str">
        <f t="shared" si="18"/>
        <v/>
      </c>
      <c r="K114" t="str">
        <f>SUBSTITUTE(LEFT(Parameters!D116,IF(IFERROR(FIND("[",Parameters!D116),100)&gt;IFERROR(FIND("(",Parameters!D116),100),IFERROR(FIND("(",Parameters!D116),100),IFERROR(FIND("[",Parameters!D116),100))-1)," ","")</f>
        <v/>
      </c>
      <c r="M114" t="str">
        <f t="shared" si="19"/>
        <v/>
      </c>
      <c r="N114" s="208" t="str">
        <f t="shared" si="20"/>
        <v/>
      </c>
      <c r="O114" s="209" t="str">
        <f t="shared" si="21"/>
        <v/>
      </c>
      <c r="P114" s="211" t="str">
        <f t="shared" si="22"/>
        <v/>
      </c>
      <c r="Q114">
        <f>Parameters!E116</f>
        <v>3</v>
      </c>
      <c r="R114" t="str">
        <f>Parameters!F116</f>
        <v>EngineLoad1</v>
      </c>
      <c r="S114" t="str">
        <f t="shared" si="23"/>
        <v>EngineLoad1 : REAL;</v>
      </c>
      <c r="U114" t="s">
        <v>667</v>
      </c>
      <c r="V114" t="str">
        <f t="shared" si="24"/>
        <v>CommReserved186 : REAL;</v>
      </c>
    </row>
    <row r="115" spans="1:22" x14ac:dyDescent="0.45">
      <c r="A115" s="208" t="str">
        <f>SUBSTITUTE(LEFT(Parameters!B117,IF(IFERROR(FIND("[",Parameters!B117),100)&gt;IFERROR(FIND("(",Parameters!B117),100),IFERROR(FIND("(",Parameters!B117),100),IFERROR(FIND("[",Parameters!B117),100))-1)," ","")</f>
        <v/>
      </c>
      <c r="C115" s="208" t="str">
        <f t="shared" si="13"/>
        <v/>
      </c>
      <c r="D115" s="208" t="str">
        <f t="shared" si="14"/>
        <v/>
      </c>
      <c r="E115" s="209" t="str">
        <f t="shared" si="15"/>
        <v/>
      </c>
      <c r="F115" s="210" t="str">
        <f>SUBSTITUTE(LEFT(Parameters!C117,IF(IFERROR(FIND("[",Parameters!C117),100)&gt;IFERROR(FIND("(",Parameters!C117),100),IFERROR(FIND("(",Parameters!C117),100),IFERROR(FIND("[",Parameters!C117),100))-1)," ","")</f>
        <v/>
      </c>
      <c r="H115" s="208" t="str">
        <f t="shared" si="16"/>
        <v/>
      </c>
      <c r="I115" s="208" t="str">
        <f t="shared" si="17"/>
        <v/>
      </c>
      <c r="J115" s="209" t="str">
        <f t="shared" si="18"/>
        <v/>
      </c>
      <c r="K115" t="str">
        <f>SUBSTITUTE(LEFT(Parameters!D117,IF(IFERROR(FIND("[",Parameters!D117),100)&gt;IFERROR(FIND("(",Parameters!D117),100),IFERROR(FIND("(",Parameters!D117),100),IFERROR(FIND("[",Parameters!D117),100))-1)," ","")</f>
        <v/>
      </c>
      <c r="M115" t="str">
        <f t="shared" si="19"/>
        <v/>
      </c>
      <c r="N115" s="208" t="str">
        <f t="shared" si="20"/>
        <v/>
      </c>
      <c r="O115" s="209" t="str">
        <f t="shared" si="21"/>
        <v/>
      </c>
      <c r="P115" s="211" t="str">
        <f t="shared" si="22"/>
        <v/>
      </c>
      <c r="Q115">
        <f>Parameters!E117</f>
        <v>4</v>
      </c>
      <c r="R115" t="str">
        <f>Parameters!F117</f>
        <v>EngineLoad2</v>
      </c>
      <c r="S115" t="str">
        <f t="shared" si="23"/>
        <v>EngineLoad2 : REAL;</v>
      </c>
      <c r="U115" t="s">
        <v>668</v>
      </c>
      <c r="V115" t="str">
        <f t="shared" si="24"/>
        <v>CommReserved187 : REAL;</v>
      </c>
    </row>
    <row r="116" spans="1:22" x14ac:dyDescent="0.45">
      <c r="A116" s="208" t="str">
        <f>SUBSTITUTE(LEFT(Parameters!B118,IF(IFERROR(FIND("[",Parameters!B118),100)&gt;IFERROR(FIND("(",Parameters!B118),100),IFERROR(FIND("(",Parameters!B118),100),IFERROR(FIND("[",Parameters!B118),100))-1)," ","")</f>
        <v/>
      </c>
      <c r="C116" s="208" t="str">
        <f t="shared" si="13"/>
        <v/>
      </c>
      <c r="D116" s="208" t="str">
        <f t="shared" si="14"/>
        <v/>
      </c>
      <c r="E116" s="209" t="str">
        <f t="shared" si="15"/>
        <v/>
      </c>
      <c r="F116" s="210" t="str">
        <f>SUBSTITUTE(LEFT(Parameters!C118,IF(IFERROR(FIND("[",Parameters!C118),100)&gt;IFERROR(FIND("(",Parameters!C118),100),IFERROR(FIND("(",Parameters!C118),100),IFERROR(FIND("[",Parameters!C118),100))-1)," ","")</f>
        <v/>
      </c>
      <c r="H116" s="208" t="str">
        <f t="shared" si="16"/>
        <v/>
      </c>
      <c r="I116" s="208" t="str">
        <f t="shared" si="17"/>
        <v/>
      </c>
      <c r="J116" s="209" t="str">
        <f t="shared" si="18"/>
        <v/>
      </c>
      <c r="K116" t="str">
        <f>SUBSTITUTE(LEFT(Parameters!D118,IF(IFERROR(FIND("[",Parameters!D118),100)&gt;IFERROR(FIND("(",Parameters!D118),100),IFERROR(FIND("(",Parameters!D118),100),IFERROR(FIND("[",Parameters!D118),100))-1)," ","")</f>
        <v/>
      </c>
      <c r="M116" t="str">
        <f t="shared" si="19"/>
        <v/>
      </c>
      <c r="N116" s="208" t="str">
        <f t="shared" si="20"/>
        <v/>
      </c>
      <c r="O116" s="209" t="str">
        <f t="shared" si="21"/>
        <v/>
      </c>
      <c r="P116" s="211" t="str">
        <f t="shared" si="22"/>
        <v/>
      </c>
      <c r="Q116">
        <f>Parameters!E118</f>
        <v>5</v>
      </c>
      <c r="R116" t="str">
        <f>Parameters!F118</f>
        <v>EngineLoad3</v>
      </c>
      <c r="S116" t="str">
        <f t="shared" si="23"/>
        <v>EngineLoad3 : REAL;</v>
      </c>
      <c r="U116" t="s">
        <v>669</v>
      </c>
      <c r="V116" t="str">
        <f t="shared" si="24"/>
        <v>CommReserved188 : REAL;</v>
      </c>
    </row>
    <row r="117" spans="1:22" x14ac:dyDescent="0.45">
      <c r="A117" s="208" t="str">
        <f>SUBSTITUTE(LEFT(Parameters!B119,IF(IFERROR(FIND("[",Parameters!B119),100)&gt;IFERROR(FIND("(",Parameters!B119),100),IFERROR(FIND("(",Parameters!B119),100),IFERROR(FIND("[",Parameters!B119),100))-1)," ","")</f>
        <v/>
      </c>
      <c r="C117" s="208" t="str">
        <f t="shared" si="13"/>
        <v/>
      </c>
      <c r="D117" s="208" t="str">
        <f t="shared" si="14"/>
        <v/>
      </c>
      <c r="E117" s="209" t="str">
        <f t="shared" si="15"/>
        <v/>
      </c>
      <c r="F117" s="210" t="str">
        <f>SUBSTITUTE(LEFT(Parameters!C119,IF(IFERROR(FIND("[",Parameters!C119),100)&gt;IFERROR(FIND("(",Parameters!C119),100),IFERROR(FIND("(",Parameters!C119),100),IFERROR(FIND("[",Parameters!C119),100))-1)," ","")</f>
        <v/>
      </c>
      <c r="H117" s="208" t="str">
        <f t="shared" si="16"/>
        <v/>
      </c>
      <c r="I117" s="208" t="str">
        <f t="shared" si="17"/>
        <v/>
      </c>
      <c r="J117" s="209" t="str">
        <f t="shared" si="18"/>
        <v/>
      </c>
      <c r="K117" t="str">
        <f>SUBSTITUTE(LEFT(Parameters!D119,IF(IFERROR(FIND("[",Parameters!D119),100)&gt;IFERROR(FIND("(",Parameters!D119),100),IFERROR(FIND("(",Parameters!D119),100),IFERROR(FIND("[",Parameters!D119),100))-1)," ","")</f>
        <v/>
      </c>
      <c r="M117" t="str">
        <f t="shared" si="19"/>
        <v/>
      </c>
      <c r="N117" s="208" t="str">
        <f t="shared" si="20"/>
        <v/>
      </c>
      <c r="O117" s="209" t="str">
        <f t="shared" si="21"/>
        <v/>
      </c>
      <c r="P117" s="211" t="str">
        <f t="shared" si="22"/>
        <v/>
      </c>
      <c r="Q117">
        <f>Parameters!E119</f>
        <v>6</v>
      </c>
      <c r="R117" t="str">
        <f>Parameters!F119</f>
        <v>EngineLoad4</v>
      </c>
      <c r="S117" t="str">
        <f t="shared" si="23"/>
        <v>EngineLoad4 : REAL;</v>
      </c>
      <c r="U117" t="s">
        <v>670</v>
      </c>
      <c r="V117" t="str">
        <f t="shared" si="24"/>
        <v>CommReserved189 : REAL;</v>
      </c>
    </row>
    <row r="118" spans="1:22" x14ac:dyDescent="0.45">
      <c r="A118" s="208" t="str">
        <f>SUBSTITUTE(LEFT(Parameters!B120,IF(IFERROR(FIND("[",Parameters!B120),100)&gt;IFERROR(FIND("(",Parameters!B120),100),IFERROR(FIND("(",Parameters!B120),100),IFERROR(FIND("[",Parameters!B120),100))-1)," ","")</f>
        <v/>
      </c>
      <c r="C118" s="208" t="str">
        <f t="shared" si="13"/>
        <v/>
      </c>
      <c r="D118" s="208" t="str">
        <f t="shared" si="14"/>
        <v/>
      </c>
      <c r="E118" s="209" t="str">
        <f t="shared" si="15"/>
        <v/>
      </c>
      <c r="F118" s="210" t="str">
        <f>SUBSTITUTE(LEFT(Parameters!C120,IF(IFERROR(FIND("[",Parameters!C120),100)&gt;IFERROR(FIND("(",Parameters!C120),100),IFERROR(FIND("(",Parameters!C120),100),IFERROR(FIND("[",Parameters!C120),100))-1)," ","")</f>
        <v/>
      </c>
      <c r="H118" s="208" t="str">
        <f t="shared" si="16"/>
        <v/>
      </c>
      <c r="I118" s="208" t="str">
        <f t="shared" si="17"/>
        <v/>
      </c>
      <c r="J118" s="209" t="str">
        <f t="shared" si="18"/>
        <v/>
      </c>
      <c r="K118" t="str">
        <f>SUBSTITUTE(LEFT(Parameters!D120,IF(IFERROR(FIND("[",Parameters!D120),100)&gt;IFERROR(FIND("(",Parameters!D120),100),IFERROR(FIND("(",Parameters!D120),100),IFERROR(FIND("[",Parameters!D120),100))-1)," ","")</f>
        <v/>
      </c>
      <c r="M118" t="str">
        <f t="shared" si="19"/>
        <v/>
      </c>
      <c r="N118" s="208" t="str">
        <f t="shared" si="20"/>
        <v/>
      </c>
      <c r="O118" s="209" t="str">
        <f t="shared" si="21"/>
        <v/>
      </c>
      <c r="P118" s="211" t="str">
        <f t="shared" si="22"/>
        <v/>
      </c>
      <c r="Q118">
        <f>Parameters!E120</f>
        <v>7</v>
      </c>
      <c r="R118" t="str">
        <f>Parameters!F120</f>
        <v>EngineLoad5</v>
      </c>
      <c r="S118" t="str">
        <f t="shared" si="23"/>
        <v>EngineLoad5 : REAL;</v>
      </c>
      <c r="U118" t="s">
        <v>671</v>
      </c>
      <c r="V118" t="str">
        <f t="shared" si="24"/>
        <v>CommReserved190 : REAL;</v>
      </c>
    </row>
    <row r="119" spans="1:22" x14ac:dyDescent="0.45">
      <c r="A119" s="208" t="str">
        <f>SUBSTITUTE(LEFT(Parameters!B121,IF(IFERROR(FIND("[",Parameters!B121),100)&gt;IFERROR(FIND("(",Parameters!B121),100),IFERROR(FIND("(",Parameters!B121),100),IFERROR(FIND("[",Parameters!B121),100))-1)," ","")</f>
        <v/>
      </c>
      <c r="C119" s="208" t="str">
        <f t="shared" si="13"/>
        <v/>
      </c>
      <c r="D119" s="208" t="str">
        <f t="shared" si="14"/>
        <v/>
      </c>
      <c r="E119" s="209" t="str">
        <f t="shared" si="15"/>
        <v/>
      </c>
      <c r="F119" s="210" t="str">
        <f>SUBSTITUTE(LEFT(Parameters!C121,IF(IFERROR(FIND("[",Parameters!C121),100)&gt;IFERROR(FIND("(",Parameters!C121),100),IFERROR(FIND("(",Parameters!C121),100),IFERROR(FIND("[",Parameters!C121),100))-1)," ","")</f>
        <v/>
      </c>
      <c r="H119" s="208" t="str">
        <f t="shared" si="16"/>
        <v/>
      </c>
      <c r="I119" s="208" t="str">
        <f t="shared" si="17"/>
        <v/>
      </c>
      <c r="J119" s="209" t="str">
        <f t="shared" si="18"/>
        <v/>
      </c>
      <c r="K119" t="str">
        <f>SUBSTITUTE(LEFT(Parameters!D121,IF(IFERROR(FIND("[",Parameters!D121),100)&gt;IFERROR(FIND("(",Parameters!D121),100),IFERROR(FIND("(",Parameters!D121),100),IFERROR(FIND("[",Parameters!D121),100))-1)," ","")</f>
        <v/>
      </c>
      <c r="M119" t="str">
        <f t="shared" si="19"/>
        <v/>
      </c>
      <c r="N119" s="208" t="str">
        <f t="shared" si="20"/>
        <v/>
      </c>
      <c r="O119" s="209" t="str">
        <f t="shared" si="21"/>
        <v/>
      </c>
      <c r="P119" s="211" t="str">
        <f t="shared" si="22"/>
        <v/>
      </c>
      <c r="Q119">
        <f>Parameters!E121</f>
        <v>8</v>
      </c>
      <c r="R119" t="str">
        <f>Parameters!F121</f>
        <v>EngineLoad6</v>
      </c>
      <c r="S119" t="str">
        <f t="shared" si="23"/>
        <v>EngineLoad6 : REAL;</v>
      </c>
      <c r="U119" t="s">
        <v>672</v>
      </c>
      <c r="V119" t="str">
        <f t="shared" si="24"/>
        <v>CommReserved191 : REAL;</v>
      </c>
    </row>
    <row r="120" spans="1:22" x14ac:dyDescent="0.45">
      <c r="A120" s="208" t="str">
        <f>SUBSTITUTE(LEFT(Parameters!B122,IF(IFERROR(FIND("[",Parameters!B122),100)&gt;IFERROR(FIND("(",Parameters!B122),100),IFERROR(FIND("(",Parameters!B122),100),IFERROR(FIND("[",Parameters!B122),100))-1)," ","")</f>
        <v/>
      </c>
      <c r="C120" s="208" t="str">
        <f t="shared" si="13"/>
        <v/>
      </c>
      <c r="D120" s="208" t="str">
        <f t="shared" si="14"/>
        <v/>
      </c>
      <c r="E120" s="209" t="str">
        <f t="shared" si="15"/>
        <v/>
      </c>
      <c r="F120" s="210" t="str">
        <f>SUBSTITUTE(LEFT(Parameters!C122,IF(IFERROR(FIND("[",Parameters!C122),100)&gt;IFERROR(FIND("(",Parameters!C122),100),IFERROR(FIND("(",Parameters!C122),100),IFERROR(FIND("[",Parameters!C122),100))-1)," ","")</f>
        <v/>
      </c>
      <c r="H120" s="208" t="str">
        <f t="shared" si="16"/>
        <v/>
      </c>
      <c r="I120" s="208" t="str">
        <f t="shared" si="17"/>
        <v/>
      </c>
      <c r="J120" s="209" t="str">
        <f t="shared" si="18"/>
        <v/>
      </c>
      <c r="K120" t="str">
        <f>SUBSTITUTE(LEFT(Parameters!D122,IF(IFERROR(FIND("[",Parameters!D122),100)&gt;IFERROR(FIND("(",Parameters!D122),100),IFERROR(FIND("(",Parameters!D122),100),IFERROR(FIND("[",Parameters!D122),100))-1)," ","")</f>
        <v/>
      </c>
      <c r="M120" t="str">
        <f t="shared" si="19"/>
        <v/>
      </c>
      <c r="N120" s="208" t="str">
        <f t="shared" si="20"/>
        <v/>
      </c>
      <c r="O120" s="209" t="str">
        <f t="shared" si="21"/>
        <v/>
      </c>
      <c r="P120" s="211" t="str">
        <f t="shared" si="22"/>
        <v/>
      </c>
      <c r="Q120">
        <f>Parameters!E122</f>
        <v>9</v>
      </c>
      <c r="R120" t="str">
        <f>Parameters!F122</f>
        <v>EngineLoad7</v>
      </c>
      <c r="S120" t="str">
        <f t="shared" si="23"/>
        <v>EngineLoad7 : REAL;</v>
      </c>
      <c r="U120" t="s">
        <v>673</v>
      </c>
      <c r="V120" t="str">
        <f t="shared" si="24"/>
        <v>CommReserved192 : REAL;</v>
      </c>
    </row>
    <row r="121" spans="1:22" x14ac:dyDescent="0.45">
      <c r="A121" s="208" t="str">
        <f>SUBSTITUTE(LEFT(Parameters!B123,IF(IFERROR(FIND("[",Parameters!B123),100)&gt;IFERROR(FIND("(",Parameters!B123),100),IFERROR(FIND("(",Parameters!B123),100),IFERROR(FIND("[",Parameters!B123),100))-1)," ","")</f>
        <v/>
      </c>
      <c r="C121" s="208" t="str">
        <f t="shared" si="13"/>
        <v/>
      </c>
      <c r="D121" s="208" t="str">
        <f t="shared" si="14"/>
        <v/>
      </c>
      <c r="E121" s="209" t="str">
        <f t="shared" si="15"/>
        <v/>
      </c>
      <c r="F121" s="210" t="str">
        <f>SUBSTITUTE(LEFT(Parameters!C123,IF(IFERROR(FIND("[",Parameters!C123),100)&gt;IFERROR(FIND("(",Parameters!C123),100),IFERROR(FIND("(",Parameters!C123),100),IFERROR(FIND("[",Parameters!C123),100))-1)," ","")</f>
        <v/>
      </c>
      <c r="H121" s="208" t="str">
        <f t="shared" si="16"/>
        <v/>
      </c>
      <c r="I121" s="208" t="str">
        <f t="shared" si="17"/>
        <v/>
      </c>
      <c r="J121" s="209" t="str">
        <f t="shared" si="18"/>
        <v/>
      </c>
      <c r="K121" t="str">
        <f>SUBSTITUTE(LEFT(Parameters!D123,IF(IFERROR(FIND("[",Parameters!D123),100)&gt;IFERROR(FIND("(",Parameters!D123),100),IFERROR(FIND("(",Parameters!D123),100),IFERROR(FIND("[",Parameters!D123),100))-1)," ","")</f>
        <v/>
      </c>
      <c r="M121" t="str">
        <f t="shared" si="19"/>
        <v/>
      </c>
      <c r="N121" s="208" t="str">
        <f t="shared" si="20"/>
        <v/>
      </c>
      <c r="O121" s="209" t="str">
        <f t="shared" si="21"/>
        <v/>
      </c>
      <c r="P121" s="211" t="str">
        <f t="shared" si="22"/>
        <v/>
      </c>
      <c r="Q121">
        <f>Parameters!E123</f>
        <v>10</v>
      </c>
      <c r="R121" t="str">
        <f>Parameters!F123</f>
        <v>EngineLoad8</v>
      </c>
      <c r="S121" t="str">
        <f t="shared" si="23"/>
        <v>EngineLoad8 : REAL;</v>
      </c>
      <c r="U121" t="s">
        <v>674</v>
      </c>
      <c r="V121" t="str">
        <f t="shared" si="24"/>
        <v>CommReserved193 : REAL;</v>
      </c>
    </row>
    <row r="122" spans="1:22" x14ac:dyDescent="0.45">
      <c r="A122" s="208" t="str">
        <f>SUBSTITUTE(LEFT(Parameters!B124,IF(IFERROR(FIND("[",Parameters!B124),100)&gt;IFERROR(FIND("(",Parameters!B124),100),IFERROR(FIND("(",Parameters!B124),100),IFERROR(FIND("[",Parameters!B124),100))-1)," ","")</f>
        <v/>
      </c>
      <c r="C122" s="208" t="str">
        <f t="shared" si="13"/>
        <v/>
      </c>
      <c r="D122" s="208" t="str">
        <f t="shared" si="14"/>
        <v/>
      </c>
      <c r="E122" s="209" t="str">
        <f t="shared" si="15"/>
        <v/>
      </c>
      <c r="F122" s="210" t="str">
        <f>SUBSTITUTE(LEFT(Parameters!C124,IF(IFERROR(FIND("[",Parameters!C124),100)&gt;IFERROR(FIND("(",Parameters!C124),100),IFERROR(FIND("(",Parameters!C124),100),IFERROR(FIND("[",Parameters!C124),100))-1)," ","")</f>
        <v/>
      </c>
      <c r="H122" s="208" t="str">
        <f t="shared" si="16"/>
        <v/>
      </c>
      <c r="I122" s="208" t="str">
        <f t="shared" si="17"/>
        <v/>
      </c>
      <c r="J122" s="209" t="str">
        <f t="shared" si="18"/>
        <v/>
      </c>
      <c r="K122" t="str">
        <f>SUBSTITUTE(LEFT(Parameters!D124,IF(IFERROR(FIND("[",Parameters!D124),100)&gt;IFERROR(FIND("(",Parameters!D124),100),IFERROR(FIND("(",Parameters!D124),100),IFERROR(FIND("[",Parameters!D124),100))-1)," ","")</f>
        <v/>
      </c>
      <c r="M122" t="str">
        <f t="shared" si="19"/>
        <v/>
      </c>
      <c r="N122" s="208" t="str">
        <f t="shared" si="20"/>
        <v/>
      </c>
      <c r="O122" s="209" t="str">
        <f t="shared" si="21"/>
        <v/>
      </c>
      <c r="P122" s="211" t="str">
        <f t="shared" si="22"/>
        <v/>
      </c>
      <c r="Q122">
        <f>Parameters!E124</f>
        <v>11</v>
      </c>
      <c r="R122" t="str">
        <f>Parameters!F124</f>
        <v>EngineLoad9</v>
      </c>
      <c r="S122" t="str">
        <f t="shared" si="23"/>
        <v>EngineLoad9 : REAL;</v>
      </c>
      <c r="U122" t="s">
        <v>675</v>
      </c>
      <c r="V122" t="str">
        <f t="shared" si="24"/>
        <v>CommReserved194 : REAL;</v>
      </c>
    </row>
    <row r="123" spans="1:22" x14ac:dyDescent="0.45">
      <c r="A123" s="208" t="str">
        <f>SUBSTITUTE(LEFT(Parameters!B125,IF(IFERROR(FIND("[",Parameters!B125),100)&gt;IFERROR(FIND("(",Parameters!B125),100),IFERROR(FIND("(",Parameters!B125),100),IFERROR(FIND("[",Parameters!B125),100))-1)," ","")</f>
        <v/>
      </c>
      <c r="C123" s="208" t="str">
        <f t="shared" si="13"/>
        <v/>
      </c>
      <c r="D123" s="208" t="str">
        <f t="shared" si="14"/>
        <v/>
      </c>
      <c r="E123" s="209" t="str">
        <f t="shared" si="15"/>
        <v/>
      </c>
      <c r="F123" s="210" t="str">
        <f>SUBSTITUTE(LEFT(Parameters!C125,IF(IFERROR(FIND("[",Parameters!C125),100)&gt;IFERROR(FIND("(",Parameters!C125),100),IFERROR(FIND("(",Parameters!C125),100),IFERROR(FIND("[",Parameters!C125),100))-1)," ","")</f>
        <v/>
      </c>
      <c r="H123" s="208" t="str">
        <f t="shared" si="16"/>
        <v/>
      </c>
      <c r="I123" s="208" t="str">
        <f t="shared" si="17"/>
        <v/>
      </c>
      <c r="J123" s="209" t="str">
        <f t="shared" si="18"/>
        <v/>
      </c>
      <c r="K123" t="str">
        <f>SUBSTITUTE(LEFT(Parameters!D125,IF(IFERROR(FIND("[",Parameters!D125),100)&gt;IFERROR(FIND("(",Parameters!D125),100),IFERROR(FIND("(",Parameters!D125),100),IFERROR(FIND("[",Parameters!D125),100))-1)," ","")</f>
        <v/>
      </c>
      <c r="M123" t="str">
        <f t="shared" si="19"/>
        <v/>
      </c>
      <c r="N123" s="208" t="str">
        <f t="shared" si="20"/>
        <v/>
      </c>
      <c r="O123" s="209" t="str">
        <f t="shared" si="21"/>
        <v/>
      </c>
      <c r="P123" s="211" t="str">
        <f t="shared" si="22"/>
        <v/>
      </c>
      <c r="Q123">
        <f>Parameters!E125</f>
        <v>12</v>
      </c>
      <c r="R123" t="str">
        <f>Parameters!F125</f>
        <v>EngineLoad10</v>
      </c>
      <c r="S123" t="str">
        <f t="shared" si="23"/>
        <v>EngineLoad10 : REAL;</v>
      </c>
      <c r="U123" t="s">
        <v>676</v>
      </c>
      <c r="V123" t="str">
        <f t="shared" si="24"/>
        <v>CommReserved195 : REAL;</v>
      </c>
    </row>
    <row r="124" spans="1:22" x14ac:dyDescent="0.45">
      <c r="A124" s="208" t="str">
        <f>SUBSTITUTE(LEFT(Parameters!B126,IF(IFERROR(FIND("[",Parameters!B126),100)&gt;IFERROR(FIND("(",Parameters!B126),100),IFERROR(FIND("(",Parameters!B126),100),IFERROR(FIND("[",Parameters!B126),100))-1)," ","")</f>
        <v/>
      </c>
      <c r="C124" s="208" t="str">
        <f t="shared" si="13"/>
        <v/>
      </c>
      <c r="D124" s="208" t="str">
        <f t="shared" si="14"/>
        <v/>
      </c>
      <c r="E124" s="209" t="str">
        <f t="shared" si="15"/>
        <v/>
      </c>
      <c r="F124" s="210" t="str">
        <f>SUBSTITUTE(LEFT(Parameters!C126,IF(IFERROR(FIND("[",Parameters!C126),100)&gt;IFERROR(FIND("(",Parameters!C126),100),IFERROR(FIND("(",Parameters!C126),100),IFERROR(FIND("[",Parameters!C126),100))-1)," ","")</f>
        <v/>
      </c>
      <c r="H124" s="208" t="str">
        <f t="shared" si="16"/>
        <v/>
      </c>
      <c r="I124" s="208" t="str">
        <f t="shared" si="17"/>
        <v/>
      </c>
      <c r="J124" s="209" t="str">
        <f t="shared" si="18"/>
        <v/>
      </c>
      <c r="K124" t="str">
        <f>SUBSTITUTE(LEFT(Parameters!D126,IF(IFERROR(FIND("[",Parameters!D126),100)&gt;IFERROR(FIND("(",Parameters!D126),100),IFERROR(FIND("(",Parameters!D126),100),IFERROR(FIND("[",Parameters!D126),100))-1)," ","")</f>
        <v/>
      </c>
      <c r="M124" t="str">
        <f t="shared" si="19"/>
        <v/>
      </c>
      <c r="N124" s="208" t="str">
        <f t="shared" si="20"/>
        <v/>
      </c>
      <c r="O124" s="209" t="str">
        <f t="shared" si="21"/>
        <v/>
      </c>
      <c r="P124" s="211" t="str">
        <f t="shared" si="22"/>
        <v/>
      </c>
      <c r="Q124">
        <f>Parameters!E126</f>
        <v>13</v>
      </c>
      <c r="R124" t="str">
        <f>Parameters!F126</f>
        <v>EngineLoad11</v>
      </c>
      <c r="S124" t="str">
        <f t="shared" si="23"/>
        <v>EngineLoad11 : REAL;</v>
      </c>
      <c r="U124" t="s">
        <v>677</v>
      </c>
      <c r="V124" t="str">
        <f t="shared" si="24"/>
        <v>CommReserved196 : REAL;</v>
      </c>
    </row>
    <row r="125" spans="1:22" x14ac:dyDescent="0.45">
      <c r="A125" s="208" t="str">
        <f>SUBSTITUTE(LEFT(Parameters!B127,IF(IFERROR(FIND("[",Parameters!B127),100)&gt;IFERROR(FIND("(",Parameters!B127),100),IFERROR(FIND("(",Parameters!B127),100),IFERROR(FIND("[",Parameters!B127),100))-1)," ","")</f>
        <v/>
      </c>
      <c r="C125" s="208" t="str">
        <f t="shared" si="13"/>
        <v/>
      </c>
      <c r="D125" s="208" t="str">
        <f t="shared" si="14"/>
        <v/>
      </c>
      <c r="E125" s="209" t="str">
        <f t="shared" si="15"/>
        <v/>
      </c>
      <c r="F125" s="210" t="str">
        <f>SUBSTITUTE(LEFT(Parameters!C127,IF(IFERROR(FIND("[",Parameters!C127),100)&gt;IFERROR(FIND("(",Parameters!C127),100),IFERROR(FIND("(",Parameters!C127),100),IFERROR(FIND("[",Parameters!C127),100))-1)," ","")</f>
        <v/>
      </c>
      <c r="H125" s="208" t="str">
        <f t="shared" si="16"/>
        <v/>
      </c>
      <c r="I125" s="208" t="str">
        <f t="shared" si="17"/>
        <v/>
      </c>
      <c r="J125" s="209" t="str">
        <f t="shared" si="18"/>
        <v/>
      </c>
      <c r="K125" t="str">
        <f>SUBSTITUTE(LEFT(Parameters!D127,IF(IFERROR(FIND("[",Parameters!D127),100)&gt;IFERROR(FIND("(",Parameters!D127),100),IFERROR(FIND("(",Parameters!D127),100),IFERROR(FIND("[",Parameters!D127),100))-1)," ","")</f>
        <v>ExhFlowrate</v>
      </c>
      <c r="M125" t="str">
        <f t="shared" si="19"/>
        <v/>
      </c>
      <c r="N125" s="208" t="str">
        <f t="shared" si="20"/>
        <v/>
      </c>
      <c r="O125" s="209" t="str">
        <f t="shared" si="21"/>
        <v/>
      </c>
      <c r="P125" s="211" t="str">
        <f t="shared" si="22"/>
        <v>ExhFlowrate</v>
      </c>
      <c r="Q125">
        <f>Parameters!E127</f>
        <v>14</v>
      </c>
      <c r="R125" t="str">
        <f>Parameters!F127</f>
        <v>ExhFlowrate0</v>
      </c>
      <c r="S125" t="str">
        <f t="shared" si="23"/>
        <v>ExhFlowrate0 : REAL;</v>
      </c>
      <c r="U125" t="s">
        <v>678</v>
      </c>
      <c r="V125" t="str">
        <f t="shared" si="24"/>
        <v>CommReserved197 : REAL;</v>
      </c>
    </row>
    <row r="126" spans="1:22" x14ac:dyDescent="0.45">
      <c r="A126" s="208" t="str">
        <f>SUBSTITUTE(LEFT(Parameters!B128,IF(IFERROR(FIND("[",Parameters!B128),100)&gt;IFERROR(FIND("(",Parameters!B128),100),IFERROR(FIND("(",Parameters!B128),100),IFERROR(FIND("[",Parameters!B128),100))-1)," ","")</f>
        <v/>
      </c>
      <c r="C126" s="208" t="str">
        <f t="shared" si="13"/>
        <v/>
      </c>
      <c r="D126" s="208" t="str">
        <f t="shared" si="14"/>
        <v/>
      </c>
      <c r="E126" s="209" t="str">
        <f t="shared" si="15"/>
        <v/>
      </c>
      <c r="F126" s="210" t="str">
        <f>SUBSTITUTE(LEFT(Parameters!C128,IF(IFERROR(FIND("[",Parameters!C128),100)&gt;IFERROR(FIND("(",Parameters!C128),100),IFERROR(FIND("(",Parameters!C128),100),IFERROR(FIND("[",Parameters!C128),100))-1)," ","")</f>
        <v/>
      </c>
      <c r="H126" s="208" t="str">
        <f t="shared" si="16"/>
        <v/>
      </c>
      <c r="I126" s="208" t="str">
        <f t="shared" si="17"/>
        <v/>
      </c>
      <c r="J126" s="209" t="str">
        <f t="shared" si="18"/>
        <v/>
      </c>
      <c r="K126" t="str">
        <f>SUBSTITUTE(LEFT(Parameters!D128,IF(IFERROR(FIND("[",Parameters!D128),100)&gt;IFERROR(FIND("(",Parameters!D128),100),IFERROR(FIND("(",Parameters!D128),100),IFERROR(FIND("[",Parameters!D128),100))-1)," ","")</f>
        <v/>
      </c>
      <c r="M126" t="str">
        <f t="shared" si="19"/>
        <v/>
      </c>
      <c r="N126" s="208" t="str">
        <f t="shared" si="20"/>
        <v/>
      </c>
      <c r="O126" s="209" t="str">
        <f t="shared" si="21"/>
        <v/>
      </c>
      <c r="P126" s="211" t="str">
        <f t="shared" si="22"/>
        <v/>
      </c>
      <c r="Q126">
        <f>Parameters!E128</f>
        <v>15</v>
      </c>
      <c r="R126" t="str">
        <f>Parameters!F128</f>
        <v>ExhFlowrate1</v>
      </c>
      <c r="S126" t="str">
        <f t="shared" si="23"/>
        <v>ExhFlowrate1 : REAL;</v>
      </c>
      <c r="U126" t="s">
        <v>679</v>
      </c>
      <c r="V126" t="str">
        <f t="shared" si="24"/>
        <v>CommReserved198 : REAL;</v>
      </c>
    </row>
    <row r="127" spans="1:22" x14ac:dyDescent="0.45">
      <c r="A127" s="208" t="str">
        <f>SUBSTITUTE(LEFT(Parameters!B129,IF(IFERROR(FIND("[",Parameters!B129),100)&gt;IFERROR(FIND("(",Parameters!B129),100),IFERROR(FIND("(",Parameters!B129),100),IFERROR(FIND("[",Parameters!B129),100))-1)," ","")</f>
        <v/>
      </c>
      <c r="C127" s="208" t="str">
        <f t="shared" si="13"/>
        <v/>
      </c>
      <c r="D127" s="208" t="str">
        <f t="shared" si="14"/>
        <v/>
      </c>
      <c r="E127" s="209" t="str">
        <f t="shared" si="15"/>
        <v/>
      </c>
      <c r="F127" s="210" t="str">
        <f>SUBSTITUTE(LEFT(Parameters!C129,IF(IFERROR(FIND("[",Parameters!C129),100)&gt;IFERROR(FIND("(",Parameters!C129),100),IFERROR(FIND("(",Parameters!C129),100),IFERROR(FIND("[",Parameters!C129),100))-1)," ","")</f>
        <v/>
      </c>
      <c r="H127" s="208" t="str">
        <f t="shared" si="16"/>
        <v/>
      </c>
      <c r="I127" s="208" t="str">
        <f t="shared" si="17"/>
        <v/>
      </c>
      <c r="J127" s="209" t="str">
        <f t="shared" si="18"/>
        <v/>
      </c>
      <c r="K127" t="str">
        <f>SUBSTITUTE(LEFT(Parameters!D129,IF(IFERROR(FIND("[",Parameters!D129),100)&gt;IFERROR(FIND("(",Parameters!D129),100),IFERROR(FIND("(",Parameters!D129),100),IFERROR(FIND("[",Parameters!D129),100))-1)," ","")</f>
        <v/>
      </c>
      <c r="M127" t="str">
        <f t="shared" si="19"/>
        <v/>
      </c>
      <c r="N127" s="208" t="str">
        <f t="shared" si="20"/>
        <v/>
      </c>
      <c r="O127" s="209" t="str">
        <f t="shared" si="21"/>
        <v/>
      </c>
      <c r="P127" s="211" t="str">
        <f t="shared" si="22"/>
        <v/>
      </c>
      <c r="Q127">
        <f>Parameters!E129</f>
        <v>16</v>
      </c>
      <c r="R127" t="str">
        <f>Parameters!F129</f>
        <v>ExhFlowrate2</v>
      </c>
      <c r="S127" t="str">
        <f t="shared" si="23"/>
        <v>ExhFlowrate2 : REAL;</v>
      </c>
      <c r="U127" t="s">
        <v>680</v>
      </c>
      <c r="V127" t="str">
        <f t="shared" si="24"/>
        <v>CommReserved199 : REAL;</v>
      </c>
    </row>
    <row r="128" spans="1:22" x14ac:dyDescent="0.45">
      <c r="A128" s="208" t="str">
        <f>SUBSTITUTE(LEFT(Parameters!B130,IF(IFERROR(FIND("[",Parameters!B130),100)&gt;IFERROR(FIND("(",Parameters!B130),100),IFERROR(FIND("(",Parameters!B130),100),IFERROR(FIND("[",Parameters!B130),100))-1)," ","")</f>
        <v/>
      </c>
      <c r="C128" s="208" t="str">
        <f t="shared" si="13"/>
        <v/>
      </c>
      <c r="D128" s="208" t="str">
        <f t="shared" si="14"/>
        <v/>
      </c>
      <c r="E128" s="209" t="str">
        <f t="shared" si="15"/>
        <v/>
      </c>
      <c r="F128" s="210" t="str">
        <f>SUBSTITUTE(LEFT(Parameters!C130,IF(IFERROR(FIND("[",Parameters!C130),100)&gt;IFERROR(FIND("(",Parameters!C130),100),IFERROR(FIND("(",Parameters!C130),100),IFERROR(FIND("[",Parameters!C130),100))-1)," ","")</f>
        <v/>
      </c>
      <c r="H128" s="208" t="str">
        <f t="shared" si="16"/>
        <v/>
      </c>
      <c r="I128" s="208" t="str">
        <f t="shared" si="17"/>
        <v/>
      </c>
      <c r="J128" s="209" t="str">
        <f t="shared" si="18"/>
        <v/>
      </c>
      <c r="K128" t="str">
        <f>SUBSTITUTE(LEFT(Parameters!D130,IF(IFERROR(FIND("[",Parameters!D130),100)&gt;IFERROR(FIND("(",Parameters!D130),100),IFERROR(FIND("(",Parameters!D130),100),IFERROR(FIND("[",Parameters!D130),100))-1)," ","")</f>
        <v/>
      </c>
      <c r="M128" t="str">
        <f t="shared" si="19"/>
        <v/>
      </c>
      <c r="N128" s="208" t="str">
        <f t="shared" si="20"/>
        <v/>
      </c>
      <c r="O128" s="209" t="str">
        <f t="shared" si="21"/>
        <v/>
      </c>
      <c r="P128" s="211" t="str">
        <f t="shared" si="22"/>
        <v/>
      </c>
      <c r="Q128">
        <f>Parameters!E130</f>
        <v>17</v>
      </c>
      <c r="R128" t="str">
        <f>Parameters!F130</f>
        <v>ExhFlowrate3</v>
      </c>
      <c r="S128" t="str">
        <f t="shared" si="23"/>
        <v>ExhFlowrate3 : REAL;</v>
      </c>
    </row>
    <row r="129" spans="1:19" x14ac:dyDescent="0.45">
      <c r="A129" s="208" t="str">
        <f>SUBSTITUTE(LEFT(Parameters!B131,IF(IFERROR(FIND("[",Parameters!B131),100)&gt;IFERROR(FIND("(",Parameters!B131),100),IFERROR(FIND("(",Parameters!B131),100),IFERROR(FIND("[",Parameters!B131),100))-1)," ","")</f>
        <v/>
      </c>
      <c r="C129" s="208" t="str">
        <f t="shared" si="13"/>
        <v/>
      </c>
      <c r="D129" s="208" t="str">
        <f t="shared" si="14"/>
        <v/>
      </c>
      <c r="E129" s="209" t="str">
        <f t="shared" si="15"/>
        <v/>
      </c>
      <c r="F129" s="210" t="str">
        <f>SUBSTITUTE(LEFT(Parameters!C131,IF(IFERROR(FIND("[",Parameters!C131),100)&gt;IFERROR(FIND("(",Parameters!C131),100),IFERROR(FIND("(",Parameters!C131),100),IFERROR(FIND("[",Parameters!C131),100))-1)," ","")</f>
        <v/>
      </c>
      <c r="H129" s="208" t="str">
        <f t="shared" si="16"/>
        <v/>
      </c>
      <c r="I129" s="208" t="str">
        <f t="shared" si="17"/>
        <v/>
      </c>
      <c r="J129" s="209" t="str">
        <f t="shared" si="18"/>
        <v/>
      </c>
      <c r="K129" t="str">
        <f>SUBSTITUTE(LEFT(Parameters!D131,IF(IFERROR(FIND("[",Parameters!D131),100)&gt;IFERROR(FIND("(",Parameters!D131),100),IFERROR(FIND("(",Parameters!D131),100),IFERROR(FIND("[",Parameters!D131),100))-1)," ","")</f>
        <v/>
      </c>
      <c r="M129" t="str">
        <f t="shared" si="19"/>
        <v/>
      </c>
      <c r="N129" s="208" t="str">
        <f t="shared" si="20"/>
        <v/>
      </c>
      <c r="O129" s="209" t="str">
        <f t="shared" si="21"/>
        <v/>
      </c>
      <c r="P129" s="211" t="str">
        <f t="shared" si="22"/>
        <v/>
      </c>
      <c r="Q129">
        <f>Parameters!E131</f>
        <v>18</v>
      </c>
      <c r="R129" t="str">
        <f>Parameters!F131</f>
        <v>ExhFlowrate4</v>
      </c>
      <c r="S129" t="str">
        <f t="shared" si="23"/>
        <v>ExhFlowrate4 : REAL;</v>
      </c>
    </row>
    <row r="130" spans="1:19" x14ac:dyDescent="0.45">
      <c r="A130" s="208" t="str">
        <f>SUBSTITUTE(LEFT(Parameters!B132,IF(IFERROR(FIND("[",Parameters!B132),100)&gt;IFERROR(FIND("(",Parameters!B132),100),IFERROR(FIND("(",Parameters!B132),100),IFERROR(FIND("[",Parameters!B132),100))-1)," ","")</f>
        <v/>
      </c>
      <c r="C130" s="208" t="str">
        <f t="shared" si="13"/>
        <v/>
      </c>
      <c r="D130" s="208" t="str">
        <f t="shared" si="14"/>
        <v/>
      </c>
      <c r="E130" s="209" t="str">
        <f t="shared" si="15"/>
        <v/>
      </c>
      <c r="F130" s="210" t="str">
        <f>SUBSTITUTE(LEFT(Parameters!C132,IF(IFERROR(FIND("[",Parameters!C132),100)&gt;IFERROR(FIND("(",Parameters!C132),100),IFERROR(FIND("(",Parameters!C132),100),IFERROR(FIND("[",Parameters!C132),100))-1)," ","")</f>
        <v/>
      </c>
      <c r="H130" s="208" t="str">
        <f t="shared" si="16"/>
        <v/>
      </c>
      <c r="I130" s="208" t="str">
        <f t="shared" si="17"/>
        <v/>
      </c>
      <c r="J130" s="209" t="str">
        <f t="shared" si="18"/>
        <v/>
      </c>
      <c r="K130" t="str">
        <f>SUBSTITUTE(LEFT(Parameters!D132,IF(IFERROR(FIND("[",Parameters!D132),100)&gt;IFERROR(FIND("(",Parameters!D132),100),IFERROR(FIND("(",Parameters!D132),100),IFERROR(FIND("[",Parameters!D132),100))-1)," ","")</f>
        <v/>
      </c>
      <c r="M130" t="str">
        <f t="shared" si="19"/>
        <v/>
      </c>
      <c r="N130" s="208" t="str">
        <f t="shared" si="20"/>
        <v/>
      </c>
      <c r="O130" s="209" t="str">
        <f t="shared" si="21"/>
        <v/>
      </c>
      <c r="P130" s="211" t="str">
        <f t="shared" si="22"/>
        <v/>
      </c>
      <c r="Q130">
        <f>Parameters!E132</f>
        <v>19</v>
      </c>
      <c r="R130" t="str">
        <f>Parameters!F132</f>
        <v>ExhFlowrate5</v>
      </c>
      <c r="S130" t="str">
        <f t="shared" si="23"/>
        <v>ExhFlowrate5 : REAL;</v>
      </c>
    </row>
    <row r="131" spans="1:19" x14ac:dyDescent="0.45">
      <c r="A131" s="208" t="str">
        <f>SUBSTITUTE(LEFT(Parameters!B133,IF(IFERROR(FIND("[",Parameters!B133),100)&gt;IFERROR(FIND("(",Parameters!B133),100),IFERROR(FIND("(",Parameters!B133),100),IFERROR(FIND("[",Parameters!B133),100))-1)," ","")</f>
        <v/>
      </c>
      <c r="C131" s="208" t="str">
        <f t="shared" si="13"/>
        <v/>
      </c>
      <c r="D131" s="208" t="str">
        <f t="shared" si="14"/>
        <v/>
      </c>
      <c r="E131" s="209" t="str">
        <f t="shared" si="15"/>
        <v/>
      </c>
      <c r="F131" s="210" t="str">
        <f>SUBSTITUTE(LEFT(Parameters!C133,IF(IFERROR(FIND("[",Parameters!C133),100)&gt;IFERROR(FIND("(",Parameters!C133),100),IFERROR(FIND("(",Parameters!C133),100),IFERROR(FIND("[",Parameters!C133),100))-1)," ","")</f>
        <v/>
      </c>
      <c r="H131" s="208" t="str">
        <f t="shared" si="16"/>
        <v/>
      </c>
      <c r="I131" s="208" t="str">
        <f t="shared" si="17"/>
        <v/>
      </c>
      <c r="J131" s="209" t="str">
        <f t="shared" si="18"/>
        <v/>
      </c>
      <c r="K131" t="str">
        <f>SUBSTITUTE(LEFT(Parameters!D133,IF(IFERROR(FIND("[",Parameters!D133),100)&gt;IFERROR(FIND("(",Parameters!D133),100),IFERROR(FIND("(",Parameters!D133),100),IFERROR(FIND("[",Parameters!D133),100))-1)," ","")</f>
        <v/>
      </c>
      <c r="M131" t="str">
        <f t="shared" si="19"/>
        <v/>
      </c>
      <c r="N131" s="208" t="str">
        <f t="shared" si="20"/>
        <v/>
      </c>
      <c r="O131" s="209" t="str">
        <f t="shared" si="21"/>
        <v/>
      </c>
      <c r="P131" s="211" t="str">
        <f t="shared" si="22"/>
        <v/>
      </c>
      <c r="Q131">
        <f>Parameters!E133</f>
        <v>20</v>
      </c>
      <c r="R131" t="str">
        <f>Parameters!F133</f>
        <v>ExhFlowrate6</v>
      </c>
      <c r="S131" t="str">
        <f t="shared" si="23"/>
        <v>ExhFlowrate6 : REAL;</v>
      </c>
    </row>
    <row r="132" spans="1:19" x14ac:dyDescent="0.45">
      <c r="A132" s="208" t="str">
        <f>SUBSTITUTE(LEFT(Parameters!B134,IF(IFERROR(FIND("[",Parameters!B134),100)&gt;IFERROR(FIND("(",Parameters!B134),100),IFERROR(FIND("(",Parameters!B134),100),IFERROR(FIND("[",Parameters!B134),100))-1)," ","")</f>
        <v/>
      </c>
      <c r="C132" s="208" t="str">
        <f t="shared" ref="C132:C192" si="25">IF(B132="","",_xlfn.CONCAT(B132,"_typ"))</f>
        <v/>
      </c>
      <c r="D132" s="208" t="str">
        <f t="shared" ref="D132:D192" si="26">IF(C132 = "","",_xlfn.CONCAT(C132," : STRUCT END_STRUCT;"))</f>
        <v/>
      </c>
      <c r="E132" s="209" t="str">
        <f t="shared" ref="E132:E192" si="27">IF(B132="","",_xlfn.CONCAT(B132," : ",C132,";"))</f>
        <v/>
      </c>
      <c r="F132" s="210" t="str">
        <f>SUBSTITUTE(LEFT(Parameters!C134,IF(IFERROR(FIND("[",Parameters!C134),100)&gt;IFERROR(FIND("(",Parameters!C134),100),IFERROR(FIND("(",Parameters!C134),100),IFERROR(FIND("[",Parameters!C134),100))-1)," ","")</f>
        <v/>
      </c>
      <c r="H132" s="208" t="str">
        <f t="shared" ref="H132:H192" si="28">IF(G132="","",_xlfn.CONCAT(G132,"_typ"))</f>
        <v/>
      </c>
      <c r="I132" s="208" t="str">
        <f t="shared" ref="I132:I192" si="29">IF(H132 = "","",_xlfn.CONCAT(H132," : STRUCT END_STRUCT;"))</f>
        <v/>
      </c>
      <c r="J132" s="209" t="str">
        <f t="shared" ref="J132:J192" si="30">IF(G132="","",_xlfn.CONCAT(G132," : ",H132,";"))</f>
        <v/>
      </c>
      <c r="K132" t="str">
        <f>SUBSTITUTE(LEFT(Parameters!D134,IF(IFERROR(FIND("[",Parameters!D134),100)&gt;IFERROR(FIND("(",Parameters!D134),100),IFERROR(FIND("(",Parameters!D134),100),IFERROR(FIND("[",Parameters!D134),100))-1)," ","")</f>
        <v/>
      </c>
      <c r="M132" t="str">
        <f t="shared" ref="M132:M192" si="31">IF(L132="","",_xlfn.CONCAT(L132,"_typ"))</f>
        <v/>
      </c>
      <c r="N132" s="208" t="str">
        <f t="shared" ref="N132:N192" si="32">IF(M132 = "","",_xlfn.CONCAT(M132," : STRUCT END_STRUCT;"))</f>
        <v/>
      </c>
      <c r="O132" s="209" t="str">
        <f t="shared" ref="O132:O192" si="33">IF(L132="","",_xlfn.CONCAT(L132," : ",M132,";"))</f>
        <v/>
      </c>
      <c r="P132" s="211" t="str">
        <f t="shared" ref="P132:P192" si="34">K132</f>
        <v/>
      </c>
      <c r="Q132">
        <f>Parameters!E134</f>
        <v>21</v>
      </c>
      <c r="R132" t="str">
        <f>Parameters!F134</f>
        <v>ExhFlowrate7</v>
      </c>
      <c r="S132" t="str">
        <f t="shared" ref="S132:S192" si="35">IF(R132 = "","",_xlfn.CONCAT(R132," : REAL;"))</f>
        <v>ExhFlowrate7 : REAL;</v>
      </c>
    </row>
    <row r="133" spans="1:19" x14ac:dyDescent="0.45">
      <c r="A133" s="208" t="str">
        <f>SUBSTITUTE(LEFT(Parameters!B135,IF(IFERROR(FIND("[",Parameters!B135),100)&gt;IFERROR(FIND("(",Parameters!B135),100),IFERROR(FIND("(",Parameters!B135),100),IFERROR(FIND("[",Parameters!B135),100))-1)," ","")</f>
        <v/>
      </c>
      <c r="C133" s="208" t="str">
        <f t="shared" si="25"/>
        <v/>
      </c>
      <c r="D133" s="208" t="str">
        <f t="shared" si="26"/>
        <v/>
      </c>
      <c r="E133" s="209" t="str">
        <f t="shared" si="27"/>
        <v/>
      </c>
      <c r="F133" s="210" t="str">
        <f>SUBSTITUTE(LEFT(Parameters!C135,IF(IFERROR(FIND("[",Parameters!C135),100)&gt;IFERROR(FIND("(",Parameters!C135),100),IFERROR(FIND("(",Parameters!C135),100),IFERROR(FIND("[",Parameters!C135),100))-1)," ","")</f>
        <v/>
      </c>
      <c r="H133" s="208" t="str">
        <f t="shared" si="28"/>
        <v/>
      </c>
      <c r="I133" s="208" t="str">
        <f t="shared" si="29"/>
        <v/>
      </c>
      <c r="J133" s="209" t="str">
        <f t="shared" si="30"/>
        <v/>
      </c>
      <c r="K133" t="str">
        <f>SUBSTITUTE(LEFT(Parameters!D135,IF(IFERROR(FIND("[",Parameters!D135),100)&gt;IFERROR(FIND("(",Parameters!D135),100),IFERROR(FIND("(",Parameters!D135),100),IFERROR(FIND("[",Parameters!D135),100))-1)," ","")</f>
        <v/>
      </c>
      <c r="M133" t="str">
        <f t="shared" si="31"/>
        <v/>
      </c>
      <c r="N133" s="208" t="str">
        <f t="shared" si="32"/>
        <v/>
      </c>
      <c r="O133" s="209" t="str">
        <f t="shared" si="33"/>
        <v/>
      </c>
      <c r="P133" s="211" t="str">
        <f t="shared" si="34"/>
        <v/>
      </c>
      <c r="Q133">
        <f>Parameters!E135</f>
        <v>22</v>
      </c>
      <c r="R133" t="str">
        <f>Parameters!F135</f>
        <v>ExhFlowrate8</v>
      </c>
      <c r="S133" t="str">
        <f t="shared" si="35"/>
        <v>ExhFlowrate8 : REAL;</v>
      </c>
    </row>
    <row r="134" spans="1:19" x14ac:dyDescent="0.45">
      <c r="A134" s="208" t="str">
        <f>SUBSTITUTE(LEFT(Parameters!B136,IF(IFERROR(FIND("[",Parameters!B136),100)&gt;IFERROR(FIND("(",Parameters!B136),100),IFERROR(FIND("(",Parameters!B136),100),IFERROR(FIND("[",Parameters!B136),100))-1)," ","")</f>
        <v/>
      </c>
      <c r="C134" s="208" t="str">
        <f t="shared" si="25"/>
        <v/>
      </c>
      <c r="D134" s="208" t="str">
        <f t="shared" si="26"/>
        <v/>
      </c>
      <c r="E134" s="209" t="str">
        <f t="shared" si="27"/>
        <v/>
      </c>
      <c r="F134" s="210" t="str">
        <f>SUBSTITUTE(LEFT(Parameters!C136,IF(IFERROR(FIND("[",Parameters!C136),100)&gt;IFERROR(FIND("(",Parameters!C136),100),IFERROR(FIND("(",Parameters!C136),100),IFERROR(FIND("[",Parameters!C136),100))-1)," ","")</f>
        <v/>
      </c>
      <c r="H134" s="208" t="str">
        <f t="shared" si="28"/>
        <v/>
      </c>
      <c r="I134" s="208" t="str">
        <f t="shared" si="29"/>
        <v/>
      </c>
      <c r="J134" s="209" t="str">
        <f t="shared" si="30"/>
        <v/>
      </c>
      <c r="K134" t="str">
        <f>SUBSTITUTE(LEFT(Parameters!D136,IF(IFERROR(FIND("[",Parameters!D136),100)&gt;IFERROR(FIND("(",Parameters!D136),100),IFERROR(FIND("(",Parameters!D136),100),IFERROR(FIND("[",Parameters!D136),100))-1)," ","")</f>
        <v/>
      </c>
      <c r="M134" t="str">
        <f t="shared" si="31"/>
        <v/>
      </c>
      <c r="N134" s="208" t="str">
        <f t="shared" si="32"/>
        <v/>
      </c>
      <c r="O134" s="209" t="str">
        <f t="shared" si="33"/>
        <v/>
      </c>
      <c r="P134" s="211" t="str">
        <f t="shared" si="34"/>
        <v/>
      </c>
      <c r="Q134">
        <f>Parameters!E136</f>
        <v>23</v>
      </c>
      <c r="R134" t="str">
        <f>Parameters!F136</f>
        <v>ExhFlowrate9</v>
      </c>
      <c r="S134" t="str">
        <f t="shared" si="35"/>
        <v>ExhFlowrate9 : REAL;</v>
      </c>
    </row>
    <row r="135" spans="1:19" x14ac:dyDescent="0.45">
      <c r="A135" s="208" t="str">
        <f>SUBSTITUTE(LEFT(Parameters!B137,IF(IFERROR(FIND("[",Parameters!B137),100)&gt;IFERROR(FIND("(",Parameters!B137),100),IFERROR(FIND("(",Parameters!B137),100),IFERROR(FIND("[",Parameters!B137),100))-1)," ","")</f>
        <v/>
      </c>
      <c r="C135" s="208" t="str">
        <f t="shared" si="25"/>
        <v/>
      </c>
      <c r="D135" s="208" t="str">
        <f t="shared" si="26"/>
        <v/>
      </c>
      <c r="E135" s="209" t="str">
        <f t="shared" si="27"/>
        <v/>
      </c>
      <c r="F135" s="210" t="str">
        <f>SUBSTITUTE(LEFT(Parameters!C137,IF(IFERROR(FIND("[",Parameters!C137),100)&gt;IFERROR(FIND("(",Parameters!C137),100),IFERROR(FIND("(",Parameters!C137),100),IFERROR(FIND("[",Parameters!C137),100))-1)," ","")</f>
        <v/>
      </c>
      <c r="H135" s="208" t="str">
        <f t="shared" si="28"/>
        <v/>
      </c>
      <c r="I135" s="208" t="str">
        <f t="shared" si="29"/>
        <v/>
      </c>
      <c r="J135" s="209" t="str">
        <f t="shared" si="30"/>
        <v/>
      </c>
      <c r="K135" t="str">
        <f>SUBSTITUTE(LEFT(Parameters!D137,IF(IFERROR(FIND("[",Parameters!D137),100)&gt;IFERROR(FIND("(",Parameters!D137),100),IFERROR(FIND("(",Parameters!D137),100),IFERROR(FIND("[",Parameters!D137),100))-1)," ","")</f>
        <v/>
      </c>
      <c r="M135" t="str">
        <f t="shared" si="31"/>
        <v/>
      </c>
      <c r="N135" s="208" t="str">
        <f t="shared" si="32"/>
        <v/>
      </c>
      <c r="O135" s="209" t="str">
        <f t="shared" si="33"/>
        <v/>
      </c>
      <c r="P135" s="211" t="str">
        <f t="shared" si="34"/>
        <v/>
      </c>
      <c r="Q135">
        <f>Parameters!E137</f>
        <v>24</v>
      </c>
      <c r="R135" t="str">
        <f>Parameters!F137</f>
        <v>ExhFlowrate10</v>
      </c>
      <c r="S135" t="str">
        <f t="shared" si="35"/>
        <v>ExhFlowrate10 : REAL;</v>
      </c>
    </row>
    <row r="136" spans="1:19" x14ac:dyDescent="0.45">
      <c r="A136" s="208" t="str">
        <f>SUBSTITUTE(LEFT(Parameters!B138,IF(IFERROR(FIND("[",Parameters!B138),100)&gt;IFERROR(FIND("(",Parameters!B138),100),IFERROR(FIND("(",Parameters!B138),100),IFERROR(FIND("[",Parameters!B138),100))-1)," ","")</f>
        <v/>
      </c>
      <c r="C136" s="208" t="str">
        <f t="shared" si="25"/>
        <v/>
      </c>
      <c r="D136" s="208" t="str">
        <f t="shared" si="26"/>
        <v/>
      </c>
      <c r="E136" s="209" t="str">
        <f t="shared" si="27"/>
        <v/>
      </c>
      <c r="F136" s="210" t="str">
        <f>SUBSTITUTE(LEFT(Parameters!C138,IF(IFERROR(FIND("[",Parameters!C138),100)&gt;IFERROR(FIND("(",Parameters!C138),100),IFERROR(FIND("(",Parameters!C138),100),IFERROR(FIND("[",Parameters!C138),100))-1)," ","")</f>
        <v/>
      </c>
      <c r="H136" s="208" t="str">
        <f t="shared" si="28"/>
        <v/>
      </c>
      <c r="I136" s="208" t="str">
        <f t="shared" si="29"/>
        <v/>
      </c>
      <c r="J136" s="209" t="str">
        <f t="shared" si="30"/>
        <v/>
      </c>
      <c r="K136" t="str">
        <f>SUBSTITUTE(LEFT(Parameters!D138,IF(IFERROR(FIND("[",Parameters!D138),100)&gt;IFERROR(FIND("(",Parameters!D138),100),IFERROR(FIND("(",Parameters!D138),100),IFERROR(FIND("[",Parameters!D138),100))-1)," ","")</f>
        <v/>
      </c>
      <c r="M136" t="str">
        <f t="shared" si="31"/>
        <v/>
      </c>
      <c r="N136" s="208" t="str">
        <f t="shared" si="32"/>
        <v/>
      </c>
      <c r="O136" s="209" t="str">
        <f t="shared" si="33"/>
        <v/>
      </c>
      <c r="P136" s="211" t="str">
        <f t="shared" si="34"/>
        <v/>
      </c>
      <c r="Q136">
        <f>Parameters!E138</f>
        <v>25</v>
      </c>
      <c r="R136" t="str">
        <f>Parameters!F138</f>
        <v>ExhFlowrate11</v>
      </c>
      <c r="S136" t="str">
        <f t="shared" si="35"/>
        <v>ExhFlowrate11 : REAL;</v>
      </c>
    </row>
    <row r="137" spans="1:19" x14ac:dyDescent="0.45">
      <c r="A137" s="208" t="str">
        <f>SUBSTITUTE(LEFT(Parameters!B139,IF(IFERROR(FIND("[",Parameters!B139),100)&gt;IFERROR(FIND("(",Parameters!B139),100),IFERROR(FIND("(",Parameters!B139),100),IFERROR(FIND("[",Parameters!B139),100))-1)," ","")</f>
        <v/>
      </c>
      <c r="C137" s="208" t="str">
        <f t="shared" si="25"/>
        <v/>
      </c>
      <c r="D137" s="208" t="str">
        <f t="shared" si="26"/>
        <v/>
      </c>
      <c r="E137" s="209" t="str">
        <f t="shared" si="27"/>
        <v/>
      </c>
      <c r="F137" s="210" t="str">
        <f>SUBSTITUTE(LEFT(Parameters!C139,IF(IFERROR(FIND("[",Parameters!C139),100)&gt;IFERROR(FIND("(",Parameters!C139),100),IFERROR(FIND("(",Parameters!C139),100),IFERROR(FIND("[",Parameters!C139),100))-1)," ","")</f>
        <v/>
      </c>
      <c r="H137" s="208" t="str">
        <f t="shared" si="28"/>
        <v/>
      </c>
      <c r="I137" s="208" t="str">
        <f t="shared" si="29"/>
        <v/>
      </c>
      <c r="J137" s="209" t="str">
        <f t="shared" si="30"/>
        <v/>
      </c>
      <c r="K137" t="str">
        <f>SUBSTITUTE(LEFT(Parameters!D139,IF(IFERROR(FIND("[",Parameters!D139),100)&gt;IFERROR(FIND("(",Parameters!D139),100),IFERROR(FIND("(",Parameters!D139),100),IFERROR(FIND("[",Parameters!D139),100))-1)," ","")</f>
        <v>HUInletRefTemp</v>
      </c>
      <c r="M137" t="str">
        <f t="shared" si="31"/>
        <v/>
      </c>
      <c r="N137" s="208" t="str">
        <f t="shared" si="32"/>
        <v/>
      </c>
      <c r="O137" s="209" t="str">
        <f t="shared" si="33"/>
        <v/>
      </c>
      <c r="P137" s="211" t="str">
        <f t="shared" si="34"/>
        <v>HUInletRefTemp</v>
      </c>
      <c r="Q137">
        <f>Parameters!E139</f>
        <v>26</v>
      </c>
      <c r="R137" t="str">
        <f>Parameters!F139</f>
        <v>HUInletRefTemp0</v>
      </c>
      <c r="S137" t="str">
        <f t="shared" si="35"/>
        <v>HUInletRefTemp0 : REAL;</v>
      </c>
    </row>
    <row r="138" spans="1:19" x14ac:dyDescent="0.45">
      <c r="A138" s="208" t="str">
        <f>SUBSTITUTE(LEFT(Parameters!B140,IF(IFERROR(FIND("[",Parameters!B140),100)&gt;IFERROR(FIND("(",Parameters!B140),100),IFERROR(FIND("(",Parameters!B140),100),IFERROR(FIND("[",Parameters!B140),100))-1)," ","")</f>
        <v/>
      </c>
      <c r="C138" s="208" t="str">
        <f t="shared" si="25"/>
        <v/>
      </c>
      <c r="D138" s="208" t="str">
        <f t="shared" si="26"/>
        <v/>
      </c>
      <c r="E138" s="209" t="str">
        <f t="shared" si="27"/>
        <v/>
      </c>
      <c r="F138" s="210" t="str">
        <f>SUBSTITUTE(LEFT(Parameters!C140,IF(IFERROR(FIND("[",Parameters!C140),100)&gt;IFERROR(FIND("(",Parameters!C140),100),IFERROR(FIND("(",Parameters!C140),100),IFERROR(FIND("[",Parameters!C140),100))-1)," ","")</f>
        <v/>
      </c>
      <c r="H138" s="208" t="str">
        <f t="shared" si="28"/>
        <v/>
      </c>
      <c r="I138" s="208" t="str">
        <f t="shared" si="29"/>
        <v/>
      </c>
      <c r="J138" s="209" t="str">
        <f t="shared" si="30"/>
        <v/>
      </c>
      <c r="K138" t="str">
        <f>SUBSTITUTE(LEFT(Parameters!D140,IF(IFERROR(FIND("[",Parameters!D140),100)&gt;IFERROR(FIND("(",Parameters!D140),100),IFERROR(FIND("(",Parameters!D140),100),IFERROR(FIND("[",Parameters!D140),100))-1)," ","")</f>
        <v/>
      </c>
      <c r="M138" t="str">
        <f t="shared" si="31"/>
        <v/>
      </c>
      <c r="N138" s="208" t="str">
        <f t="shared" si="32"/>
        <v/>
      </c>
      <c r="O138" s="209" t="str">
        <f t="shared" si="33"/>
        <v/>
      </c>
      <c r="P138" s="211" t="str">
        <f t="shared" si="34"/>
        <v/>
      </c>
      <c r="Q138">
        <f>Parameters!E140</f>
        <v>27</v>
      </c>
      <c r="R138" t="str">
        <f>Parameters!F140</f>
        <v>HUInletRefTemp1</v>
      </c>
      <c r="S138" t="str">
        <f t="shared" si="35"/>
        <v>HUInletRefTemp1 : REAL;</v>
      </c>
    </row>
    <row r="139" spans="1:19" x14ac:dyDescent="0.45">
      <c r="A139" s="208" t="str">
        <f>SUBSTITUTE(LEFT(Parameters!B141,IF(IFERROR(FIND("[",Parameters!B141),100)&gt;IFERROR(FIND("(",Parameters!B141),100),IFERROR(FIND("(",Parameters!B141),100),IFERROR(FIND("[",Parameters!B141),100))-1)," ","")</f>
        <v/>
      </c>
      <c r="C139" s="208" t="str">
        <f t="shared" si="25"/>
        <v/>
      </c>
      <c r="D139" s="208" t="str">
        <f t="shared" si="26"/>
        <v/>
      </c>
      <c r="E139" s="209" t="str">
        <f t="shared" si="27"/>
        <v/>
      </c>
      <c r="F139" s="210" t="str">
        <f>SUBSTITUTE(LEFT(Parameters!C141,IF(IFERROR(FIND("[",Parameters!C141),100)&gt;IFERROR(FIND("(",Parameters!C141),100),IFERROR(FIND("(",Parameters!C141),100),IFERROR(FIND("[",Parameters!C141),100))-1)," ","")</f>
        <v/>
      </c>
      <c r="H139" s="208" t="str">
        <f t="shared" si="28"/>
        <v/>
      </c>
      <c r="I139" s="208" t="str">
        <f t="shared" si="29"/>
        <v/>
      </c>
      <c r="J139" s="209" t="str">
        <f t="shared" si="30"/>
        <v/>
      </c>
      <c r="K139" t="str">
        <f>SUBSTITUTE(LEFT(Parameters!D141,IF(IFERROR(FIND("[",Parameters!D141),100)&gt;IFERROR(FIND("(",Parameters!D141),100),IFERROR(FIND("(",Parameters!D141),100),IFERROR(FIND("[",Parameters!D141),100))-1)," ","")</f>
        <v/>
      </c>
      <c r="M139" t="str">
        <f t="shared" si="31"/>
        <v/>
      </c>
      <c r="N139" s="208" t="str">
        <f t="shared" si="32"/>
        <v/>
      </c>
      <c r="O139" s="209" t="str">
        <f t="shared" si="33"/>
        <v/>
      </c>
      <c r="P139" s="211" t="str">
        <f t="shared" si="34"/>
        <v/>
      </c>
      <c r="Q139">
        <f>Parameters!E141</f>
        <v>28</v>
      </c>
      <c r="R139" t="str">
        <f>Parameters!F141</f>
        <v>HUInletRefTemp2</v>
      </c>
      <c r="S139" t="str">
        <f t="shared" si="35"/>
        <v>HUInletRefTemp2 : REAL;</v>
      </c>
    </row>
    <row r="140" spans="1:19" x14ac:dyDescent="0.45">
      <c r="A140" s="208" t="str">
        <f>SUBSTITUTE(LEFT(Parameters!B142,IF(IFERROR(FIND("[",Parameters!B142),100)&gt;IFERROR(FIND("(",Parameters!B142),100),IFERROR(FIND("(",Parameters!B142),100),IFERROR(FIND("[",Parameters!B142),100))-1)," ","")</f>
        <v/>
      </c>
      <c r="C140" s="208" t="str">
        <f t="shared" si="25"/>
        <v/>
      </c>
      <c r="D140" s="208" t="str">
        <f t="shared" si="26"/>
        <v/>
      </c>
      <c r="E140" s="209" t="str">
        <f t="shared" si="27"/>
        <v/>
      </c>
      <c r="F140" s="210" t="str">
        <f>SUBSTITUTE(LEFT(Parameters!C142,IF(IFERROR(FIND("[",Parameters!C142),100)&gt;IFERROR(FIND("(",Parameters!C142),100),IFERROR(FIND("(",Parameters!C142),100),IFERROR(FIND("[",Parameters!C142),100))-1)," ","")</f>
        <v/>
      </c>
      <c r="H140" s="208" t="str">
        <f t="shared" si="28"/>
        <v/>
      </c>
      <c r="I140" s="208" t="str">
        <f t="shared" si="29"/>
        <v/>
      </c>
      <c r="J140" s="209" t="str">
        <f t="shared" si="30"/>
        <v/>
      </c>
      <c r="K140" t="str">
        <f>SUBSTITUTE(LEFT(Parameters!D142,IF(IFERROR(FIND("[",Parameters!D142),100)&gt;IFERROR(FIND("(",Parameters!D142),100),IFERROR(FIND("(",Parameters!D142),100),IFERROR(FIND("[",Parameters!D142),100))-1)," ","")</f>
        <v/>
      </c>
      <c r="M140" t="str">
        <f t="shared" si="31"/>
        <v/>
      </c>
      <c r="N140" s="208" t="str">
        <f t="shared" si="32"/>
        <v/>
      </c>
      <c r="O140" s="209" t="str">
        <f t="shared" si="33"/>
        <v/>
      </c>
      <c r="P140" s="211" t="str">
        <f t="shared" si="34"/>
        <v/>
      </c>
      <c r="Q140">
        <f>Parameters!E142</f>
        <v>29</v>
      </c>
      <c r="R140" t="str">
        <f>Parameters!F142</f>
        <v>HUInletRefTemp3</v>
      </c>
      <c r="S140" t="str">
        <f t="shared" si="35"/>
        <v>HUInletRefTemp3 : REAL;</v>
      </c>
    </row>
    <row r="141" spans="1:19" x14ac:dyDescent="0.45">
      <c r="A141" s="208" t="str">
        <f>SUBSTITUTE(LEFT(Parameters!B143,IF(IFERROR(FIND("[",Parameters!B143),100)&gt;IFERROR(FIND("(",Parameters!B143),100),IFERROR(FIND("(",Parameters!B143),100),IFERROR(FIND("[",Parameters!B143),100))-1)," ","")</f>
        <v/>
      </c>
      <c r="C141" s="208" t="str">
        <f t="shared" si="25"/>
        <v/>
      </c>
      <c r="D141" s="208" t="str">
        <f t="shared" si="26"/>
        <v/>
      </c>
      <c r="E141" s="209" t="str">
        <f t="shared" si="27"/>
        <v/>
      </c>
      <c r="F141" s="210" t="str">
        <f>SUBSTITUTE(LEFT(Parameters!C143,IF(IFERROR(FIND("[",Parameters!C143),100)&gt;IFERROR(FIND("(",Parameters!C143),100),IFERROR(FIND("(",Parameters!C143),100),IFERROR(FIND("[",Parameters!C143),100))-1)," ","")</f>
        <v/>
      </c>
      <c r="H141" s="208" t="str">
        <f t="shared" si="28"/>
        <v/>
      </c>
      <c r="I141" s="208" t="str">
        <f t="shared" si="29"/>
        <v/>
      </c>
      <c r="J141" s="209" t="str">
        <f t="shared" si="30"/>
        <v/>
      </c>
      <c r="K141" t="str">
        <f>SUBSTITUTE(LEFT(Parameters!D143,IF(IFERROR(FIND("[",Parameters!D143),100)&gt;IFERROR(FIND("(",Parameters!D143),100),IFERROR(FIND("(",Parameters!D143),100),IFERROR(FIND("[",Parameters!D143),100))-1)," ","")</f>
        <v/>
      </c>
      <c r="M141" t="str">
        <f t="shared" si="31"/>
        <v/>
      </c>
      <c r="N141" s="208" t="str">
        <f t="shared" si="32"/>
        <v/>
      </c>
      <c r="O141" s="209" t="str">
        <f t="shared" si="33"/>
        <v/>
      </c>
      <c r="P141" s="211" t="str">
        <f t="shared" si="34"/>
        <v/>
      </c>
      <c r="Q141">
        <f>Parameters!E143</f>
        <v>30</v>
      </c>
      <c r="R141" t="str">
        <f>Parameters!F143</f>
        <v>HUInletRefTemp4</v>
      </c>
      <c r="S141" t="str">
        <f t="shared" si="35"/>
        <v>HUInletRefTemp4 : REAL;</v>
      </c>
    </row>
    <row r="142" spans="1:19" x14ac:dyDescent="0.45">
      <c r="A142" s="208" t="str">
        <f>SUBSTITUTE(LEFT(Parameters!B144,IF(IFERROR(FIND("[",Parameters!B144),100)&gt;IFERROR(FIND("(",Parameters!B144),100),IFERROR(FIND("(",Parameters!B144),100),IFERROR(FIND("[",Parameters!B144),100))-1)," ","")</f>
        <v/>
      </c>
      <c r="C142" s="208" t="str">
        <f t="shared" si="25"/>
        <v/>
      </c>
      <c r="D142" s="208" t="str">
        <f t="shared" si="26"/>
        <v/>
      </c>
      <c r="E142" s="209" t="str">
        <f t="shared" si="27"/>
        <v/>
      </c>
      <c r="F142" s="210" t="str">
        <f>SUBSTITUTE(LEFT(Parameters!C144,IF(IFERROR(FIND("[",Parameters!C144),100)&gt;IFERROR(FIND("(",Parameters!C144),100),IFERROR(FIND("(",Parameters!C144),100),IFERROR(FIND("[",Parameters!C144),100))-1)," ","")</f>
        <v/>
      </c>
      <c r="H142" s="208" t="str">
        <f t="shared" si="28"/>
        <v/>
      </c>
      <c r="I142" s="208" t="str">
        <f t="shared" si="29"/>
        <v/>
      </c>
      <c r="J142" s="209" t="str">
        <f t="shared" si="30"/>
        <v/>
      </c>
      <c r="K142" t="str">
        <f>SUBSTITUTE(LEFT(Parameters!D144,IF(IFERROR(FIND("[",Parameters!D144),100)&gt;IFERROR(FIND("(",Parameters!D144),100),IFERROR(FIND("(",Parameters!D144),100),IFERROR(FIND("[",Parameters!D144),100))-1)," ","")</f>
        <v/>
      </c>
      <c r="M142" t="str">
        <f t="shared" si="31"/>
        <v/>
      </c>
      <c r="N142" s="208" t="str">
        <f t="shared" si="32"/>
        <v/>
      </c>
      <c r="O142" s="209" t="str">
        <f t="shared" si="33"/>
        <v/>
      </c>
      <c r="P142" s="211" t="str">
        <f t="shared" si="34"/>
        <v/>
      </c>
      <c r="Q142">
        <f>Parameters!E144</f>
        <v>31</v>
      </c>
      <c r="R142" t="str">
        <f>Parameters!F144</f>
        <v>HUInletRefTemp5</v>
      </c>
      <c r="S142" t="str">
        <f t="shared" si="35"/>
        <v>HUInletRefTemp5 : REAL;</v>
      </c>
    </row>
    <row r="143" spans="1:19" x14ac:dyDescent="0.45">
      <c r="A143" s="208" t="str">
        <f>SUBSTITUTE(LEFT(Parameters!B145,IF(IFERROR(FIND("[",Parameters!B145),100)&gt;IFERROR(FIND("(",Parameters!B145),100),IFERROR(FIND("(",Parameters!B145),100),IFERROR(FIND("[",Parameters!B145),100))-1)," ","")</f>
        <v/>
      </c>
      <c r="C143" s="208" t="str">
        <f t="shared" si="25"/>
        <v/>
      </c>
      <c r="D143" s="208" t="str">
        <f t="shared" si="26"/>
        <v/>
      </c>
      <c r="E143" s="209" t="str">
        <f t="shared" si="27"/>
        <v/>
      </c>
      <c r="F143" s="210" t="str">
        <f>SUBSTITUTE(LEFT(Parameters!C145,IF(IFERROR(FIND("[",Parameters!C145),100)&gt;IFERROR(FIND("(",Parameters!C145),100),IFERROR(FIND("(",Parameters!C145),100),IFERROR(FIND("[",Parameters!C145),100))-1)," ","")</f>
        <v/>
      </c>
      <c r="H143" s="208" t="str">
        <f t="shared" si="28"/>
        <v/>
      </c>
      <c r="I143" s="208" t="str">
        <f t="shared" si="29"/>
        <v/>
      </c>
      <c r="J143" s="209" t="str">
        <f t="shared" si="30"/>
        <v/>
      </c>
      <c r="K143" t="str">
        <f>SUBSTITUTE(LEFT(Parameters!D145,IF(IFERROR(FIND("[",Parameters!D145),100)&gt;IFERROR(FIND("(",Parameters!D145),100),IFERROR(FIND("(",Parameters!D145),100),IFERROR(FIND("[",Parameters!D145),100))-1)," ","")</f>
        <v/>
      </c>
      <c r="M143" t="str">
        <f t="shared" si="31"/>
        <v/>
      </c>
      <c r="N143" s="208" t="str">
        <f t="shared" si="32"/>
        <v/>
      </c>
      <c r="O143" s="209" t="str">
        <f t="shared" si="33"/>
        <v/>
      </c>
      <c r="P143" s="211" t="str">
        <f t="shared" si="34"/>
        <v/>
      </c>
      <c r="Q143">
        <f>Parameters!E145</f>
        <v>32</v>
      </c>
      <c r="R143" t="str">
        <f>Parameters!F145</f>
        <v>HUInletRefTemp6</v>
      </c>
      <c r="S143" t="str">
        <f t="shared" si="35"/>
        <v>HUInletRefTemp6 : REAL;</v>
      </c>
    </row>
    <row r="144" spans="1:19" x14ac:dyDescent="0.45">
      <c r="A144" s="208" t="str">
        <f>SUBSTITUTE(LEFT(Parameters!B146,IF(IFERROR(FIND("[",Parameters!B146),100)&gt;IFERROR(FIND("(",Parameters!B146),100),IFERROR(FIND("(",Parameters!B146),100),IFERROR(FIND("[",Parameters!B146),100))-1)," ","")</f>
        <v/>
      </c>
      <c r="C144" s="208" t="str">
        <f t="shared" si="25"/>
        <v/>
      </c>
      <c r="D144" s="208" t="str">
        <f t="shared" si="26"/>
        <v/>
      </c>
      <c r="E144" s="209" t="str">
        <f t="shared" si="27"/>
        <v/>
      </c>
      <c r="F144" s="210" t="str">
        <f>SUBSTITUTE(LEFT(Parameters!C146,IF(IFERROR(FIND("[",Parameters!C146),100)&gt;IFERROR(FIND("(",Parameters!C146),100),IFERROR(FIND("(",Parameters!C146),100),IFERROR(FIND("[",Parameters!C146),100))-1)," ","")</f>
        <v/>
      </c>
      <c r="H144" s="208" t="str">
        <f t="shared" si="28"/>
        <v/>
      </c>
      <c r="I144" s="208" t="str">
        <f t="shared" si="29"/>
        <v/>
      </c>
      <c r="J144" s="209" t="str">
        <f t="shared" si="30"/>
        <v/>
      </c>
      <c r="K144" t="str">
        <f>SUBSTITUTE(LEFT(Parameters!D146,IF(IFERROR(FIND("[",Parameters!D146),100)&gt;IFERROR(FIND("(",Parameters!D146),100),IFERROR(FIND("(",Parameters!D146),100),IFERROR(FIND("[",Parameters!D146),100))-1)," ","")</f>
        <v/>
      </c>
      <c r="M144" t="str">
        <f t="shared" si="31"/>
        <v/>
      </c>
      <c r="N144" s="208" t="str">
        <f t="shared" si="32"/>
        <v/>
      </c>
      <c r="O144" s="209" t="str">
        <f t="shared" si="33"/>
        <v/>
      </c>
      <c r="P144" s="211" t="str">
        <f t="shared" si="34"/>
        <v/>
      </c>
      <c r="Q144">
        <f>Parameters!E146</f>
        <v>33</v>
      </c>
      <c r="R144" t="str">
        <f>Parameters!F146</f>
        <v>HUInletRefTemp7</v>
      </c>
      <c r="S144" t="str">
        <f t="shared" si="35"/>
        <v>HUInletRefTemp7 : REAL;</v>
      </c>
    </row>
    <row r="145" spans="1:19" x14ac:dyDescent="0.45">
      <c r="A145" s="208" t="str">
        <f>SUBSTITUTE(LEFT(Parameters!B147,IF(IFERROR(FIND("[",Parameters!B147),100)&gt;IFERROR(FIND("(",Parameters!B147),100),IFERROR(FIND("(",Parameters!B147),100),IFERROR(FIND("[",Parameters!B147),100))-1)," ","")</f>
        <v/>
      </c>
      <c r="C145" s="208" t="str">
        <f t="shared" si="25"/>
        <v/>
      </c>
      <c r="D145" s="208" t="str">
        <f t="shared" si="26"/>
        <v/>
      </c>
      <c r="E145" s="209" t="str">
        <f t="shared" si="27"/>
        <v/>
      </c>
      <c r="F145" s="210" t="str">
        <f>SUBSTITUTE(LEFT(Parameters!C147,IF(IFERROR(FIND("[",Parameters!C147),100)&gt;IFERROR(FIND("(",Parameters!C147),100),IFERROR(FIND("(",Parameters!C147),100),IFERROR(FIND("[",Parameters!C147),100))-1)," ","")</f>
        <v/>
      </c>
      <c r="H145" s="208" t="str">
        <f t="shared" si="28"/>
        <v/>
      </c>
      <c r="I145" s="208" t="str">
        <f t="shared" si="29"/>
        <v/>
      </c>
      <c r="J145" s="209" t="str">
        <f t="shared" si="30"/>
        <v/>
      </c>
      <c r="K145" t="str">
        <f>SUBSTITUTE(LEFT(Parameters!D147,IF(IFERROR(FIND("[",Parameters!D147),100)&gt;IFERROR(FIND("(",Parameters!D147),100),IFERROR(FIND("(",Parameters!D147),100),IFERROR(FIND("[",Parameters!D147),100))-1)," ","")</f>
        <v/>
      </c>
      <c r="M145" t="str">
        <f t="shared" si="31"/>
        <v/>
      </c>
      <c r="N145" s="208" t="str">
        <f t="shared" si="32"/>
        <v/>
      </c>
      <c r="O145" s="209" t="str">
        <f t="shared" si="33"/>
        <v/>
      </c>
      <c r="P145" s="211" t="str">
        <f t="shared" si="34"/>
        <v/>
      </c>
      <c r="Q145">
        <f>Parameters!E147</f>
        <v>34</v>
      </c>
      <c r="R145" t="str">
        <f>Parameters!F147</f>
        <v>HUInletRefTemp8</v>
      </c>
      <c r="S145" t="str">
        <f t="shared" si="35"/>
        <v>HUInletRefTemp8 : REAL;</v>
      </c>
    </row>
    <row r="146" spans="1:19" x14ac:dyDescent="0.45">
      <c r="A146" s="208" t="str">
        <f>SUBSTITUTE(LEFT(Parameters!B148,IF(IFERROR(FIND("[",Parameters!B148),100)&gt;IFERROR(FIND("(",Parameters!B148),100),IFERROR(FIND("(",Parameters!B148),100),IFERROR(FIND("[",Parameters!B148),100))-1)," ","")</f>
        <v/>
      </c>
      <c r="C146" s="208" t="str">
        <f t="shared" si="25"/>
        <v/>
      </c>
      <c r="D146" s="208" t="str">
        <f t="shared" si="26"/>
        <v/>
      </c>
      <c r="E146" s="209" t="str">
        <f t="shared" si="27"/>
        <v/>
      </c>
      <c r="F146" s="210" t="str">
        <f>SUBSTITUTE(LEFT(Parameters!C148,IF(IFERROR(FIND("[",Parameters!C148),100)&gt;IFERROR(FIND("(",Parameters!C148),100),IFERROR(FIND("(",Parameters!C148),100),IFERROR(FIND("[",Parameters!C148),100))-1)," ","")</f>
        <v/>
      </c>
      <c r="H146" s="208" t="str">
        <f t="shared" si="28"/>
        <v/>
      </c>
      <c r="I146" s="208" t="str">
        <f t="shared" si="29"/>
        <v/>
      </c>
      <c r="J146" s="209" t="str">
        <f t="shared" si="30"/>
        <v/>
      </c>
      <c r="K146" t="str">
        <f>SUBSTITUTE(LEFT(Parameters!D148,IF(IFERROR(FIND("[",Parameters!D148),100)&gt;IFERROR(FIND("(",Parameters!D148),100),IFERROR(FIND("(",Parameters!D148),100),IFERROR(FIND("[",Parameters!D148),100))-1)," ","")</f>
        <v/>
      </c>
      <c r="M146" t="str">
        <f t="shared" si="31"/>
        <v/>
      </c>
      <c r="N146" s="208" t="str">
        <f t="shared" si="32"/>
        <v/>
      </c>
      <c r="O146" s="209" t="str">
        <f t="shared" si="33"/>
        <v/>
      </c>
      <c r="P146" s="211" t="str">
        <f t="shared" si="34"/>
        <v/>
      </c>
      <c r="Q146">
        <f>Parameters!E148</f>
        <v>35</v>
      </c>
      <c r="R146" t="str">
        <f>Parameters!F148</f>
        <v>HUInletRefTemp9</v>
      </c>
      <c r="S146" t="str">
        <f t="shared" si="35"/>
        <v>HUInletRefTemp9 : REAL;</v>
      </c>
    </row>
    <row r="147" spans="1:19" x14ac:dyDescent="0.45">
      <c r="A147" s="208" t="str">
        <f>SUBSTITUTE(LEFT(Parameters!B149,IF(IFERROR(FIND("[",Parameters!B149),100)&gt;IFERROR(FIND("(",Parameters!B149),100),IFERROR(FIND("(",Parameters!B149),100),IFERROR(FIND("[",Parameters!B149),100))-1)," ","")</f>
        <v/>
      </c>
      <c r="C147" s="208" t="str">
        <f t="shared" si="25"/>
        <v/>
      </c>
      <c r="D147" s="208" t="str">
        <f t="shared" si="26"/>
        <v/>
      </c>
      <c r="E147" s="209" t="str">
        <f t="shared" si="27"/>
        <v/>
      </c>
      <c r="F147" s="210" t="str">
        <f>SUBSTITUTE(LEFT(Parameters!C149,IF(IFERROR(FIND("[",Parameters!C149),100)&gt;IFERROR(FIND("(",Parameters!C149),100),IFERROR(FIND("(",Parameters!C149),100),IFERROR(FIND("[",Parameters!C149),100))-1)," ","")</f>
        <v/>
      </c>
      <c r="H147" s="208" t="str">
        <f t="shared" si="28"/>
        <v/>
      </c>
      <c r="I147" s="208" t="str">
        <f t="shared" si="29"/>
        <v/>
      </c>
      <c r="J147" s="209" t="str">
        <f t="shared" si="30"/>
        <v/>
      </c>
      <c r="K147" t="str">
        <f>SUBSTITUTE(LEFT(Parameters!D149,IF(IFERROR(FIND("[",Parameters!D149),100)&gt;IFERROR(FIND("(",Parameters!D149),100),IFERROR(FIND("(",Parameters!D149),100),IFERROR(FIND("[",Parameters!D149),100))-1)," ","")</f>
        <v/>
      </c>
      <c r="M147" t="str">
        <f t="shared" si="31"/>
        <v/>
      </c>
      <c r="N147" s="208" t="str">
        <f t="shared" si="32"/>
        <v/>
      </c>
      <c r="O147" s="209" t="str">
        <f t="shared" si="33"/>
        <v/>
      </c>
      <c r="P147" s="211" t="str">
        <f t="shared" si="34"/>
        <v/>
      </c>
      <c r="Q147">
        <f>Parameters!E149</f>
        <v>36</v>
      </c>
      <c r="R147" t="str">
        <f>Parameters!F149</f>
        <v>HUInletRefTemp10</v>
      </c>
      <c r="S147" t="str">
        <f t="shared" si="35"/>
        <v>HUInletRefTemp10 : REAL;</v>
      </c>
    </row>
    <row r="148" spans="1:19" x14ac:dyDescent="0.45">
      <c r="A148" s="208" t="str">
        <f>SUBSTITUTE(LEFT(Parameters!B150,IF(IFERROR(FIND("[",Parameters!B150),100)&gt;IFERROR(FIND("(",Parameters!B150),100),IFERROR(FIND("(",Parameters!B150),100),IFERROR(FIND("[",Parameters!B150),100))-1)," ","")</f>
        <v/>
      </c>
      <c r="C148" s="208" t="str">
        <f t="shared" si="25"/>
        <v/>
      </c>
      <c r="D148" s="208" t="str">
        <f t="shared" si="26"/>
        <v/>
      </c>
      <c r="E148" s="209" t="str">
        <f t="shared" si="27"/>
        <v/>
      </c>
      <c r="F148" s="210" t="str">
        <f>SUBSTITUTE(LEFT(Parameters!C150,IF(IFERROR(FIND("[",Parameters!C150),100)&gt;IFERROR(FIND("(",Parameters!C150),100),IFERROR(FIND("(",Parameters!C150),100),IFERROR(FIND("[",Parameters!C150),100))-1)," ","")</f>
        <v/>
      </c>
      <c r="H148" s="208" t="str">
        <f t="shared" si="28"/>
        <v/>
      </c>
      <c r="I148" s="208" t="str">
        <f t="shared" si="29"/>
        <v/>
      </c>
      <c r="J148" s="209" t="str">
        <f t="shared" si="30"/>
        <v/>
      </c>
      <c r="K148" t="str">
        <f>SUBSTITUTE(LEFT(Parameters!D150,IF(IFERROR(FIND("[",Parameters!D150),100)&gt;IFERROR(FIND("(",Parameters!D150),100),IFERROR(FIND("(",Parameters!D150),100),IFERROR(FIND("[",Parameters!D150),100))-1)," ","")</f>
        <v/>
      </c>
      <c r="M148" t="str">
        <f t="shared" si="31"/>
        <v/>
      </c>
      <c r="N148" s="208" t="str">
        <f t="shared" si="32"/>
        <v/>
      </c>
      <c r="O148" s="209" t="str">
        <f t="shared" si="33"/>
        <v/>
      </c>
      <c r="P148" s="211" t="str">
        <f t="shared" si="34"/>
        <v/>
      </c>
      <c r="Q148">
        <f>Parameters!E150</f>
        <v>37</v>
      </c>
      <c r="R148" t="str">
        <f>Parameters!F150</f>
        <v>HUInletRefTemp11</v>
      </c>
      <c r="S148" t="str">
        <f t="shared" si="35"/>
        <v>HUInletRefTemp11 : REAL;</v>
      </c>
    </row>
    <row r="149" spans="1:19" x14ac:dyDescent="0.45">
      <c r="A149" s="208" t="str">
        <f>SUBSTITUTE(LEFT(Parameters!B151,IF(IFERROR(FIND("[",Parameters!B151),100)&gt;IFERROR(FIND("(",Parameters!B151),100),IFERROR(FIND("(",Parameters!B151),100),IFERROR(FIND("[",Parameters!B151),100))-1)," ","")</f>
        <v/>
      </c>
      <c r="C149" s="208" t="str">
        <f t="shared" si="25"/>
        <v/>
      </c>
      <c r="D149" s="208" t="str">
        <f t="shared" si="26"/>
        <v/>
      </c>
      <c r="E149" s="209" t="str">
        <f t="shared" si="27"/>
        <v/>
      </c>
      <c r="F149" s="210" t="str">
        <f>SUBSTITUTE(LEFT(Parameters!C151,IF(IFERROR(FIND("[",Parameters!C151),100)&gt;IFERROR(FIND("(",Parameters!C151),100),IFERROR(FIND("(",Parameters!C151),100),IFERROR(FIND("[",Parameters!C151),100))-1)," ","")</f>
        <v/>
      </c>
      <c r="H149" s="208" t="str">
        <f t="shared" si="28"/>
        <v/>
      </c>
      <c r="I149" s="208" t="str">
        <f t="shared" si="29"/>
        <v/>
      </c>
      <c r="J149" s="209" t="str">
        <f t="shared" si="30"/>
        <v/>
      </c>
      <c r="K149" t="str">
        <f>SUBSTITUTE(LEFT(Parameters!D151,IF(IFERROR(FIND("[",Parameters!D151),100)&gt;IFERROR(FIND("(",Parameters!D151),100),IFERROR(FIND("(",Parameters!D151),100),IFERROR(FIND("[",Parameters!D151),100))-1)," ","")</f>
        <v>CorrectionFactor</v>
      </c>
      <c r="M149" t="str">
        <f t="shared" si="31"/>
        <v/>
      </c>
      <c r="N149" s="208" t="str">
        <f t="shared" si="32"/>
        <v/>
      </c>
      <c r="O149" s="209" t="str">
        <f t="shared" si="33"/>
        <v/>
      </c>
      <c r="P149" s="211" t="str">
        <f t="shared" si="34"/>
        <v>CorrectionFactor</v>
      </c>
      <c r="Q149">
        <f>Parameters!E151</f>
        <v>38</v>
      </c>
      <c r="R149" t="str">
        <f>Parameters!F151</f>
        <v>CorrectionFactor0</v>
      </c>
      <c r="S149" t="str">
        <f t="shared" si="35"/>
        <v>CorrectionFactor0 : REAL;</v>
      </c>
    </row>
    <row r="150" spans="1:19" x14ac:dyDescent="0.45">
      <c r="A150" s="208" t="str">
        <f>SUBSTITUTE(LEFT(Parameters!B152,IF(IFERROR(FIND("[",Parameters!B152),100)&gt;IFERROR(FIND("(",Parameters!B152),100),IFERROR(FIND("(",Parameters!B152),100),IFERROR(FIND("[",Parameters!B152),100))-1)," ","")</f>
        <v/>
      </c>
      <c r="C150" s="208" t="str">
        <f t="shared" si="25"/>
        <v/>
      </c>
      <c r="D150" s="208" t="str">
        <f t="shared" si="26"/>
        <v/>
      </c>
      <c r="E150" s="209" t="str">
        <f t="shared" si="27"/>
        <v/>
      </c>
      <c r="F150" s="210" t="str">
        <f>SUBSTITUTE(LEFT(Parameters!C152,IF(IFERROR(FIND("[",Parameters!C152),100)&gt;IFERROR(FIND("(",Parameters!C152),100),IFERROR(FIND("(",Parameters!C152),100),IFERROR(FIND("[",Parameters!C152),100))-1)," ","")</f>
        <v/>
      </c>
      <c r="H150" s="208" t="str">
        <f t="shared" si="28"/>
        <v/>
      </c>
      <c r="I150" s="208" t="str">
        <f t="shared" si="29"/>
        <v/>
      </c>
      <c r="J150" s="209" t="str">
        <f t="shared" si="30"/>
        <v/>
      </c>
      <c r="K150" t="str">
        <f>SUBSTITUTE(LEFT(Parameters!D152,IF(IFERROR(FIND("[",Parameters!D152),100)&gt;IFERROR(FIND("(",Parameters!D152),100),IFERROR(FIND("(",Parameters!D152),100),IFERROR(FIND("[",Parameters!D152),100))-1)," ","")</f>
        <v/>
      </c>
      <c r="M150" t="str">
        <f t="shared" si="31"/>
        <v/>
      </c>
      <c r="N150" s="208" t="str">
        <f t="shared" si="32"/>
        <v/>
      </c>
      <c r="O150" s="209" t="str">
        <f t="shared" si="33"/>
        <v/>
      </c>
      <c r="P150" s="211" t="str">
        <f t="shared" si="34"/>
        <v/>
      </c>
      <c r="Q150">
        <f>Parameters!E152</f>
        <v>39</v>
      </c>
      <c r="R150" t="str">
        <f>Parameters!F152</f>
        <v>CorrectionFactor1</v>
      </c>
      <c r="S150" t="str">
        <f t="shared" si="35"/>
        <v>CorrectionFactor1 : REAL;</v>
      </c>
    </row>
    <row r="151" spans="1:19" x14ac:dyDescent="0.45">
      <c r="A151" s="208" t="str">
        <f>SUBSTITUTE(LEFT(Parameters!B153,IF(IFERROR(FIND("[",Parameters!B153),100)&gt;IFERROR(FIND("(",Parameters!B153),100),IFERROR(FIND("(",Parameters!B153),100),IFERROR(FIND("[",Parameters!B153),100))-1)," ","")</f>
        <v/>
      </c>
      <c r="C151" s="208" t="str">
        <f t="shared" si="25"/>
        <v/>
      </c>
      <c r="D151" s="208" t="str">
        <f t="shared" si="26"/>
        <v/>
      </c>
      <c r="E151" s="209" t="str">
        <f t="shared" si="27"/>
        <v/>
      </c>
      <c r="F151" s="210" t="str">
        <f>SUBSTITUTE(LEFT(Parameters!C153,IF(IFERROR(FIND("[",Parameters!C153),100)&gt;IFERROR(FIND("(",Parameters!C153),100),IFERROR(FIND("(",Parameters!C153),100),IFERROR(FIND("[",Parameters!C153),100))-1)," ","")</f>
        <v/>
      </c>
      <c r="H151" s="208" t="str">
        <f t="shared" si="28"/>
        <v/>
      </c>
      <c r="I151" s="208" t="str">
        <f t="shared" si="29"/>
        <v/>
      </c>
      <c r="J151" s="209" t="str">
        <f t="shared" si="30"/>
        <v/>
      </c>
      <c r="K151" t="str">
        <f>SUBSTITUTE(LEFT(Parameters!D153,IF(IFERROR(FIND("[",Parameters!D153),100)&gt;IFERROR(FIND("(",Parameters!D153),100),IFERROR(FIND("(",Parameters!D153),100),IFERROR(FIND("[",Parameters!D153),100))-1)," ","")</f>
        <v/>
      </c>
      <c r="M151" t="str">
        <f t="shared" si="31"/>
        <v/>
      </c>
      <c r="N151" s="208" t="str">
        <f t="shared" si="32"/>
        <v/>
      </c>
      <c r="O151" s="209" t="str">
        <f t="shared" si="33"/>
        <v/>
      </c>
      <c r="P151" s="211" t="str">
        <f t="shared" si="34"/>
        <v/>
      </c>
      <c r="Q151">
        <f>Parameters!E153</f>
        <v>40</v>
      </c>
      <c r="R151" t="str">
        <f>Parameters!F153</f>
        <v>CorrectionFactor2</v>
      </c>
      <c r="S151" t="str">
        <f t="shared" si="35"/>
        <v>CorrectionFactor2 : REAL;</v>
      </c>
    </row>
    <row r="152" spans="1:19" x14ac:dyDescent="0.45">
      <c r="A152" s="208" t="str">
        <f>SUBSTITUTE(LEFT(Parameters!B154,IF(IFERROR(FIND("[",Parameters!B154),100)&gt;IFERROR(FIND("(",Parameters!B154),100),IFERROR(FIND("(",Parameters!B154),100),IFERROR(FIND("[",Parameters!B154),100))-1)," ","")</f>
        <v/>
      </c>
      <c r="C152" s="208" t="str">
        <f t="shared" si="25"/>
        <v/>
      </c>
      <c r="D152" s="208" t="str">
        <f t="shared" si="26"/>
        <v/>
      </c>
      <c r="E152" s="209" t="str">
        <f t="shared" si="27"/>
        <v/>
      </c>
      <c r="F152" s="210" t="str">
        <f>SUBSTITUTE(LEFT(Parameters!C154,IF(IFERROR(FIND("[",Parameters!C154),100)&gt;IFERROR(FIND("(",Parameters!C154),100),IFERROR(FIND("(",Parameters!C154),100),IFERROR(FIND("[",Parameters!C154),100))-1)," ","")</f>
        <v/>
      </c>
      <c r="H152" s="208" t="str">
        <f t="shared" si="28"/>
        <v/>
      </c>
      <c r="I152" s="208" t="str">
        <f t="shared" si="29"/>
        <v/>
      </c>
      <c r="J152" s="209" t="str">
        <f t="shared" si="30"/>
        <v/>
      </c>
      <c r="K152" t="str">
        <f>SUBSTITUTE(LEFT(Parameters!D154,IF(IFERROR(FIND("[",Parameters!D154),100)&gt;IFERROR(FIND("(",Parameters!D154),100),IFERROR(FIND("(",Parameters!D154),100),IFERROR(FIND("[",Parameters!D154),100))-1)," ","")</f>
        <v/>
      </c>
      <c r="M152" t="str">
        <f t="shared" si="31"/>
        <v/>
      </c>
      <c r="N152" s="208" t="str">
        <f t="shared" si="32"/>
        <v/>
      </c>
      <c r="O152" s="209" t="str">
        <f t="shared" si="33"/>
        <v/>
      </c>
      <c r="P152" s="211" t="str">
        <f t="shared" si="34"/>
        <v/>
      </c>
      <c r="Q152">
        <f>Parameters!E154</f>
        <v>41</v>
      </c>
      <c r="R152" t="str">
        <f>Parameters!F154</f>
        <v>CorrectionFactor3</v>
      </c>
      <c r="S152" t="str">
        <f t="shared" si="35"/>
        <v>CorrectionFactor3 : REAL;</v>
      </c>
    </row>
    <row r="153" spans="1:19" x14ac:dyDescent="0.45">
      <c r="A153" s="208" t="str">
        <f>SUBSTITUTE(LEFT(Parameters!B155,IF(IFERROR(FIND("[",Parameters!B155),100)&gt;IFERROR(FIND("(",Parameters!B155),100),IFERROR(FIND("(",Parameters!B155),100),IFERROR(FIND("[",Parameters!B155),100))-1)," ","")</f>
        <v/>
      </c>
      <c r="C153" s="208" t="str">
        <f t="shared" si="25"/>
        <v/>
      </c>
      <c r="D153" s="208" t="str">
        <f t="shared" si="26"/>
        <v/>
      </c>
      <c r="E153" s="209" t="str">
        <f t="shared" si="27"/>
        <v/>
      </c>
      <c r="F153" s="210" t="str">
        <f>SUBSTITUTE(LEFT(Parameters!C155,IF(IFERROR(FIND("[",Parameters!C155),100)&gt;IFERROR(FIND("(",Parameters!C155),100),IFERROR(FIND("(",Parameters!C155),100),IFERROR(FIND("[",Parameters!C155),100))-1)," ","")</f>
        <v/>
      </c>
      <c r="H153" s="208" t="str">
        <f t="shared" si="28"/>
        <v/>
      </c>
      <c r="I153" s="208" t="str">
        <f t="shared" si="29"/>
        <v/>
      </c>
      <c r="J153" s="209" t="str">
        <f t="shared" si="30"/>
        <v/>
      </c>
      <c r="K153" t="str">
        <f>SUBSTITUTE(LEFT(Parameters!D155,IF(IFERROR(FIND("[",Parameters!D155),100)&gt;IFERROR(FIND("(",Parameters!D155),100),IFERROR(FIND("(",Parameters!D155),100),IFERROR(FIND("[",Parameters!D155),100))-1)," ","")</f>
        <v/>
      </c>
      <c r="M153" t="str">
        <f t="shared" si="31"/>
        <v/>
      </c>
      <c r="N153" s="208" t="str">
        <f t="shared" si="32"/>
        <v/>
      </c>
      <c r="O153" s="209" t="str">
        <f t="shared" si="33"/>
        <v/>
      </c>
      <c r="P153" s="211" t="str">
        <f t="shared" si="34"/>
        <v/>
      </c>
      <c r="Q153">
        <f>Parameters!E155</f>
        <v>42</v>
      </c>
      <c r="R153" t="str">
        <f>Parameters!F155</f>
        <v>CorrectionFactor4</v>
      </c>
      <c r="S153" t="str">
        <f t="shared" si="35"/>
        <v>CorrectionFactor4 : REAL;</v>
      </c>
    </row>
    <row r="154" spans="1:19" x14ac:dyDescent="0.45">
      <c r="A154" s="208" t="str">
        <f>SUBSTITUTE(LEFT(Parameters!B156,IF(IFERROR(FIND("[",Parameters!B156),100)&gt;IFERROR(FIND("(",Parameters!B156),100),IFERROR(FIND("(",Parameters!B156),100),IFERROR(FIND("[",Parameters!B156),100))-1)," ","")</f>
        <v/>
      </c>
      <c r="C154" s="208" t="str">
        <f t="shared" si="25"/>
        <v/>
      </c>
      <c r="D154" s="208" t="str">
        <f t="shared" si="26"/>
        <v/>
      </c>
      <c r="E154" s="209" t="str">
        <f t="shared" si="27"/>
        <v/>
      </c>
      <c r="F154" s="210" t="str">
        <f>SUBSTITUTE(LEFT(Parameters!C156,IF(IFERROR(FIND("[",Parameters!C156),100)&gt;IFERROR(FIND("(",Parameters!C156),100),IFERROR(FIND("(",Parameters!C156),100),IFERROR(FIND("[",Parameters!C156),100))-1)," ","")</f>
        <v/>
      </c>
      <c r="H154" s="208" t="str">
        <f t="shared" si="28"/>
        <v/>
      </c>
      <c r="I154" s="208" t="str">
        <f t="shared" si="29"/>
        <v/>
      </c>
      <c r="J154" s="209" t="str">
        <f t="shared" si="30"/>
        <v/>
      </c>
      <c r="K154" t="str">
        <f>SUBSTITUTE(LEFT(Parameters!D156,IF(IFERROR(FIND("[",Parameters!D156),100)&gt;IFERROR(FIND("(",Parameters!D156),100),IFERROR(FIND("(",Parameters!D156),100),IFERROR(FIND("[",Parameters!D156),100))-1)," ","")</f>
        <v/>
      </c>
      <c r="M154" t="str">
        <f t="shared" si="31"/>
        <v/>
      </c>
      <c r="N154" s="208" t="str">
        <f t="shared" si="32"/>
        <v/>
      </c>
      <c r="O154" s="209" t="str">
        <f t="shared" si="33"/>
        <v/>
      </c>
      <c r="P154" s="211" t="str">
        <f t="shared" si="34"/>
        <v/>
      </c>
      <c r="Q154">
        <f>Parameters!E156</f>
        <v>43</v>
      </c>
      <c r="R154" t="str">
        <f>Parameters!F156</f>
        <v>CorrectionFactor5</v>
      </c>
      <c r="S154" t="str">
        <f t="shared" si="35"/>
        <v>CorrectionFactor5 : REAL;</v>
      </c>
    </row>
    <row r="155" spans="1:19" x14ac:dyDescent="0.45">
      <c r="A155" s="208" t="str">
        <f>SUBSTITUTE(LEFT(Parameters!B157,IF(IFERROR(FIND("[",Parameters!B157),100)&gt;IFERROR(FIND("(",Parameters!B157),100),IFERROR(FIND("(",Parameters!B157),100),IFERROR(FIND("[",Parameters!B157),100))-1)," ","")</f>
        <v/>
      </c>
      <c r="C155" s="208" t="str">
        <f t="shared" si="25"/>
        <v/>
      </c>
      <c r="D155" s="208" t="str">
        <f t="shared" si="26"/>
        <v/>
      </c>
      <c r="E155" s="209" t="str">
        <f t="shared" si="27"/>
        <v/>
      </c>
      <c r="F155" s="210" t="str">
        <f>SUBSTITUTE(LEFT(Parameters!C157,IF(IFERROR(FIND("[",Parameters!C157),100)&gt;IFERROR(FIND("(",Parameters!C157),100),IFERROR(FIND("(",Parameters!C157),100),IFERROR(FIND("[",Parameters!C157),100))-1)," ","")</f>
        <v/>
      </c>
      <c r="H155" s="208" t="str">
        <f t="shared" si="28"/>
        <v/>
      </c>
      <c r="I155" s="208" t="str">
        <f t="shared" si="29"/>
        <v/>
      </c>
      <c r="J155" s="209" t="str">
        <f t="shared" si="30"/>
        <v/>
      </c>
      <c r="K155" t="str">
        <f>SUBSTITUTE(LEFT(Parameters!D157,IF(IFERROR(FIND("[",Parameters!D157),100)&gt;IFERROR(FIND("(",Parameters!D157),100),IFERROR(FIND("(",Parameters!D157),100),IFERROR(FIND("[",Parameters!D157),100))-1)," ","")</f>
        <v/>
      </c>
      <c r="M155" t="str">
        <f t="shared" si="31"/>
        <v/>
      </c>
      <c r="N155" s="208" t="str">
        <f t="shared" si="32"/>
        <v/>
      </c>
      <c r="O155" s="209" t="str">
        <f t="shared" si="33"/>
        <v/>
      </c>
      <c r="P155" s="211" t="str">
        <f t="shared" si="34"/>
        <v/>
      </c>
      <c r="Q155">
        <f>Parameters!E157</f>
        <v>44</v>
      </c>
      <c r="R155" t="str">
        <f>Parameters!F157</f>
        <v>CorrectionFactor6</v>
      </c>
      <c r="S155" t="str">
        <f t="shared" si="35"/>
        <v>CorrectionFactor6 : REAL;</v>
      </c>
    </row>
    <row r="156" spans="1:19" x14ac:dyDescent="0.45">
      <c r="A156" s="208" t="str">
        <f>SUBSTITUTE(LEFT(Parameters!B158,IF(IFERROR(FIND("[",Parameters!B158),100)&gt;IFERROR(FIND("(",Parameters!B158),100),IFERROR(FIND("(",Parameters!B158),100),IFERROR(FIND("[",Parameters!B158),100))-1)," ","")</f>
        <v/>
      </c>
      <c r="C156" s="208" t="str">
        <f t="shared" si="25"/>
        <v/>
      </c>
      <c r="D156" s="208" t="str">
        <f t="shared" si="26"/>
        <v/>
      </c>
      <c r="E156" s="209" t="str">
        <f t="shared" si="27"/>
        <v/>
      </c>
      <c r="F156" s="210" t="str">
        <f>SUBSTITUTE(LEFT(Parameters!C158,IF(IFERROR(FIND("[",Parameters!C158),100)&gt;IFERROR(FIND("(",Parameters!C158),100),IFERROR(FIND("(",Parameters!C158),100),IFERROR(FIND("[",Parameters!C158),100))-1)," ","")</f>
        <v/>
      </c>
      <c r="H156" s="208" t="str">
        <f t="shared" si="28"/>
        <v/>
      </c>
      <c r="I156" s="208" t="str">
        <f t="shared" si="29"/>
        <v/>
      </c>
      <c r="J156" s="209" t="str">
        <f t="shared" si="30"/>
        <v/>
      </c>
      <c r="K156" t="str">
        <f>SUBSTITUTE(LEFT(Parameters!D158,IF(IFERROR(FIND("[",Parameters!D158),100)&gt;IFERROR(FIND("(",Parameters!D158),100),IFERROR(FIND("(",Parameters!D158),100),IFERROR(FIND("[",Parameters!D158),100))-1)," ","")</f>
        <v/>
      </c>
      <c r="M156" t="str">
        <f t="shared" si="31"/>
        <v/>
      </c>
      <c r="N156" s="208" t="str">
        <f t="shared" si="32"/>
        <v/>
      </c>
      <c r="O156" s="209" t="str">
        <f t="shared" si="33"/>
        <v/>
      </c>
      <c r="P156" s="211" t="str">
        <f t="shared" si="34"/>
        <v/>
      </c>
      <c r="Q156">
        <f>Parameters!E158</f>
        <v>45</v>
      </c>
      <c r="R156" t="str">
        <f>Parameters!F158</f>
        <v>CorrectionFactor7</v>
      </c>
      <c r="S156" t="str">
        <f t="shared" si="35"/>
        <v>CorrectionFactor7 : REAL;</v>
      </c>
    </row>
    <row r="157" spans="1:19" x14ac:dyDescent="0.45">
      <c r="A157" s="208" t="str">
        <f>SUBSTITUTE(LEFT(Parameters!B159,IF(IFERROR(FIND("[",Parameters!B159),100)&gt;IFERROR(FIND("(",Parameters!B159),100),IFERROR(FIND("(",Parameters!B159),100),IFERROR(FIND("[",Parameters!B159),100))-1)," ","")</f>
        <v/>
      </c>
      <c r="C157" s="208" t="str">
        <f t="shared" si="25"/>
        <v/>
      </c>
      <c r="D157" s="208" t="str">
        <f t="shared" si="26"/>
        <v/>
      </c>
      <c r="E157" s="209" t="str">
        <f t="shared" si="27"/>
        <v/>
      </c>
      <c r="F157" s="210" t="str">
        <f>SUBSTITUTE(LEFT(Parameters!C159,IF(IFERROR(FIND("[",Parameters!C159),100)&gt;IFERROR(FIND("(",Parameters!C159),100),IFERROR(FIND("(",Parameters!C159),100),IFERROR(FIND("[",Parameters!C159),100))-1)," ","")</f>
        <v/>
      </c>
      <c r="H157" s="208" t="str">
        <f t="shared" si="28"/>
        <v/>
      </c>
      <c r="I157" s="208" t="str">
        <f t="shared" si="29"/>
        <v/>
      </c>
      <c r="J157" s="209" t="str">
        <f t="shared" si="30"/>
        <v/>
      </c>
      <c r="K157" t="str">
        <f>SUBSTITUTE(LEFT(Parameters!D159,IF(IFERROR(FIND("[",Parameters!D159),100)&gt;IFERROR(FIND("(",Parameters!D159),100),IFERROR(FIND("(",Parameters!D159),100),IFERROR(FIND("[",Parameters!D159),100))-1)," ","")</f>
        <v/>
      </c>
      <c r="M157" t="str">
        <f t="shared" si="31"/>
        <v/>
      </c>
      <c r="N157" s="208" t="str">
        <f t="shared" si="32"/>
        <v/>
      </c>
      <c r="O157" s="209" t="str">
        <f t="shared" si="33"/>
        <v/>
      </c>
      <c r="P157" s="211" t="str">
        <f t="shared" si="34"/>
        <v/>
      </c>
      <c r="Q157">
        <f>Parameters!E159</f>
        <v>46</v>
      </c>
      <c r="R157" t="str">
        <f>Parameters!F159</f>
        <v>CorrectionFactor8</v>
      </c>
      <c r="S157" t="str">
        <f t="shared" si="35"/>
        <v>CorrectionFactor8 : REAL;</v>
      </c>
    </row>
    <row r="158" spans="1:19" x14ac:dyDescent="0.45">
      <c r="A158" s="208" t="str">
        <f>SUBSTITUTE(LEFT(Parameters!B160,IF(IFERROR(FIND("[",Parameters!B160),100)&gt;IFERROR(FIND("(",Parameters!B160),100),IFERROR(FIND("(",Parameters!B160),100),IFERROR(FIND("[",Parameters!B160),100))-1)," ","")</f>
        <v/>
      </c>
      <c r="C158" s="208" t="str">
        <f t="shared" si="25"/>
        <v/>
      </c>
      <c r="D158" s="208" t="str">
        <f t="shared" si="26"/>
        <v/>
      </c>
      <c r="E158" s="209" t="str">
        <f t="shared" si="27"/>
        <v/>
      </c>
      <c r="F158" s="210" t="str">
        <f>SUBSTITUTE(LEFT(Parameters!C160,IF(IFERROR(FIND("[",Parameters!C160),100)&gt;IFERROR(FIND("(",Parameters!C160),100),IFERROR(FIND("(",Parameters!C160),100),IFERROR(FIND("[",Parameters!C160),100))-1)," ","")</f>
        <v/>
      </c>
      <c r="H158" s="208" t="str">
        <f t="shared" si="28"/>
        <v/>
      </c>
      <c r="I158" s="208" t="str">
        <f t="shared" si="29"/>
        <v/>
      </c>
      <c r="J158" s="209" t="str">
        <f t="shared" si="30"/>
        <v/>
      </c>
      <c r="K158" t="str">
        <f>SUBSTITUTE(LEFT(Parameters!D160,IF(IFERROR(FIND("[",Parameters!D160),100)&gt;IFERROR(FIND("(",Parameters!D160),100),IFERROR(FIND("(",Parameters!D160),100),IFERROR(FIND("[",Parameters!D160),100))-1)," ","")</f>
        <v/>
      </c>
      <c r="M158" t="str">
        <f t="shared" si="31"/>
        <v/>
      </c>
      <c r="N158" s="208" t="str">
        <f t="shared" si="32"/>
        <v/>
      </c>
      <c r="O158" s="209" t="str">
        <f t="shared" si="33"/>
        <v/>
      </c>
      <c r="P158" s="211" t="str">
        <f t="shared" si="34"/>
        <v/>
      </c>
      <c r="Q158">
        <f>Parameters!E160</f>
        <v>47</v>
      </c>
      <c r="R158" t="str">
        <f>Parameters!F160</f>
        <v>CorrectionFactor9</v>
      </c>
      <c r="S158" t="str">
        <f t="shared" si="35"/>
        <v>CorrectionFactor9 : REAL;</v>
      </c>
    </row>
    <row r="159" spans="1:19" x14ac:dyDescent="0.45">
      <c r="A159" s="208" t="str">
        <f>SUBSTITUTE(LEFT(Parameters!B161,IF(IFERROR(FIND("[",Parameters!B161),100)&gt;IFERROR(FIND("(",Parameters!B161),100),IFERROR(FIND("(",Parameters!B161),100),IFERROR(FIND("[",Parameters!B161),100))-1)," ","")</f>
        <v/>
      </c>
      <c r="C159" s="208" t="str">
        <f t="shared" si="25"/>
        <v/>
      </c>
      <c r="D159" s="208" t="str">
        <f t="shared" si="26"/>
        <v/>
      </c>
      <c r="E159" s="209" t="str">
        <f t="shared" si="27"/>
        <v/>
      </c>
      <c r="F159" s="210" t="str">
        <f>SUBSTITUTE(LEFT(Parameters!C161,IF(IFERROR(FIND("[",Parameters!C161),100)&gt;IFERROR(FIND("(",Parameters!C161),100),IFERROR(FIND("(",Parameters!C161),100),IFERROR(FIND("[",Parameters!C161),100))-1)," ","")</f>
        <v/>
      </c>
      <c r="H159" s="208" t="str">
        <f t="shared" si="28"/>
        <v/>
      </c>
      <c r="I159" s="208" t="str">
        <f t="shared" si="29"/>
        <v/>
      </c>
      <c r="J159" s="209" t="str">
        <f t="shared" si="30"/>
        <v/>
      </c>
      <c r="K159" t="str">
        <f>SUBSTITUTE(LEFT(Parameters!D161,IF(IFERROR(FIND("[",Parameters!D161),100)&gt;IFERROR(FIND("(",Parameters!D161),100),IFERROR(FIND("(",Parameters!D161),100),IFERROR(FIND("[",Parameters!D161),100))-1)," ","")</f>
        <v/>
      </c>
      <c r="M159" t="str">
        <f t="shared" si="31"/>
        <v/>
      </c>
      <c r="N159" s="208" t="str">
        <f t="shared" si="32"/>
        <v/>
      </c>
      <c r="O159" s="209" t="str">
        <f t="shared" si="33"/>
        <v/>
      </c>
      <c r="P159" s="211" t="str">
        <f t="shared" si="34"/>
        <v/>
      </c>
      <c r="Q159">
        <f>Parameters!E161</f>
        <v>48</v>
      </c>
      <c r="R159" t="str">
        <f>Parameters!F161</f>
        <v>CorrectionFactor10</v>
      </c>
      <c r="S159" t="str">
        <f t="shared" si="35"/>
        <v>CorrectionFactor10 : REAL;</v>
      </c>
    </row>
    <row r="160" spans="1:19" x14ac:dyDescent="0.45">
      <c r="A160" s="208" t="str">
        <f>SUBSTITUTE(LEFT(Parameters!B162,IF(IFERROR(FIND("[",Parameters!B162),100)&gt;IFERROR(FIND("(",Parameters!B162),100),IFERROR(FIND("(",Parameters!B162),100),IFERROR(FIND("[",Parameters!B162),100))-1)," ","")</f>
        <v/>
      </c>
      <c r="C160" s="208" t="str">
        <f t="shared" si="25"/>
        <v/>
      </c>
      <c r="D160" s="208" t="str">
        <f t="shared" si="26"/>
        <v/>
      </c>
      <c r="E160" s="209" t="str">
        <f t="shared" si="27"/>
        <v/>
      </c>
      <c r="F160" s="210" t="str">
        <f>SUBSTITUTE(LEFT(Parameters!C162,IF(IFERROR(FIND("[",Parameters!C162),100)&gt;IFERROR(FIND("(",Parameters!C162),100),IFERROR(FIND("(",Parameters!C162),100),IFERROR(FIND("[",Parameters!C162),100))-1)," ","")</f>
        <v/>
      </c>
      <c r="H160" s="208" t="str">
        <f t="shared" si="28"/>
        <v/>
      </c>
      <c r="I160" s="208" t="str">
        <f t="shared" si="29"/>
        <v/>
      </c>
      <c r="J160" s="209" t="str">
        <f t="shared" si="30"/>
        <v/>
      </c>
      <c r="K160" t="str">
        <f>SUBSTITUTE(LEFT(Parameters!D162,IF(IFERROR(FIND("[",Parameters!D162),100)&gt;IFERROR(FIND("(",Parameters!D162),100),IFERROR(FIND("(",Parameters!D162),100),IFERROR(FIND("[",Parameters!D162),100))-1)," ","")</f>
        <v/>
      </c>
      <c r="M160" t="str">
        <f t="shared" si="31"/>
        <v/>
      </c>
      <c r="N160" s="208" t="str">
        <f t="shared" si="32"/>
        <v/>
      </c>
      <c r="O160" s="209" t="str">
        <f t="shared" si="33"/>
        <v/>
      </c>
      <c r="P160" s="211" t="str">
        <f t="shared" si="34"/>
        <v/>
      </c>
      <c r="Q160">
        <f>Parameters!E162</f>
        <v>49</v>
      </c>
      <c r="R160" t="str">
        <f>Parameters!F162</f>
        <v>CorrectionFactor11</v>
      </c>
      <c r="S160" t="str">
        <f t="shared" si="35"/>
        <v>CorrectionFactor11 : REAL;</v>
      </c>
    </row>
    <row r="161" spans="1:19" x14ac:dyDescent="0.45">
      <c r="A161" s="208" t="str">
        <f>SUBSTITUTE(LEFT(Parameters!B163,IF(IFERROR(FIND("[",Parameters!B163),100)&gt;IFERROR(FIND("(",Parameters!B163),100),IFERROR(FIND("(",Parameters!B163),100),IFERROR(FIND("[",Parameters!B163),100))-1)," ","")</f>
        <v/>
      </c>
      <c r="C161" s="208" t="str">
        <f t="shared" si="25"/>
        <v/>
      </c>
      <c r="D161" s="208" t="str">
        <f t="shared" si="26"/>
        <v/>
      </c>
      <c r="E161" s="209" t="str">
        <f t="shared" si="27"/>
        <v/>
      </c>
      <c r="F161" s="210" t="str">
        <f>SUBSTITUTE(LEFT(Parameters!C163,IF(IFERROR(FIND("[",Parameters!C163),100)&gt;IFERROR(FIND("(",Parameters!C163),100),IFERROR(FIND("(",Parameters!C163),100),IFERROR(FIND("[",Parameters!C163),100))-1)," ","")</f>
        <v>FODSFeedback</v>
      </c>
      <c r="H161" s="208" t="str">
        <f t="shared" si="28"/>
        <v/>
      </c>
      <c r="I161" s="208" t="str">
        <f t="shared" si="29"/>
        <v/>
      </c>
      <c r="J161" s="209" t="str">
        <f t="shared" si="30"/>
        <v/>
      </c>
      <c r="K161" t="str">
        <f>SUBSTITUTE(LEFT(Parameters!D163,IF(IFERROR(FIND("[",Parameters!D163),100)&gt;IFERROR(FIND("(",Parameters!D163),100),IFERROR(FIND("(",Parameters!D163),100),IFERROR(FIND("[",Parameters!D163),100))-1)," ","")</f>
        <v>MOCSTempPgain</v>
      </c>
      <c r="M161" t="str">
        <f t="shared" si="31"/>
        <v/>
      </c>
      <c r="N161" s="208" t="str">
        <f t="shared" si="32"/>
        <v/>
      </c>
      <c r="O161" s="209" t="str">
        <f t="shared" si="33"/>
        <v/>
      </c>
      <c r="P161" s="211" t="str">
        <f t="shared" si="34"/>
        <v>MOCSTempPgain</v>
      </c>
      <c r="Q161">
        <f>Parameters!E163</f>
        <v>50</v>
      </c>
      <c r="R161" t="str">
        <f>Parameters!F163</f>
        <v>MOCSTempPgain0</v>
      </c>
      <c r="S161" t="str">
        <f t="shared" si="35"/>
        <v>MOCSTempPgain0 : REAL;</v>
      </c>
    </row>
    <row r="162" spans="1:19" x14ac:dyDescent="0.45">
      <c r="A162" s="208" t="str">
        <f>SUBSTITUTE(LEFT(Parameters!B164,IF(IFERROR(FIND("[",Parameters!B164),100)&gt;IFERROR(FIND("(",Parameters!B164),100),IFERROR(FIND("(",Parameters!B164),100),IFERROR(FIND("[",Parameters!B164),100))-1)," ","")</f>
        <v/>
      </c>
      <c r="C162" s="208" t="str">
        <f t="shared" si="25"/>
        <v/>
      </c>
      <c r="D162" s="208" t="str">
        <f t="shared" si="26"/>
        <v/>
      </c>
      <c r="E162" s="209" t="str">
        <f t="shared" si="27"/>
        <v/>
      </c>
      <c r="F162" s="210" t="str">
        <f>SUBSTITUTE(LEFT(Parameters!C164,IF(IFERROR(FIND("[",Parameters!C164),100)&gt;IFERROR(FIND("(",Parameters!C164),100),IFERROR(FIND("(",Parameters!C164),100),IFERROR(FIND("[",Parameters!C164),100))-1)," ","")</f>
        <v/>
      </c>
      <c r="H162" s="208" t="str">
        <f t="shared" si="28"/>
        <v/>
      </c>
      <c r="I162" s="208" t="str">
        <f t="shared" si="29"/>
        <v/>
      </c>
      <c r="J162" s="209" t="str">
        <f t="shared" si="30"/>
        <v/>
      </c>
      <c r="K162" t="str">
        <f>SUBSTITUTE(LEFT(Parameters!D164,IF(IFERROR(FIND("[",Parameters!D164),100)&gt;IFERROR(FIND("(",Parameters!D164),100),IFERROR(FIND("(",Parameters!D164),100),IFERROR(FIND("[",Parameters!D164),100))-1)," ","")</f>
        <v/>
      </c>
      <c r="M162" t="str">
        <f t="shared" si="31"/>
        <v/>
      </c>
      <c r="N162" s="208" t="str">
        <f t="shared" si="32"/>
        <v/>
      </c>
      <c r="O162" s="209" t="str">
        <f t="shared" si="33"/>
        <v/>
      </c>
      <c r="P162" s="211" t="str">
        <f t="shared" si="34"/>
        <v/>
      </c>
      <c r="Q162">
        <f>Parameters!E164</f>
        <v>51</v>
      </c>
      <c r="R162" t="str">
        <f>Parameters!F164</f>
        <v>MOCSTempPgain1</v>
      </c>
      <c r="S162" t="str">
        <f t="shared" si="35"/>
        <v>MOCSTempPgain1 : REAL;</v>
      </c>
    </row>
    <row r="163" spans="1:19" x14ac:dyDescent="0.45">
      <c r="A163" s="208" t="str">
        <f>SUBSTITUTE(LEFT(Parameters!B165,IF(IFERROR(FIND("[",Parameters!B165),100)&gt;IFERROR(FIND("(",Parameters!B165),100),IFERROR(FIND("(",Parameters!B165),100),IFERROR(FIND("[",Parameters!B165),100))-1)," ","")</f>
        <v/>
      </c>
      <c r="C163" s="208" t="str">
        <f t="shared" si="25"/>
        <v/>
      </c>
      <c r="D163" s="208" t="str">
        <f t="shared" si="26"/>
        <v/>
      </c>
      <c r="E163" s="209" t="str">
        <f t="shared" si="27"/>
        <v/>
      </c>
      <c r="F163" s="210" t="str">
        <f>SUBSTITUTE(LEFT(Parameters!C165,IF(IFERROR(FIND("[",Parameters!C165),100)&gt;IFERROR(FIND("(",Parameters!C165),100),IFERROR(FIND("(",Parameters!C165),100),IFERROR(FIND("[",Parameters!C165),100))-1)," ","")</f>
        <v/>
      </c>
      <c r="H163" s="208" t="str">
        <f t="shared" si="28"/>
        <v/>
      </c>
      <c r="I163" s="208" t="str">
        <f t="shared" si="29"/>
        <v/>
      </c>
      <c r="J163" s="209" t="str">
        <f t="shared" si="30"/>
        <v/>
      </c>
      <c r="K163" t="str">
        <f>SUBSTITUTE(LEFT(Parameters!D165,IF(IFERROR(FIND("[",Parameters!D165),100)&gt;IFERROR(FIND("(",Parameters!D165),100),IFERROR(FIND("(",Parameters!D165),100),IFERROR(FIND("[",Parameters!D165),100))-1)," ","")</f>
        <v/>
      </c>
      <c r="M163" t="str">
        <f t="shared" si="31"/>
        <v/>
      </c>
      <c r="N163" s="208" t="str">
        <f t="shared" si="32"/>
        <v/>
      </c>
      <c r="O163" s="209" t="str">
        <f t="shared" si="33"/>
        <v/>
      </c>
      <c r="P163" s="211" t="str">
        <f t="shared" si="34"/>
        <v/>
      </c>
      <c r="Q163">
        <f>Parameters!E165</f>
        <v>52</v>
      </c>
      <c r="R163" t="str">
        <f>Parameters!F165</f>
        <v>MOCSTempPgain2</v>
      </c>
      <c r="S163" t="str">
        <f t="shared" si="35"/>
        <v>MOCSTempPgain2 : REAL;</v>
      </c>
    </row>
    <row r="164" spans="1:19" x14ac:dyDescent="0.45">
      <c r="A164" s="208" t="str">
        <f>SUBSTITUTE(LEFT(Parameters!B166,IF(IFERROR(FIND("[",Parameters!B166),100)&gt;IFERROR(FIND("(",Parameters!B166),100),IFERROR(FIND("(",Parameters!B166),100),IFERROR(FIND("[",Parameters!B166),100))-1)," ","")</f>
        <v/>
      </c>
      <c r="C164" s="208" t="str">
        <f t="shared" si="25"/>
        <v/>
      </c>
      <c r="D164" s="208" t="str">
        <f t="shared" si="26"/>
        <v/>
      </c>
      <c r="E164" s="209" t="str">
        <f t="shared" si="27"/>
        <v/>
      </c>
      <c r="F164" s="210" t="str">
        <f>SUBSTITUTE(LEFT(Parameters!C166,IF(IFERROR(FIND("[",Parameters!C166),100)&gt;IFERROR(FIND("(",Parameters!C166),100),IFERROR(FIND("(",Parameters!C166),100),IFERROR(FIND("[",Parameters!C166),100))-1)," ","")</f>
        <v/>
      </c>
      <c r="H164" s="208" t="str">
        <f t="shared" si="28"/>
        <v/>
      </c>
      <c r="I164" s="208" t="str">
        <f t="shared" si="29"/>
        <v/>
      </c>
      <c r="J164" s="209" t="str">
        <f t="shared" si="30"/>
        <v/>
      </c>
      <c r="K164" t="str">
        <f>SUBSTITUTE(LEFT(Parameters!D166,IF(IFERROR(FIND("[",Parameters!D166),100)&gt;IFERROR(FIND("(",Parameters!D166),100),IFERROR(FIND("(",Parameters!D166),100),IFERROR(FIND("[",Parameters!D166),100))-1)," ","")</f>
        <v/>
      </c>
      <c r="M164" t="str">
        <f t="shared" si="31"/>
        <v/>
      </c>
      <c r="N164" s="208" t="str">
        <f t="shared" si="32"/>
        <v/>
      </c>
      <c r="O164" s="209" t="str">
        <f t="shared" si="33"/>
        <v/>
      </c>
      <c r="P164" s="211" t="str">
        <f t="shared" si="34"/>
        <v/>
      </c>
      <c r="Q164">
        <f>Parameters!E166</f>
        <v>53</v>
      </c>
      <c r="R164" t="str">
        <f>Parameters!F166</f>
        <v>MOCSTempPgain3</v>
      </c>
      <c r="S164" t="str">
        <f t="shared" si="35"/>
        <v>MOCSTempPgain3 : REAL;</v>
      </c>
    </row>
    <row r="165" spans="1:19" x14ac:dyDescent="0.45">
      <c r="A165" s="208" t="str">
        <f>SUBSTITUTE(LEFT(Parameters!B167,IF(IFERROR(FIND("[",Parameters!B167),100)&gt;IFERROR(FIND("(",Parameters!B167),100),IFERROR(FIND("(",Parameters!B167),100),IFERROR(FIND("[",Parameters!B167),100))-1)," ","")</f>
        <v/>
      </c>
      <c r="C165" s="208" t="str">
        <f t="shared" si="25"/>
        <v/>
      </c>
      <c r="D165" s="208" t="str">
        <f t="shared" si="26"/>
        <v/>
      </c>
      <c r="E165" s="209" t="str">
        <f t="shared" si="27"/>
        <v/>
      </c>
      <c r="F165" s="210" t="str">
        <f>SUBSTITUTE(LEFT(Parameters!C167,IF(IFERROR(FIND("[",Parameters!C167),100)&gt;IFERROR(FIND("(",Parameters!C167),100),IFERROR(FIND("(",Parameters!C167),100),IFERROR(FIND("[",Parameters!C167),100))-1)," ","")</f>
        <v/>
      </c>
      <c r="H165" s="208" t="str">
        <f t="shared" si="28"/>
        <v/>
      </c>
      <c r="I165" s="208" t="str">
        <f t="shared" si="29"/>
        <v/>
      </c>
      <c r="J165" s="209" t="str">
        <f t="shared" si="30"/>
        <v/>
      </c>
      <c r="K165" t="str">
        <f>SUBSTITUTE(LEFT(Parameters!D167,IF(IFERROR(FIND("[",Parameters!D167),100)&gt;IFERROR(FIND("(",Parameters!D167),100),IFERROR(FIND("(",Parameters!D167),100),IFERROR(FIND("[",Parameters!D167),100))-1)," ","")</f>
        <v/>
      </c>
      <c r="M165" t="str">
        <f t="shared" si="31"/>
        <v/>
      </c>
      <c r="N165" s="208" t="str">
        <f t="shared" si="32"/>
        <v/>
      </c>
      <c r="O165" s="209" t="str">
        <f t="shared" si="33"/>
        <v/>
      </c>
      <c r="P165" s="211" t="str">
        <f t="shared" si="34"/>
        <v/>
      </c>
      <c r="Q165">
        <f>Parameters!E167</f>
        <v>54</v>
      </c>
      <c r="R165" t="str">
        <f>Parameters!F167</f>
        <v>MOCSTempPgain4</v>
      </c>
      <c r="S165" t="str">
        <f t="shared" si="35"/>
        <v>MOCSTempPgain4 : REAL;</v>
      </c>
    </row>
    <row r="166" spans="1:19" x14ac:dyDescent="0.45">
      <c r="A166" s="208" t="str">
        <f>SUBSTITUTE(LEFT(Parameters!B168,IF(IFERROR(FIND("[",Parameters!B168),100)&gt;IFERROR(FIND("(",Parameters!B168),100),IFERROR(FIND("(",Parameters!B168),100),IFERROR(FIND("[",Parameters!B168),100))-1)," ","")</f>
        <v/>
      </c>
      <c r="C166" s="208" t="str">
        <f t="shared" si="25"/>
        <v/>
      </c>
      <c r="D166" s="208" t="str">
        <f t="shared" si="26"/>
        <v/>
      </c>
      <c r="E166" s="209" t="str">
        <f t="shared" si="27"/>
        <v/>
      </c>
      <c r="F166" s="210" t="str">
        <f>SUBSTITUTE(LEFT(Parameters!C168,IF(IFERROR(FIND("[",Parameters!C168),100)&gt;IFERROR(FIND("(",Parameters!C168),100),IFERROR(FIND("(",Parameters!C168),100),IFERROR(FIND("[",Parameters!C168),100))-1)," ","")</f>
        <v/>
      </c>
      <c r="H166" s="208" t="str">
        <f t="shared" si="28"/>
        <v/>
      </c>
      <c r="I166" s="208" t="str">
        <f t="shared" si="29"/>
        <v/>
      </c>
      <c r="J166" s="209" t="str">
        <f t="shared" si="30"/>
        <v/>
      </c>
      <c r="K166" t="str">
        <f>SUBSTITUTE(LEFT(Parameters!D168,IF(IFERROR(FIND("[",Parameters!D168),100)&gt;IFERROR(FIND("(",Parameters!D168),100),IFERROR(FIND("(",Parameters!D168),100),IFERROR(FIND("[",Parameters!D168),100))-1)," ","")</f>
        <v/>
      </c>
      <c r="M166" t="str">
        <f t="shared" si="31"/>
        <v/>
      </c>
      <c r="N166" s="208" t="str">
        <f t="shared" si="32"/>
        <v/>
      </c>
      <c r="O166" s="209" t="str">
        <f t="shared" si="33"/>
        <v/>
      </c>
      <c r="P166" s="211" t="str">
        <f t="shared" si="34"/>
        <v/>
      </c>
      <c r="Q166">
        <f>Parameters!E168</f>
        <v>55</v>
      </c>
      <c r="R166" t="str">
        <f>Parameters!F168</f>
        <v>MOCSTempPgain5</v>
      </c>
      <c r="S166" t="str">
        <f t="shared" si="35"/>
        <v>MOCSTempPgain5 : REAL;</v>
      </c>
    </row>
    <row r="167" spans="1:19" x14ac:dyDescent="0.45">
      <c r="A167" s="208" t="str">
        <f>SUBSTITUTE(LEFT(Parameters!B169,IF(IFERROR(FIND("[",Parameters!B169),100)&gt;IFERROR(FIND("(",Parameters!B169),100),IFERROR(FIND("(",Parameters!B169),100),IFERROR(FIND("[",Parameters!B169),100))-1)," ","")</f>
        <v/>
      </c>
      <c r="C167" s="208" t="str">
        <f t="shared" si="25"/>
        <v/>
      </c>
      <c r="D167" s="208" t="str">
        <f t="shared" si="26"/>
        <v/>
      </c>
      <c r="E167" s="209" t="str">
        <f t="shared" si="27"/>
        <v/>
      </c>
      <c r="F167" s="210" t="str">
        <f>SUBSTITUTE(LEFT(Parameters!C169,IF(IFERROR(FIND("[",Parameters!C169),100)&gt;IFERROR(FIND("(",Parameters!C169),100),IFERROR(FIND("(",Parameters!C169),100),IFERROR(FIND("[",Parameters!C169),100))-1)," ","")</f>
        <v/>
      </c>
      <c r="H167" s="208" t="str">
        <f t="shared" si="28"/>
        <v/>
      </c>
      <c r="I167" s="208" t="str">
        <f t="shared" si="29"/>
        <v/>
      </c>
      <c r="J167" s="209" t="str">
        <f t="shared" si="30"/>
        <v/>
      </c>
      <c r="K167" t="str">
        <f>SUBSTITUTE(LEFT(Parameters!D169,IF(IFERROR(FIND("[",Parameters!D169),100)&gt;IFERROR(FIND("(",Parameters!D169),100),IFERROR(FIND("(",Parameters!D169),100),IFERROR(FIND("[",Parameters!D169),100))-1)," ","")</f>
        <v/>
      </c>
      <c r="M167" t="str">
        <f t="shared" si="31"/>
        <v/>
      </c>
      <c r="N167" s="208" t="str">
        <f t="shared" si="32"/>
        <v/>
      </c>
      <c r="O167" s="209" t="str">
        <f t="shared" si="33"/>
        <v/>
      </c>
      <c r="P167" s="211" t="str">
        <f t="shared" si="34"/>
        <v/>
      </c>
      <c r="Q167">
        <f>Parameters!E169</f>
        <v>56</v>
      </c>
      <c r="R167" t="str">
        <f>Parameters!F169</f>
        <v>MOCSTempPgain6</v>
      </c>
      <c r="S167" t="str">
        <f t="shared" si="35"/>
        <v>MOCSTempPgain6 : REAL;</v>
      </c>
    </row>
    <row r="168" spans="1:19" x14ac:dyDescent="0.45">
      <c r="A168" s="208" t="str">
        <f>SUBSTITUTE(LEFT(Parameters!B170,IF(IFERROR(FIND("[",Parameters!B170),100)&gt;IFERROR(FIND("(",Parameters!B170),100),IFERROR(FIND("(",Parameters!B170),100),IFERROR(FIND("[",Parameters!B170),100))-1)," ","")</f>
        <v/>
      </c>
      <c r="C168" s="208" t="str">
        <f t="shared" si="25"/>
        <v/>
      </c>
      <c r="D168" s="208" t="str">
        <f t="shared" si="26"/>
        <v/>
      </c>
      <c r="E168" s="209" t="str">
        <f t="shared" si="27"/>
        <v/>
      </c>
      <c r="F168" s="210" t="str">
        <f>SUBSTITUTE(LEFT(Parameters!C170,IF(IFERROR(FIND("[",Parameters!C170),100)&gt;IFERROR(FIND("(",Parameters!C170),100),IFERROR(FIND("(",Parameters!C170),100),IFERROR(FIND("[",Parameters!C170),100))-1)," ","")</f>
        <v/>
      </c>
      <c r="H168" s="208" t="str">
        <f t="shared" si="28"/>
        <v/>
      </c>
      <c r="I168" s="208" t="str">
        <f t="shared" si="29"/>
        <v/>
      </c>
      <c r="J168" s="209" t="str">
        <f t="shared" si="30"/>
        <v/>
      </c>
      <c r="K168" t="str">
        <f>SUBSTITUTE(LEFT(Parameters!D170,IF(IFERROR(FIND("[",Parameters!D170),100)&gt;IFERROR(FIND("(",Parameters!D170),100),IFERROR(FIND("(",Parameters!D170),100),IFERROR(FIND("[",Parameters!D170),100))-1)," ","")</f>
        <v/>
      </c>
      <c r="M168" t="str">
        <f t="shared" si="31"/>
        <v/>
      </c>
      <c r="N168" s="208" t="str">
        <f t="shared" si="32"/>
        <v/>
      </c>
      <c r="O168" s="209" t="str">
        <f t="shared" si="33"/>
        <v/>
      </c>
      <c r="P168" s="211" t="str">
        <f t="shared" si="34"/>
        <v/>
      </c>
      <c r="Q168">
        <f>Parameters!E170</f>
        <v>57</v>
      </c>
      <c r="R168" t="str">
        <f>Parameters!F170</f>
        <v>MOCSTempPgain7</v>
      </c>
      <c r="S168" t="str">
        <f t="shared" si="35"/>
        <v>MOCSTempPgain7 : REAL;</v>
      </c>
    </row>
    <row r="169" spans="1:19" x14ac:dyDescent="0.45">
      <c r="A169" s="208" t="str">
        <f>SUBSTITUTE(LEFT(Parameters!B171,IF(IFERROR(FIND("[",Parameters!B171),100)&gt;IFERROR(FIND("(",Parameters!B171),100),IFERROR(FIND("(",Parameters!B171),100),IFERROR(FIND("[",Parameters!B171),100))-1)," ","")</f>
        <v/>
      </c>
      <c r="C169" s="208" t="str">
        <f t="shared" si="25"/>
        <v/>
      </c>
      <c r="D169" s="208" t="str">
        <f t="shared" si="26"/>
        <v/>
      </c>
      <c r="E169" s="209" t="str">
        <f t="shared" si="27"/>
        <v/>
      </c>
      <c r="F169" s="210" t="str">
        <f>SUBSTITUTE(LEFT(Parameters!C171,IF(IFERROR(FIND("[",Parameters!C171),100)&gt;IFERROR(FIND("(",Parameters!C171),100),IFERROR(FIND("(",Parameters!C171),100),IFERROR(FIND("[",Parameters!C171),100))-1)," ","")</f>
        <v/>
      </c>
      <c r="H169" s="208" t="str">
        <f t="shared" si="28"/>
        <v/>
      </c>
      <c r="I169" s="208" t="str">
        <f t="shared" si="29"/>
        <v/>
      </c>
      <c r="J169" s="209" t="str">
        <f t="shared" si="30"/>
        <v/>
      </c>
      <c r="K169" t="str">
        <f>SUBSTITUTE(LEFT(Parameters!D171,IF(IFERROR(FIND("[",Parameters!D171),100)&gt;IFERROR(FIND("(",Parameters!D171),100),IFERROR(FIND("(",Parameters!D171),100),IFERROR(FIND("[",Parameters!D171),100))-1)," ","")</f>
        <v/>
      </c>
      <c r="M169" t="str">
        <f t="shared" si="31"/>
        <v/>
      </c>
      <c r="N169" s="208" t="str">
        <f t="shared" si="32"/>
        <v/>
      </c>
      <c r="O169" s="209" t="str">
        <f t="shared" si="33"/>
        <v/>
      </c>
      <c r="P169" s="211" t="str">
        <f t="shared" si="34"/>
        <v/>
      </c>
      <c r="Q169">
        <f>Parameters!E171</f>
        <v>58</v>
      </c>
      <c r="R169" t="str">
        <f>Parameters!F171</f>
        <v>MOCSTempPgain8</v>
      </c>
      <c r="S169" t="str">
        <f t="shared" si="35"/>
        <v>MOCSTempPgain8 : REAL;</v>
      </c>
    </row>
    <row r="170" spans="1:19" x14ac:dyDescent="0.45">
      <c r="A170" s="208" t="str">
        <f>SUBSTITUTE(LEFT(Parameters!B172,IF(IFERROR(FIND("[",Parameters!B172),100)&gt;IFERROR(FIND("(",Parameters!B172),100),IFERROR(FIND("(",Parameters!B172),100),IFERROR(FIND("[",Parameters!B172),100))-1)," ","")</f>
        <v/>
      </c>
      <c r="C170" s="208" t="str">
        <f t="shared" si="25"/>
        <v/>
      </c>
      <c r="D170" s="208" t="str">
        <f t="shared" si="26"/>
        <v/>
      </c>
      <c r="E170" s="209" t="str">
        <f t="shared" si="27"/>
        <v/>
      </c>
      <c r="F170" s="210" t="str">
        <f>SUBSTITUTE(LEFT(Parameters!C172,IF(IFERROR(FIND("[",Parameters!C172),100)&gt;IFERROR(FIND("(",Parameters!C172),100),IFERROR(FIND("(",Parameters!C172),100),IFERROR(FIND("[",Parameters!C172),100))-1)," ","")</f>
        <v/>
      </c>
      <c r="H170" s="208" t="str">
        <f t="shared" si="28"/>
        <v/>
      </c>
      <c r="I170" s="208" t="str">
        <f t="shared" si="29"/>
        <v/>
      </c>
      <c r="J170" s="209" t="str">
        <f t="shared" si="30"/>
        <v/>
      </c>
      <c r="K170" t="str">
        <f>SUBSTITUTE(LEFT(Parameters!D172,IF(IFERROR(FIND("[",Parameters!D172),100)&gt;IFERROR(FIND("(",Parameters!D172),100),IFERROR(FIND("(",Parameters!D172),100),IFERROR(FIND("[",Parameters!D172),100))-1)," ","")</f>
        <v/>
      </c>
      <c r="M170" t="str">
        <f t="shared" si="31"/>
        <v/>
      </c>
      <c r="N170" s="208" t="str">
        <f t="shared" si="32"/>
        <v/>
      </c>
      <c r="O170" s="209" t="str">
        <f t="shared" si="33"/>
        <v/>
      </c>
      <c r="P170" s="211" t="str">
        <f t="shared" si="34"/>
        <v/>
      </c>
      <c r="Q170">
        <f>Parameters!E172</f>
        <v>59</v>
      </c>
      <c r="R170" t="str">
        <f>Parameters!F172</f>
        <v>MOCSTempPgain9</v>
      </c>
      <c r="S170" t="str">
        <f t="shared" si="35"/>
        <v>MOCSTempPgain9 : REAL;</v>
      </c>
    </row>
    <row r="171" spans="1:19" x14ac:dyDescent="0.45">
      <c r="A171" s="208" t="str">
        <f>SUBSTITUTE(LEFT(Parameters!B173,IF(IFERROR(FIND("[",Parameters!B173),100)&gt;IFERROR(FIND("(",Parameters!B173),100),IFERROR(FIND("(",Parameters!B173),100),IFERROR(FIND("[",Parameters!B173),100))-1)," ","")</f>
        <v/>
      </c>
      <c r="C171" s="208" t="str">
        <f t="shared" si="25"/>
        <v/>
      </c>
      <c r="D171" s="208" t="str">
        <f t="shared" si="26"/>
        <v/>
      </c>
      <c r="E171" s="209" t="str">
        <f t="shared" si="27"/>
        <v/>
      </c>
      <c r="F171" s="210" t="str">
        <f>SUBSTITUTE(LEFT(Parameters!C173,IF(IFERROR(FIND("[",Parameters!C173),100)&gt;IFERROR(FIND("(",Parameters!C173),100),IFERROR(FIND("(",Parameters!C173),100),IFERROR(FIND("[",Parameters!C173),100))-1)," ","")</f>
        <v/>
      </c>
      <c r="H171" s="208" t="str">
        <f t="shared" si="28"/>
        <v/>
      </c>
      <c r="I171" s="208" t="str">
        <f t="shared" si="29"/>
        <v/>
      </c>
      <c r="J171" s="209" t="str">
        <f t="shared" si="30"/>
        <v/>
      </c>
      <c r="K171" t="str">
        <f>SUBSTITUTE(LEFT(Parameters!D173,IF(IFERROR(FIND("[",Parameters!D173),100)&gt;IFERROR(FIND("(",Parameters!D173),100),IFERROR(FIND("(",Parameters!D173),100),IFERROR(FIND("[",Parameters!D173),100))-1)," ","")</f>
        <v/>
      </c>
      <c r="M171" t="str">
        <f t="shared" si="31"/>
        <v/>
      </c>
      <c r="N171" s="208" t="str">
        <f t="shared" si="32"/>
        <v/>
      </c>
      <c r="O171" s="209" t="str">
        <f t="shared" si="33"/>
        <v/>
      </c>
      <c r="P171" s="211" t="str">
        <f t="shared" si="34"/>
        <v/>
      </c>
      <c r="Q171">
        <f>Parameters!E173</f>
        <v>60</v>
      </c>
      <c r="R171" t="str">
        <f>Parameters!F173</f>
        <v>MOCSTempPgain10</v>
      </c>
      <c r="S171" t="str">
        <f t="shared" si="35"/>
        <v>MOCSTempPgain10 : REAL;</v>
      </c>
    </row>
    <row r="172" spans="1:19" x14ac:dyDescent="0.45">
      <c r="A172" s="208" t="str">
        <f>SUBSTITUTE(LEFT(Parameters!B174,IF(IFERROR(FIND("[",Parameters!B174),100)&gt;IFERROR(FIND("(",Parameters!B174),100),IFERROR(FIND("(",Parameters!B174),100),IFERROR(FIND("[",Parameters!B174),100))-1)," ","")</f>
        <v/>
      </c>
      <c r="C172" s="208" t="str">
        <f t="shared" si="25"/>
        <v/>
      </c>
      <c r="D172" s="208" t="str">
        <f t="shared" si="26"/>
        <v/>
      </c>
      <c r="E172" s="209" t="str">
        <f t="shared" si="27"/>
        <v/>
      </c>
      <c r="F172" s="210" t="str">
        <f>SUBSTITUTE(LEFT(Parameters!C174,IF(IFERROR(FIND("[",Parameters!C174),100)&gt;IFERROR(FIND("(",Parameters!C174),100),IFERROR(FIND("(",Parameters!C174),100),IFERROR(FIND("[",Parameters!C174),100))-1)," ","")</f>
        <v/>
      </c>
      <c r="H172" s="208" t="str">
        <f t="shared" si="28"/>
        <v/>
      </c>
      <c r="I172" s="208" t="str">
        <f t="shared" si="29"/>
        <v/>
      </c>
      <c r="J172" s="209" t="str">
        <f t="shared" si="30"/>
        <v/>
      </c>
      <c r="K172" t="str">
        <f>SUBSTITUTE(LEFT(Parameters!D174,IF(IFERROR(FIND("[",Parameters!D174),100)&gt;IFERROR(FIND("(",Parameters!D174),100),IFERROR(FIND("(",Parameters!D174),100),IFERROR(FIND("[",Parameters!D174),100))-1)," ","")</f>
        <v/>
      </c>
      <c r="M172" t="str">
        <f t="shared" si="31"/>
        <v/>
      </c>
      <c r="N172" s="208" t="str">
        <f t="shared" si="32"/>
        <v/>
      </c>
      <c r="O172" s="209" t="str">
        <f t="shared" si="33"/>
        <v/>
      </c>
      <c r="P172" s="211" t="str">
        <f t="shared" si="34"/>
        <v/>
      </c>
      <c r="Q172">
        <f>Parameters!E174</f>
        <v>61</v>
      </c>
      <c r="R172" t="str">
        <f>Parameters!F174</f>
        <v>MOCSTempPgain11</v>
      </c>
      <c r="S172" t="str">
        <f t="shared" si="35"/>
        <v>MOCSTempPgain11 : REAL;</v>
      </c>
    </row>
    <row r="173" spans="1:19" x14ac:dyDescent="0.45">
      <c r="A173" s="208" t="str">
        <f>SUBSTITUTE(LEFT(Parameters!B175,IF(IFERROR(FIND("[",Parameters!B175),100)&gt;IFERROR(FIND("(",Parameters!B175),100),IFERROR(FIND("(",Parameters!B175),100),IFERROR(FIND("[",Parameters!B175),100))-1)," ","")</f>
        <v/>
      </c>
      <c r="C173" s="208" t="str">
        <f t="shared" si="25"/>
        <v/>
      </c>
      <c r="D173" s="208" t="str">
        <f t="shared" si="26"/>
        <v/>
      </c>
      <c r="E173" s="209" t="str">
        <f t="shared" si="27"/>
        <v/>
      </c>
      <c r="F173" s="210" t="str">
        <f>SUBSTITUTE(LEFT(Parameters!C175,IF(IFERROR(FIND("[",Parameters!C175),100)&gt;IFERROR(FIND("(",Parameters!C175),100),IFERROR(FIND("(",Parameters!C175),100),IFERROR(FIND("[",Parameters!C175),100))-1)," ","")</f>
        <v/>
      </c>
      <c r="H173" s="208" t="str">
        <f t="shared" si="28"/>
        <v/>
      </c>
      <c r="I173" s="208" t="str">
        <f t="shared" si="29"/>
        <v/>
      </c>
      <c r="J173" s="209" t="str">
        <f t="shared" si="30"/>
        <v/>
      </c>
      <c r="K173" t="str">
        <f>SUBSTITUTE(LEFT(Parameters!D175,IF(IFERROR(FIND("[",Parameters!D175),100)&gt;IFERROR(FIND("(",Parameters!D175),100),IFERROR(FIND("(",Parameters!D175),100),IFERROR(FIND("[",Parameters!D175),100))-1)," ","")</f>
        <v>APIDgain</v>
      </c>
      <c r="M173" t="str">
        <f t="shared" si="31"/>
        <v/>
      </c>
      <c r="N173" s="208" t="str">
        <f t="shared" si="32"/>
        <v/>
      </c>
      <c r="O173" s="209" t="str">
        <f t="shared" si="33"/>
        <v/>
      </c>
      <c r="P173" s="211" t="str">
        <f t="shared" si="34"/>
        <v>APIDgain</v>
      </c>
      <c r="Q173">
        <f>Parameters!E175</f>
        <v>62</v>
      </c>
      <c r="R173" t="str">
        <f>Parameters!F175</f>
        <v>MOCSTempIgain</v>
      </c>
      <c r="S173" t="str">
        <f t="shared" si="35"/>
        <v>MOCSTempIgain : REAL;</v>
      </c>
    </row>
    <row r="174" spans="1:19" x14ac:dyDescent="0.45">
      <c r="A174" s="208" t="str">
        <f>SUBSTITUTE(LEFT(Parameters!B176,IF(IFERROR(FIND("[",Parameters!B176),100)&gt;IFERROR(FIND("(",Parameters!B176),100),IFERROR(FIND("(",Parameters!B176),100),IFERROR(FIND("[",Parameters!B176),100))-1)," ","")</f>
        <v/>
      </c>
      <c r="C174" s="208" t="str">
        <f t="shared" si="25"/>
        <v/>
      </c>
      <c r="D174" s="208" t="str">
        <f t="shared" si="26"/>
        <v/>
      </c>
      <c r="E174" s="209" t="str">
        <f t="shared" si="27"/>
        <v/>
      </c>
      <c r="F174" s="210" t="str">
        <f>SUBSTITUTE(LEFT(Parameters!C176,IF(IFERROR(FIND("[",Parameters!C176),100)&gt;IFERROR(FIND("(",Parameters!C176),100),IFERROR(FIND("(",Parameters!C176),100),IFERROR(FIND("[",Parameters!C176),100))-1)," ","")</f>
        <v/>
      </c>
      <c r="H174" s="208" t="str">
        <f t="shared" si="28"/>
        <v/>
      </c>
      <c r="I174" s="208" t="str">
        <f t="shared" si="29"/>
        <v/>
      </c>
      <c r="J174" s="209" t="str">
        <f t="shared" si="30"/>
        <v/>
      </c>
      <c r="K174" t="str">
        <f>SUBSTITUTE(LEFT(Parameters!D176,IF(IFERROR(FIND("[",Parameters!D176),100)&gt;IFERROR(FIND("(",Parameters!D176),100),IFERROR(FIND("(",Parameters!D176),100),IFERROR(FIND("[",Parameters!D176),100))-1)," ","")</f>
        <v/>
      </c>
      <c r="M174" t="str">
        <f t="shared" si="31"/>
        <v/>
      </c>
      <c r="N174" s="208" t="str">
        <f t="shared" si="32"/>
        <v/>
      </c>
      <c r="O174" s="209" t="str">
        <f t="shared" si="33"/>
        <v/>
      </c>
      <c r="P174" s="211" t="str">
        <f t="shared" si="34"/>
        <v/>
      </c>
      <c r="Q174">
        <f>Parameters!E176</f>
        <v>63</v>
      </c>
      <c r="R174" t="str">
        <f>Parameters!F176</f>
        <v>MOCSTempDgain</v>
      </c>
      <c r="S174" t="str">
        <f t="shared" si="35"/>
        <v>MOCSTempDgain : REAL;</v>
      </c>
    </row>
    <row r="175" spans="1:19" x14ac:dyDescent="0.45">
      <c r="A175" s="208" t="str">
        <f>SUBSTITUTE(LEFT(Parameters!B177,IF(IFERROR(FIND("[",Parameters!B177),100)&gt;IFERROR(FIND("(",Parameters!B177),100),IFERROR(FIND("(",Parameters!B177),100),IFERROR(FIND("[",Parameters!B177),100))-1)," ","")</f>
        <v/>
      </c>
      <c r="C175" s="208" t="str">
        <f t="shared" si="25"/>
        <v/>
      </c>
      <c r="D175" s="208" t="str">
        <f t="shared" si="26"/>
        <v/>
      </c>
      <c r="E175" s="209" t="str">
        <f t="shared" si="27"/>
        <v/>
      </c>
      <c r="F175" s="210" t="str">
        <f>SUBSTITUTE(LEFT(Parameters!C177,IF(IFERROR(FIND("[",Parameters!C177),100)&gt;IFERROR(FIND("(",Parameters!C177),100),IFERROR(FIND("(",Parameters!C177),100),IFERROR(FIND("[",Parameters!C177),100))-1)," ","")</f>
        <v/>
      </c>
      <c r="H175" s="208" t="str">
        <f t="shared" si="28"/>
        <v/>
      </c>
      <c r="I175" s="208" t="str">
        <f t="shared" si="29"/>
        <v/>
      </c>
      <c r="J175" s="209" t="str">
        <f t="shared" si="30"/>
        <v/>
      </c>
      <c r="K175" t="str">
        <f>SUBSTITUTE(LEFT(Parameters!D177,IF(IFERROR(FIND("[",Parameters!D177),100)&gt;IFERROR(FIND("(",Parameters!D177),100),IFERROR(FIND("(",Parameters!D177),100),IFERROR(FIND("[",Parameters!D177),100))-1)," ","")</f>
        <v/>
      </c>
      <c r="M175" t="str">
        <f t="shared" si="31"/>
        <v/>
      </c>
      <c r="N175" s="208" t="str">
        <f t="shared" si="32"/>
        <v/>
      </c>
      <c r="O175" s="209" t="str">
        <f t="shared" si="33"/>
        <v/>
      </c>
      <c r="P175" s="211" t="str">
        <f t="shared" si="34"/>
        <v/>
      </c>
      <c r="Q175">
        <f>Parameters!E177</f>
        <v>64</v>
      </c>
      <c r="R175" t="str">
        <f>Parameters!F177</f>
        <v>MOCSTempNoiseSup</v>
      </c>
      <c r="S175" t="str">
        <f t="shared" si="35"/>
        <v>MOCSTempNoiseSup : REAL;</v>
      </c>
    </row>
    <row r="176" spans="1:19" x14ac:dyDescent="0.45">
      <c r="A176" s="208" t="str">
        <f>SUBSTITUTE(LEFT(Parameters!B178,IF(IFERROR(FIND("[",Parameters!B178),100)&gt;IFERROR(FIND("(",Parameters!B178),100),IFERROR(FIND("(",Parameters!B178),100),IFERROR(FIND("[",Parameters!B178),100))-1)," ","")</f>
        <v/>
      </c>
      <c r="C176" s="208" t="str">
        <f t="shared" si="25"/>
        <v/>
      </c>
      <c r="D176" s="208" t="str">
        <f t="shared" si="26"/>
        <v/>
      </c>
      <c r="E176" s="209" t="str">
        <f t="shared" si="27"/>
        <v/>
      </c>
      <c r="F176" s="210" t="str">
        <f>SUBSTITUTE(LEFT(Parameters!C178,IF(IFERROR(FIND("[",Parameters!C178),100)&gt;IFERROR(FIND("(",Parameters!C178),100),IFERROR(FIND("(",Parameters!C178),100),IFERROR(FIND("[",Parameters!C178),100))-1)," ","")</f>
        <v/>
      </c>
      <c r="H176" s="208" t="str">
        <f t="shared" si="28"/>
        <v/>
      </c>
      <c r="I176" s="208" t="str">
        <f t="shared" si="29"/>
        <v/>
      </c>
      <c r="J176" s="209" t="str">
        <f t="shared" si="30"/>
        <v/>
      </c>
      <c r="K176" t="str">
        <f>SUBSTITUTE(LEFT(Parameters!D178,IF(IFERROR(FIND("[",Parameters!D178),100)&gt;IFERROR(FIND("(",Parameters!D178),100),IFERROR(FIND("(",Parameters!D178),100),IFERROR(FIND("[",Parameters!D178),100))-1)," ","")</f>
        <v/>
      </c>
      <c r="M176" t="str">
        <f t="shared" si="31"/>
        <v/>
      </c>
      <c r="N176" s="208" t="str">
        <f t="shared" si="32"/>
        <v/>
      </c>
      <c r="O176" s="209" t="str">
        <f t="shared" si="33"/>
        <v/>
      </c>
      <c r="P176" s="211" t="str">
        <f t="shared" si="34"/>
        <v/>
      </c>
      <c r="Q176">
        <f>Parameters!E178</f>
        <v>65</v>
      </c>
      <c r="R176" t="str">
        <f>Parameters!F178</f>
        <v>QFOPgain</v>
      </c>
      <c r="S176" t="str">
        <f t="shared" si="35"/>
        <v>QFOPgain : REAL;</v>
      </c>
    </row>
    <row r="177" spans="1:22" x14ac:dyDescent="0.45">
      <c r="A177" s="208" t="str">
        <f>SUBSTITUTE(LEFT(Parameters!B179,IF(IFERROR(FIND("[",Parameters!B179),100)&gt;IFERROR(FIND("(",Parameters!B179),100),IFERROR(FIND("(",Parameters!B179),100),IFERROR(FIND("[",Parameters!B179),100))-1)," ","")</f>
        <v/>
      </c>
      <c r="C177" s="208" t="str">
        <f t="shared" si="25"/>
        <v/>
      </c>
      <c r="D177" s="208" t="str">
        <f t="shared" si="26"/>
        <v/>
      </c>
      <c r="E177" s="209" t="str">
        <f t="shared" si="27"/>
        <v/>
      </c>
      <c r="F177" s="210" t="str">
        <f>SUBSTITUTE(LEFT(Parameters!C179,IF(IFERROR(FIND("[",Parameters!C179),100)&gt;IFERROR(FIND("(",Parameters!C179),100),IFERROR(FIND("(",Parameters!C179),100),IFERROR(FIND("[",Parameters!C179),100))-1)," ","")</f>
        <v/>
      </c>
      <c r="H177" s="208" t="str">
        <f t="shared" si="28"/>
        <v/>
      </c>
      <c r="I177" s="208" t="str">
        <f t="shared" si="29"/>
        <v/>
      </c>
      <c r="J177" s="209" t="str">
        <f t="shared" si="30"/>
        <v/>
      </c>
      <c r="K177" t="str">
        <f>SUBSTITUTE(LEFT(Parameters!D179,IF(IFERROR(FIND("[",Parameters!D179),100)&gt;IFERROR(FIND("(",Parameters!D179),100),IFERROR(FIND("(",Parameters!D179),100),IFERROR(FIND("[",Parameters!D179),100))-1)," ","")</f>
        <v/>
      </c>
      <c r="M177" t="str">
        <f t="shared" si="31"/>
        <v/>
      </c>
      <c r="N177" s="208" t="str">
        <f t="shared" si="32"/>
        <v/>
      </c>
      <c r="O177" s="209" t="str">
        <f t="shared" si="33"/>
        <v/>
      </c>
      <c r="P177" s="211" t="str">
        <f t="shared" si="34"/>
        <v/>
      </c>
      <c r="Q177">
        <f>Parameters!E179</f>
        <v>66</v>
      </c>
      <c r="R177" t="str">
        <f>Parameters!F179</f>
        <v>QFOIgain</v>
      </c>
      <c r="S177" t="str">
        <f t="shared" si="35"/>
        <v>QFOIgain : REAL;</v>
      </c>
    </row>
    <row r="178" spans="1:22" x14ac:dyDescent="0.45">
      <c r="A178" s="208" t="str">
        <f>SUBSTITUTE(LEFT(Parameters!B180,IF(IFERROR(FIND("[",Parameters!B180),100)&gt;IFERROR(FIND("(",Parameters!B180),100),IFERROR(FIND("(",Parameters!B180),100),IFERROR(FIND("[",Parameters!B180),100))-1)," ","")</f>
        <v/>
      </c>
      <c r="C178" s="208" t="str">
        <f t="shared" si="25"/>
        <v/>
      </c>
      <c r="D178" s="208" t="str">
        <f t="shared" si="26"/>
        <v/>
      </c>
      <c r="E178" s="209" t="str">
        <f t="shared" si="27"/>
        <v/>
      </c>
      <c r="F178" s="210" t="str">
        <f>SUBSTITUTE(LEFT(Parameters!C180,IF(IFERROR(FIND("[",Parameters!C180),100)&gt;IFERROR(FIND("(",Parameters!C180),100),IFERROR(FIND("(",Parameters!C180),100),IFERROR(FIND("[",Parameters!C180),100))-1)," ","")</f>
        <v/>
      </c>
      <c r="H178" s="208" t="str">
        <f t="shared" si="28"/>
        <v/>
      </c>
      <c r="I178" s="208" t="str">
        <f t="shared" si="29"/>
        <v/>
      </c>
      <c r="J178" s="209" t="str">
        <f t="shared" si="30"/>
        <v/>
      </c>
      <c r="K178" t="str">
        <f>SUBSTITUTE(LEFT(Parameters!D180,IF(IFERROR(FIND("[",Parameters!D180),100)&gt;IFERROR(FIND("(",Parameters!D180),100),IFERROR(FIND("(",Parameters!D180),100),IFERROR(FIND("[",Parameters!D180),100))-1)," ","")</f>
        <v/>
      </c>
      <c r="M178" t="str">
        <f t="shared" si="31"/>
        <v/>
      </c>
      <c r="N178" s="208" t="str">
        <f t="shared" si="32"/>
        <v/>
      </c>
      <c r="O178" s="209" t="str">
        <f t="shared" si="33"/>
        <v/>
      </c>
      <c r="P178" s="211" t="str">
        <f t="shared" si="34"/>
        <v/>
      </c>
      <c r="Q178">
        <f>Parameters!E180</f>
        <v>67</v>
      </c>
      <c r="R178" t="str">
        <f>Parameters!F180</f>
        <v>QFODgain</v>
      </c>
      <c r="S178" t="str">
        <f t="shared" si="35"/>
        <v>QFODgain : REAL;</v>
      </c>
    </row>
    <row r="179" spans="1:22" x14ac:dyDescent="0.45">
      <c r="A179" s="208" t="str">
        <f>SUBSTITUTE(LEFT(Parameters!B181,IF(IFERROR(FIND("[",Parameters!B181),100)&gt;IFERROR(FIND("(",Parameters!B181),100),IFERROR(FIND("(",Parameters!B181),100),IFERROR(FIND("[",Parameters!B181),100))-1)," ","")</f>
        <v/>
      </c>
      <c r="C179" s="208" t="str">
        <f t="shared" si="25"/>
        <v/>
      </c>
      <c r="D179" s="208" t="str">
        <f t="shared" si="26"/>
        <v/>
      </c>
      <c r="E179" s="209" t="str">
        <f t="shared" si="27"/>
        <v/>
      </c>
      <c r="F179" s="210" t="str">
        <f>SUBSTITUTE(LEFT(Parameters!C181,IF(IFERROR(FIND("[",Parameters!C181),100)&gt;IFERROR(FIND("(",Parameters!C181),100),IFERROR(FIND("(",Parameters!C181),100),IFERROR(FIND("[",Parameters!C181),100))-1)," ","")</f>
        <v/>
      </c>
      <c r="H179" s="208" t="str">
        <f t="shared" si="28"/>
        <v/>
      </c>
      <c r="I179" s="208" t="str">
        <f t="shared" si="29"/>
        <v/>
      </c>
      <c r="J179" s="209" t="str">
        <f t="shared" si="30"/>
        <v/>
      </c>
      <c r="K179" t="str">
        <f>SUBSTITUTE(LEFT(Parameters!D181,IF(IFERROR(FIND("[",Parameters!D181),100)&gt;IFERROR(FIND("(",Parameters!D181),100),IFERROR(FIND("(",Parameters!D181),100),IFERROR(FIND("[",Parameters!D181),100))-1)," ","")</f>
        <v/>
      </c>
      <c r="M179" t="str">
        <f t="shared" si="31"/>
        <v/>
      </c>
      <c r="N179" s="208" t="str">
        <f t="shared" si="32"/>
        <v/>
      </c>
      <c r="O179" s="209" t="str">
        <f t="shared" si="33"/>
        <v/>
      </c>
      <c r="P179" s="211" t="str">
        <f t="shared" si="34"/>
        <v/>
      </c>
      <c r="Q179">
        <f>Parameters!E181</f>
        <v>68</v>
      </c>
      <c r="R179" t="str">
        <f>Parameters!F181</f>
        <v>QFONoiseSup</v>
      </c>
      <c r="S179" t="str">
        <f t="shared" si="35"/>
        <v>QFONoiseSup : REAL;</v>
      </c>
    </row>
    <row r="180" spans="1:22" x14ac:dyDescent="0.45">
      <c r="A180" s="208" t="str">
        <f>SUBSTITUTE(LEFT(Parameters!B182,IF(IFERROR(FIND("[",Parameters!B182),100)&gt;IFERROR(FIND("(",Parameters!B182),100),IFERROR(FIND("(",Parameters!B182),100),IFERROR(FIND("[",Parameters!B182),100))-1)," ","")</f>
        <v/>
      </c>
      <c r="C180" s="208" t="str">
        <f t="shared" si="25"/>
        <v/>
      </c>
      <c r="D180" s="208" t="str">
        <f t="shared" si="26"/>
        <v/>
      </c>
      <c r="E180" s="209" t="str">
        <f t="shared" si="27"/>
        <v/>
      </c>
      <c r="F180" s="210" t="str">
        <f>SUBSTITUTE(LEFT(Parameters!C182,IF(IFERROR(FIND("[",Parameters!C182),100)&gt;IFERROR(FIND("(",Parameters!C182),100),IFERROR(FIND("(",Parameters!C182),100),IFERROR(FIND("[",Parameters!C182),100))-1)," ","")</f>
        <v/>
      </c>
      <c r="H180" s="208" t="str">
        <f t="shared" si="28"/>
        <v/>
      </c>
      <c r="I180" s="208" t="str">
        <f t="shared" si="29"/>
        <v/>
      </c>
      <c r="J180" s="209" t="str">
        <f t="shared" si="30"/>
        <v/>
      </c>
      <c r="K180" t="str">
        <f>SUBSTITUTE(LEFT(Parameters!D182,IF(IFERROR(FIND("[",Parameters!D182),100)&gt;IFERROR(FIND("(",Parameters!D182),100),IFERROR(FIND("(",Parameters!D182),100),IFERROR(FIND("[",Parameters!D182),100))-1)," ","")</f>
        <v/>
      </c>
      <c r="M180" t="str">
        <f t="shared" si="31"/>
        <v/>
      </c>
      <c r="N180" s="208" t="str">
        <f t="shared" si="32"/>
        <v/>
      </c>
      <c r="O180" s="209" t="str">
        <f t="shared" si="33"/>
        <v/>
      </c>
      <c r="P180" s="211" t="str">
        <f t="shared" si="34"/>
        <v/>
      </c>
      <c r="Q180">
        <f>Parameters!E182</f>
        <v>69</v>
      </c>
      <c r="R180" t="str">
        <f>Parameters!F182</f>
        <v>FODSFeedbackReserved19</v>
      </c>
      <c r="S180" t="str">
        <f t="shared" si="35"/>
        <v>FODSFeedbackReserved19 : REAL;</v>
      </c>
    </row>
    <row r="181" spans="1:22" x14ac:dyDescent="0.45">
      <c r="A181" s="208" t="str">
        <f>SUBSTITUTE(LEFT(Parameters!B183,IF(IFERROR(FIND("[",Parameters!B183),100)&gt;IFERROR(FIND("(",Parameters!B183),100),IFERROR(FIND("(",Parameters!B183),100),IFERROR(FIND("[",Parameters!B183),100))-1)," ","")</f>
        <v/>
      </c>
      <c r="C181" s="208" t="str">
        <f t="shared" si="25"/>
        <v/>
      </c>
      <c r="D181" s="208" t="str">
        <f t="shared" si="26"/>
        <v/>
      </c>
      <c r="E181" s="209" t="str">
        <f t="shared" si="27"/>
        <v/>
      </c>
      <c r="F181" s="210" t="str">
        <f>SUBSTITUTE(LEFT(Parameters!C183,IF(IFERROR(FIND("[",Parameters!C183),100)&gt;IFERROR(FIND("(",Parameters!C183),100),IFERROR(FIND("(",Parameters!C183),100),IFERROR(FIND("[",Parameters!C183),100))-1)," ","")</f>
        <v/>
      </c>
      <c r="H181" s="208" t="str">
        <f t="shared" si="28"/>
        <v/>
      </c>
      <c r="I181" s="208" t="str">
        <f t="shared" si="29"/>
        <v/>
      </c>
      <c r="J181" s="209" t="str">
        <f t="shared" si="30"/>
        <v/>
      </c>
      <c r="K181" t="str">
        <f>SUBSTITUTE(LEFT(Parameters!D183,IF(IFERROR(FIND("[",Parameters!D183),100)&gt;IFERROR(FIND("(",Parameters!D183),100),IFERROR(FIND("(",Parameters!D183),100),IFERROR(FIND("[",Parameters!D183),100))-1)," ","")</f>
        <v/>
      </c>
      <c r="M181" t="str">
        <f t="shared" si="31"/>
        <v/>
      </c>
      <c r="N181" s="208" t="str">
        <f t="shared" si="32"/>
        <v/>
      </c>
      <c r="O181" s="209" t="str">
        <f t="shared" si="33"/>
        <v/>
      </c>
      <c r="P181" s="211" t="str">
        <f t="shared" si="34"/>
        <v/>
      </c>
      <c r="Q181">
        <f>Parameters!E183</f>
        <v>70</v>
      </c>
      <c r="R181" t="str">
        <f>Parameters!F183</f>
        <v>FODSFeedbackReserved20</v>
      </c>
      <c r="S181" t="str">
        <f t="shared" si="35"/>
        <v>FODSFeedbackReserved20 : REAL;</v>
      </c>
    </row>
    <row r="182" spans="1:22" x14ac:dyDescent="0.45">
      <c r="A182" s="208" t="str">
        <f>SUBSTITUTE(LEFT(Parameters!B184,IF(IFERROR(FIND("[",Parameters!B184),100)&gt;IFERROR(FIND("(",Parameters!B184),100),IFERROR(FIND("(",Parameters!B184),100),IFERROR(FIND("[",Parameters!B184),100))-1)," ","")</f>
        <v/>
      </c>
      <c r="C182" s="208" t="str">
        <f t="shared" si="25"/>
        <v/>
      </c>
      <c r="D182" s="208" t="str">
        <f t="shared" si="26"/>
        <v/>
      </c>
      <c r="E182" s="209" t="str">
        <f t="shared" si="27"/>
        <v/>
      </c>
      <c r="F182" s="210" t="str">
        <f>SUBSTITUTE(LEFT(Parameters!C184,IF(IFERROR(FIND("[",Parameters!C184),100)&gt;IFERROR(FIND("(",Parameters!C184),100),IFERROR(FIND("(",Parameters!C184),100),IFERROR(FIND("[",Parameters!C184),100))-1)," ","")</f>
        <v/>
      </c>
      <c r="H182" s="208" t="str">
        <f t="shared" si="28"/>
        <v/>
      </c>
      <c r="I182" s="208" t="str">
        <f t="shared" si="29"/>
        <v/>
      </c>
      <c r="J182" s="209" t="str">
        <f t="shared" si="30"/>
        <v/>
      </c>
      <c r="K182" t="str">
        <f>SUBSTITUTE(LEFT(Parameters!D184,IF(IFERROR(FIND("[",Parameters!D184),100)&gt;IFERROR(FIND("(",Parameters!D184),100),IFERROR(FIND("(",Parameters!D184),100),IFERROR(FIND("[",Parameters!D184),100))-1)," ","")</f>
        <v/>
      </c>
      <c r="M182" t="str">
        <f t="shared" si="31"/>
        <v/>
      </c>
      <c r="N182" s="208" t="str">
        <f t="shared" si="32"/>
        <v/>
      </c>
      <c r="O182" s="209" t="str">
        <f t="shared" si="33"/>
        <v/>
      </c>
      <c r="P182" s="211" t="str">
        <f t="shared" si="34"/>
        <v/>
      </c>
      <c r="Q182">
        <f>Parameters!E184</f>
        <v>71</v>
      </c>
      <c r="R182" t="str">
        <f>Parameters!F184</f>
        <v>FODSFeedbackReserved21</v>
      </c>
      <c r="S182" t="str">
        <f t="shared" si="35"/>
        <v>FODSFeedbackReserved21 : REAL;</v>
      </c>
    </row>
    <row r="183" spans="1:22" x14ac:dyDescent="0.45">
      <c r="A183" s="208" t="str">
        <f>SUBSTITUTE(LEFT(Parameters!B185,IF(IFERROR(FIND("[",Parameters!B185),100)&gt;IFERROR(FIND("(",Parameters!B185),100),IFERROR(FIND("(",Parameters!B185),100),IFERROR(FIND("[",Parameters!B185),100))-1)," ","")</f>
        <v/>
      </c>
      <c r="C183" s="208" t="str">
        <f t="shared" si="25"/>
        <v/>
      </c>
      <c r="D183" s="208" t="str">
        <f t="shared" si="26"/>
        <v/>
      </c>
      <c r="E183" s="209" t="str">
        <f t="shared" si="27"/>
        <v/>
      </c>
      <c r="F183" s="210" t="str">
        <f>SUBSTITUTE(LEFT(Parameters!C185,IF(IFERROR(FIND("[",Parameters!C185),100)&gt;IFERROR(FIND("(",Parameters!C185),100),IFERROR(FIND("(",Parameters!C185),100),IFERROR(FIND("[",Parameters!C185),100))-1)," ","")</f>
        <v/>
      </c>
      <c r="H183" s="208" t="str">
        <f t="shared" si="28"/>
        <v/>
      </c>
      <c r="I183" s="208" t="str">
        <f t="shared" si="29"/>
        <v/>
      </c>
      <c r="J183" s="209" t="str">
        <f t="shared" si="30"/>
        <v/>
      </c>
      <c r="K183" t="str">
        <f>SUBSTITUTE(LEFT(Parameters!D185,IF(IFERROR(FIND("[",Parameters!D185),100)&gt;IFERROR(FIND("(",Parameters!D185),100),IFERROR(FIND("(",Parameters!D185),100),IFERROR(FIND("[",Parameters!D185),100))-1)," ","")</f>
        <v/>
      </c>
      <c r="M183" t="str">
        <f t="shared" si="31"/>
        <v/>
      </c>
      <c r="N183" s="208" t="str">
        <f t="shared" si="32"/>
        <v/>
      </c>
      <c r="O183" s="209" t="str">
        <f t="shared" si="33"/>
        <v/>
      </c>
      <c r="P183" s="211" t="str">
        <f t="shared" si="34"/>
        <v/>
      </c>
      <c r="Q183">
        <f>Parameters!E185</f>
        <v>72</v>
      </c>
      <c r="R183" t="str">
        <f>Parameters!F185</f>
        <v>FODSFeedbackReserved22</v>
      </c>
      <c r="S183" t="str">
        <f t="shared" si="35"/>
        <v>FODSFeedbackReserved22 : REAL;</v>
      </c>
    </row>
    <row r="184" spans="1:22" x14ac:dyDescent="0.45">
      <c r="A184" s="208" t="str">
        <f>SUBSTITUTE(LEFT(Parameters!B186,IF(IFERROR(FIND("[",Parameters!B186),100)&gt;IFERROR(FIND("(",Parameters!B186),100),IFERROR(FIND("(",Parameters!B186),100),IFERROR(FIND("[",Parameters!B186),100))-1)," ","")</f>
        <v/>
      </c>
      <c r="C184" s="208" t="str">
        <f t="shared" si="25"/>
        <v/>
      </c>
      <c r="D184" s="208" t="str">
        <f t="shared" si="26"/>
        <v/>
      </c>
      <c r="E184" s="209" t="str">
        <f t="shared" si="27"/>
        <v/>
      </c>
      <c r="F184" s="210" t="str">
        <f>SUBSTITUTE(LEFT(Parameters!C186,IF(IFERROR(FIND("[",Parameters!C186),100)&gt;IFERROR(FIND("(",Parameters!C186),100),IFERROR(FIND("(",Parameters!C186),100),IFERROR(FIND("[",Parameters!C186),100))-1)," ","")</f>
        <v/>
      </c>
      <c r="H184" s="208" t="str">
        <f t="shared" si="28"/>
        <v/>
      </c>
      <c r="I184" s="208" t="str">
        <f t="shared" si="29"/>
        <v/>
      </c>
      <c r="J184" s="209" t="str">
        <f t="shared" si="30"/>
        <v/>
      </c>
      <c r="K184" t="str">
        <f>SUBSTITUTE(LEFT(Parameters!D186,IF(IFERROR(FIND("[",Parameters!D186),100)&gt;IFERROR(FIND("(",Parameters!D186),100),IFERROR(FIND("(",Parameters!D186),100),IFERROR(FIND("[",Parameters!D186),100))-1)," ","")</f>
        <v/>
      </c>
      <c r="M184" t="str">
        <f t="shared" si="31"/>
        <v/>
      </c>
      <c r="N184" s="208" t="str">
        <f t="shared" si="32"/>
        <v/>
      </c>
      <c r="O184" s="209" t="str">
        <f t="shared" si="33"/>
        <v/>
      </c>
      <c r="P184" s="211" t="str">
        <f t="shared" si="34"/>
        <v/>
      </c>
      <c r="Q184">
        <f>Parameters!E186</f>
        <v>73</v>
      </c>
      <c r="R184" t="str">
        <f>Parameters!F186</f>
        <v>FODSFeedbackReserved23</v>
      </c>
      <c r="S184" t="str">
        <f t="shared" si="35"/>
        <v>FODSFeedbackReserved23 : REAL;</v>
      </c>
    </row>
    <row r="185" spans="1:22" x14ac:dyDescent="0.45">
      <c r="A185" s="208" t="str">
        <f>SUBSTITUTE(LEFT(Parameters!B187,IF(IFERROR(FIND("[",Parameters!B187),100)&gt;IFERROR(FIND("(",Parameters!B187),100),IFERROR(FIND("(",Parameters!B187),100),IFERROR(FIND("[",Parameters!B187),100))-1)," ","")</f>
        <v/>
      </c>
      <c r="C185" s="208" t="str">
        <f t="shared" si="25"/>
        <v/>
      </c>
      <c r="D185" s="208" t="str">
        <f t="shared" si="26"/>
        <v/>
      </c>
      <c r="E185" s="209" t="str">
        <f t="shared" si="27"/>
        <v/>
      </c>
      <c r="F185" s="210" t="str">
        <f>SUBSTITUTE(LEFT(Parameters!C187,IF(IFERROR(FIND("[",Parameters!C187),100)&gt;IFERROR(FIND("(",Parameters!C187),100),IFERROR(FIND("(",Parameters!C187),100),IFERROR(FIND("[",Parameters!C187),100))-1)," ","")</f>
        <v/>
      </c>
      <c r="H185" s="208" t="str">
        <f t="shared" si="28"/>
        <v/>
      </c>
      <c r="I185" s="208" t="str">
        <f t="shared" si="29"/>
        <v/>
      </c>
      <c r="J185" s="209" t="str">
        <f t="shared" si="30"/>
        <v/>
      </c>
      <c r="K185" t="str">
        <f>SUBSTITUTE(LEFT(Parameters!D187,IF(IFERROR(FIND("[",Parameters!D187),100)&gt;IFERROR(FIND("(",Parameters!D187),100),IFERROR(FIND("(",Parameters!D187),100),IFERROR(FIND("[",Parameters!D187),100))-1)," ","")</f>
        <v/>
      </c>
      <c r="M185" t="str">
        <f t="shared" si="31"/>
        <v/>
      </c>
      <c r="N185" s="208" t="str">
        <f t="shared" si="32"/>
        <v/>
      </c>
      <c r="O185" s="209" t="str">
        <f t="shared" si="33"/>
        <v/>
      </c>
      <c r="P185" s="211" t="str">
        <f t="shared" si="34"/>
        <v/>
      </c>
      <c r="Q185">
        <f>Parameters!E187</f>
        <v>74</v>
      </c>
      <c r="R185" t="str">
        <f>Parameters!F187</f>
        <v>FODSFeedbackReserved24</v>
      </c>
      <c r="S185" t="str">
        <f t="shared" si="35"/>
        <v>FODSFeedbackReserved24 : REAL;</v>
      </c>
    </row>
    <row r="186" spans="1:22" x14ac:dyDescent="0.45">
      <c r="A186" s="208" t="str">
        <f>SUBSTITUTE(LEFT(Parameters!B188,IF(IFERROR(FIND("[",Parameters!B188),100)&gt;IFERROR(FIND("(",Parameters!B188),100),IFERROR(FIND("(",Parameters!B188),100),IFERROR(FIND("[",Parameters!B188),100))-1)," ","")</f>
        <v/>
      </c>
      <c r="C186" s="208" t="str">
        <f t="shared" si="25"/>
        <v/>
      </c>
      <c r="D186" s="208" t="str">
        <f t="shared" si="26"/>
        <v/>
      </c>
      <c r="E186" s="209" t="str">
        <f t="shared" si="27"/>
        <v/>
      </c>
      <c r="F186" s="210" t="str">
        <f>SUBSTITUTE(LEFT(Parameters!C188,IF(IFERROR(FIND("[",Parameters!C188),100)&gt;IFERROR(FIND("(",Parameters!C188),100),IFERROR(FIND("(",Parameters!C188),100),IFERROR(FIND("[",Parameters!C188),100))-1)," ","")</f>
        <v xml:space="preserve">IndivReservedCat2
</v>
      </c>
      <c r="H186" s="208" t="str">
        <f t="shared" si="28"/>
        <v/>
      </c>
      <c r="I186" s="208" t="str">
        <f t="shared" si="29"/>
        <v/>
      </c>
      <c r="J186" s="209" t="str">
        <f t="shared" si="30"/>
        <v/>
      </c>
      <c r="K186" t="str">
        <f>SUBSTITUTE(LEFT(Parameters!D188,IF(IFERROR(FIND("[",Parameters!D188),100)&gt;IFERROR(FIND("(",Parameters!D188),100),IFERROR(FIND("(",Parameters!D188),100),IFERROR(FIND("[",Parameters!D188),100))-1)," ","")</f>
        <v xml:space="preserve">IndivReservedCat3
</v>
      </c>
      <c r="M186" t="str">
        <f t="shared" si="31"/>
        <v/>
      </c>
      <c r="N186" s="208" t="str">
        <f t="shared" si="32"/>
        <v/>
      </c>
      <c r="O186" s="209" t="str">
        <f t="shared" si="33"/>
        <v/>
      </c>
      <c r="P186" s="211" t="str">
        <f t="shared" si="34"/>
        <v xml:space="preserve">IndivReservedCat3
</v>
      </c>
      <c r="Q186">
        <f>Parameters!E188</f>
        <v>75</v>
      </c>
      <c r="R186" t="str">
        <f>Parameters!F188</f>
        <v>IndivReserved75</v>
      </c>
      <c r="S186" t="str">
        <f t="shared" si="35"/>
        <v>IndivReserved75 : REAL;</v>
      </c>
      <c r="U186" t="s">
        <v>743</v>
      </c>
      <c r="V186" t="str">
        <f t="shared" ref="V186:V210" si="36">IF(U186 = "","",_xlfn.CONCAT(U186," : REAL;"))</f>
        <v>IndivReserved75 : REAL;</v>
      </c>
    </row>
    <row r="187" spans="1:22" x14ac:dyDescent="0.45">
      <c r="A187" s="208" t="str">
        <f>SUBSTITUTE(LEFT(Parameters!B189,IF(IFERROR(FIND("[",Parameters!B189),100)&gt;IFERROR(FIND("(",Parameters!B189),100),IFERROR(FIND("(",Parameters!B189),100),IFERROR(FIND("[",Parameters!B189),100))-1)," ","")</f>
        <v/>
      </c>
      <c r="C187" s="208" t="str">
        <f t="shared" si="25"/>
        <v/>
      </c>
      <c r="D187" s="208" t="str">
        <f t="shared" si="26"/>
        <v/>
      </c>
      <c r="E187" s="209" t="str">
        <f t="shared" si="27"/>
        <v/>
      </c>
      <c r="F187" s="210" t="str">
        <f>SUBSTITUTE(LEFT(Parameters!C189,IF(IFERROR(FIND("[",Parameters!C189),100)&gt;IFERROR(FIND("(",Parameters!C189),100),IFERROR(FIND("(",Parameters!C189),100),IFERROR(FIND("[",Parameters!C189),100))-1)," ","")</f>
        <v/>
      </c>
      <c r="H187" s="208" t="str">
        <f t="shared" si="28"/>
        <v/>
      </c>
      <c r="I187" s="208" t="str">
        <f t="shared" si="29"/>
        <v/>
      </c>
      <c r="J187" s="209" t="str">
        <f t="shared" si="30"/>
        <v/>
      </c>
      <c r="K187" t="str">
        <f>SUBSTITUTE(LEFT(Parameters!D189,IF(IFERROR(FIND("[",Parameters!D189),100)&gt;IFERROR(FIND("(",Parameters!D189),100),IFERROR(FIND("(",Parameters!D189),100),IFERROR(FIND("[",Parameters!D189),100))-1)," ","")</f>
        <v/>
      </c>
      <c r="M187" t="str">
        <f t="shared" si="31"/>
        <v/>
      </c>
      <c r="N187" s="208" t="str">
        <f t="shared" si="32"/>
        <v/>
      </c>
      <c r="O187" s="209" t="str">
        <f t="shared" si="33"/>
        <v/>
      </c>
      <c r="P187" s="211" t="str">
        <f t="shared" si="34"/>
        <v/>
      </c>
      <c r="Q187" t="str">
        <f>Parameters!E189</f>
        <v>...</v>
      </c>
      <c r="R187" t="str">
        <f>Parameters!F189</f>
        <v>...</v>
      </c>
      <c r="S187" t="str">
        <f t="shared" si="35"/>
        <v>... : REAL;</v>
      </c>
      <c r="U187" t="s">
        <v>747</v>
      </c>
      <c r="V187" t="str">
        <f t="shared" si="36"/>
        <v>IndivReserved76 : REAL;</v>
      </c>
    </row>
    <row r="188" spans="1:22" x14ac:dyDescent="0.45">
      <c r="A188" s="208" t="str">
        <f>SUBSTITUTE(LEFT(Parameters!B190,IF(IFERROR(FIND("[",Parameters!B190),100)&gt;IFERROR(FIND("(",Parameters!B190),100),IFERROR(FIND("(",Parameters!B190),100),IFERROR(FIND("[",Parameters!B190),100))-1)," ","")</f>
        <v/>
      </c>
      <c r="C188" s="208" t="str">
        <f t="shared" si="25"/>
        <v/>
      </c>
      <c r="D188" s="208" t="str">
        <f t="shared" si="26"/>
        <v/>
      </c>
      <c r="E188" s="209" t="str">
        <f t="shared" si="27"/>
        <v/>
      </c>
      <c r="F188" s="210" t="str">
        <f>SUBSTITUTE(LEFT(Parameters!C190,IF(IFERROR(FIND("[",Parameters!C190),100)&gt;IFERROR(FIND("(",Parameters!C190),100),IFERROR(FIND("(",Parameters!C190),100),IFERROR(FIND("[",Parameters!C190),100))-1)," ","")</f>
        <v/>
      </c>
      <c r="H188" s="208" t="str">
        <f t="shared" si="28"/>
        <v/>
      </c>
      <c r="I188" s="208" t="str">
        <f t="shared" si="29"/>
        <v/>
      </c>
      <c r="J188" s="209" t="str">
        <f t="shared" si="30"/>
        <v/>
      </c>
      <c r="K188" t="str">
        <f>SUBSTITUTE(LEFT(Parameters!D190,IF(IFERROR(FIND("[",Parameters!D190),100)&gt;IFERROR(FIND("(",Parameters!D190),100),IFERROR(FIND("(",Parameters!D190),100),IFERROR(FIND("[",Parameters!D190),100))-1)," ","")</f>
        <v/>
      </c>
      <c r="M188" t="str">
        <f t="shared" si="31"/>
        <v/>
      </c>
      <c r="N188" s="208" t="str">
        <f t="shared" si="32"/>
        <v/>
      </c>
      <c r="O188" s="209" t="str">
        <f t="shared" si="33"/>
        <v/>
      </c>
      <c r="P188" s="211" t="str">
        <f t="shared" si="34"/>
        <v/>
      </c>
      <c r="Q188">
        <f>Parameters!E190</f>
        <v>99</v>
      </c>
      <c r="R188" t="str">
        <f>Parameters!F190</f>
        <v>IndivReserved99</v>
      </c>
      <c r="S188" t="str">
        <f t="shared" si="35"/>
        <v>IndivReserved99 : REAL;</v>
      </c>
      <c r="U188" t="s">
        <v>748</v>
      </c>
      <c r="V188" t="str">
        <f t="shared" si="36"/>
        <v>IndivReserved77 : REAL;</v>
      </c>
    </row>
    <row r="189" spans="1:22" x14ac:dyDescent="0.45">
      <c r="A189" s="208" t="str">
        <f>SUBSTITUTE(LEFT(Parameters!B191,IF(IFERROR(FIND("[",Parameters!B191),100)&gt;IFERROR(FIND("(",Parameters!B191),100),IFERROR(FIND("(",Parameters!B191),100),IFERROR(FIND("[",Parameters!B191),100))-1)," ","")</f>
        <v/>
      </c>
      <c r="C189" s="208" t="str">
        <f t="shared" si="25"/>
        <v/>
      </c>
      <c r="D189" s="208" t="str">
        <f t="shared" si="26"/>
        <v/>
      </c>
      <c r="E189" s="209" t="str">
        <f t="shared" si="27"/>
        <v/>
      </c>
      <c r="F189" s="210" t="str">
        <f>SUBSTITUTE(LEFT(Parameters!C191,IF(IFERROR(FIND("[",Parameters!C191),100)&gt;IFERROR(FIND("(",Parameters!C191),100),IFERROR(FIND("(",Parameters!C191),100),IFERROR(FIND("[",Parameters!C191),100))-1)," ","")</f>
        <v/>
      </c>
      <c r="H189" s="208" t="str">
        <f t="shared" si="28"/>
        <v/>
      </c>
      <c r="I189" s="208" t="str">
        <f t="shared" si="29"/>
        <v/>
      </c>
      <c r="J189" s="209" t="str">
        <f t="shared" si="30"/>
        <v/>
      </c>
      <c r="K189" t="str">
        <f>SUBSTITUTE(LEFT(Parameters!D191,IF(IFERROR(FIND("[",Parameters!D191),100)&gt;IFERROR(FIND("(",Parameters!D191),100),IFERROR(FIND("(",Parameters!D191),100),IFERROR(FIND("[",Parameters!D191),100))-1)," ","")</f>
        <v/>
      </c>
      <c r="M189" t="str">
        <f t="shared" si="31"/>
        <v/>
      </c>
      <c r="N189" s="208" t="str">
        <f t="shared" si="32"/>
        <v/>
      </c>
      <c r="O189" s="209" t="str">
        <f t="shared" si="33"/>
        <v/>
      </c>
      <c r="P189" s="211" t="str">
        <f t="shared" si="34"/>
        <v/>
      </c>
      <c r="Q189">
        <f>Parameters!E191</f>
        <v>0</v>
      </c>
      <c r="R189">
        <f>Parameters!F191</f>
        <v>0</v>
      </c>
      <c r="S189" t="str">
        <f t="shared" si="35"/>
        <v>0 : REAL;</v>
      </c>
      <c r="U189" t="s">
        <v>749</v>
      </c>
      <c r="V189" t="str">
        <f t="shared" si="36"/>
        <v>IndivReserved78 : REAL;</v>
      </c>
    </row>
    <row r="190" spans="1:22" x14ac:dyDescent="0.45">
      <c r="A190" s="208" t="str">
        <f>SUBSTITUTE(LEFT(Parameters!B192,IF(IFERROR(FIND("[",Parameters!B192),100)&gt;IFERROR(FIND("(",Parameters!B192),100),IFERROR(FIND("(",Parameters!B192),100),IFERROR(FIND("[",Parameters!B192),100))-1)," ","")</f>
        <v/>
      </c>
      <c r="C190" s="208" t="str">
        <f t="shared" si="25"/>
        <v/>
      </c>
      <c r="D190" s="208" t="str">
        <f t="shared" si="26"/>
        <v/>
      </c>
      <c r="E190" s="209" t="str">
        <f t="shared" si="27"/>
        <v/>
      </c>
      <c r="F190" s="210" t="str">
        <f>SUBSTITUTE(LEFT(Parameters!C192,IF(IFERROR(FIND("[",Parameters!C192),100)&gt;IFERROR(FIND("(",Parameters!C192),100),IFERROR(FIND("(",Parameters!C192),100),IFERROR(FIND("[",Parameters!C192),100))-1)," ","")</f>
        <v/>
      </c>
      <c r="H190" s="208" t="str">
        <f t="shared" si="28"/>
        <v/>
      </c>
      <c r="I190" s="208" t="str">
        <f t="shared" si="29"/>
        <v/>
      </c>
      <c r="J190" s="209" t="str">
        <f t="shared" si="30"/>
        <v/>
      </c>
      <c r="K190" t="str">
        <f>SUBSTITUTE(LEFT(Parameters!D192,IF(IFERROR(FIND("[",Parameters!D192),100)&gt;IFERROR(FIND("(",Parameters!D192),100),IFERROR(FIND("(",Parameters!D192),100),IFERROR(FIND("[",Parameters!D192),100))-1)," ","")</f>
        <v/>
      </c>
      <c r="M190" t="str">
        <f t="shared" si="31"/>
        <v/>
      </c>
      <c r="N190" s="208" t="str">
        <f t="shared" si="32"/>
        <v/>
      </c>
      <c r="O190" s="209" t="str">
        <f t="shared" si="33"/>
        <v/>
      </c>
      <c r="P190" s="211" t="str">
        <f t="shared" si="34"/>
        <v/>
      </c>
      <c r="Q190">
        <f>Parameters!E192</f>
        <v>0</v>
      </c>
      <c r="R190">
        <f>Parameters!F192</f>
        <v>0</v>
      </c>
      <c r="S190" t="str">
        <f t="shared" si="35"/>
        <v>0 : REAL;</v>
      </c>
      <c r="U190" t="s">
        <v>750</v>
      </c>
      <c r="V190" t="str">
        <f t="shared" si="36"/>
        <v>IndivReserved79 : REAL;</v>
      </c>
    </row>
    <row r="191" spans="1:22" x14ac:dyDescent="0.45">
      <c r="A191" s="208" t="str">
        <f>SUBSTITUTE(LEFT(Parameters!B193,IF(IFERROR(FIND("[",Parameters!B193),100)&gt;IFERROR(FIND("(",Parameters!B193),100),IFERROR(FIND("(",Parameters!B193),100),IFERROR(FIND("[",Parameters!B193),100))-1)," ","")</f>
        <v/>
      </c>
      <c r="C191" s="208" t="str">
        <f t="shared" si="25"/>
        <v/>
      </c>
      <c r="D191" s="208" t="str">
        <f t="shared" si="26"/>
        <v/>
      </c>
      <c r="E191" s="209" t="str">
        <f t="shared" si="27"/>
        <v/>
      </c>
      <c r="F191" s="210" t="str">
        <f>SUBSTITUTE(LEFT(Parameters!C193,IF(IFERROR(FIND("[",Parameters!C193),100)&gt;IFERROR(FIND("(",Parameters!C193),100),IFERROR(FIND("(",Parameters!C193),100),IFERROR(FIND("[",Parameters!C193),100))-1)," ","")</f>
        <v/>
      </c>
      <c r="H191" s="208" t="str">
        <f t="shared" si="28"/>
        <v/>
      </c>
      <c r="I191" s="208" t="str">
        <f t="shared" si="29"/>
        <v/>
      </c>
      <c r="J191" s="209" t="str">
        <f t="shared" si="30"/>
        <v/>
      </c>
      <c r="K191" t="str">
        <f>SUBSTITUTE(LEFT(Parameters!D193,IF(IFERROR(FIND("[",Parameters!D193),100)&gt;IFERROR(FIND("(",Parameters!D193),100),IFERROR(FIND("(",Parameters!D193),100),IFERROR(FIND("[",Parameters!D193),100))-1)," ","")</f>
        <v/>
      </c>
      <c r="M191" t="str">
        <f t="shared" si="31"/>
        <v/>
      </c>
      <c r="N191" s="208" t="str">
        <f t="shared" si="32"/>
        <v/>
      </c>
      <c r="O191" s="209" t="str">
        <f t="shared" si="33"/>
        <v/>
      </c>
      <c r="P191" s="211" t="str">
        <f t="shared" si="34"/>
        <v/>
      </c>
      <c r="Q191">
        <f>Parameters!E193</f>
        <v>0</v>
      </c>
      <c r="R191">
        <f>Parameters!F193</f>
        <v>0</v>
      </c>
      <c r="S191" t="str">
        <f t="shared" si="35"/>
        <v>0 : REAL;</v>
      </c>
      <c r="U191" t="s">
        <v>751</v>
      </c>
      <c r="V191" t="str">
        <f t="shared" si="36"/>
        <v>IndivReserved80 : REAL;</v>
      </c>
    </row>
    <row r="192" spans="1:22" x14ac:dyDescent="0.45">
      <c r="A192" s="208" t="str">
        <f>SUBSTITUTE(LEFT(Parameters!B194,IF(IFERROR(FIND("[",Parameters!B194),100)&gt;IFERROR(FIND("(",Parameters!B194),100),IFERROR(FIND("(",Parameters!B194),100),IFERROR(FIND("[",Parameters!B194),100))-1)," ","")</f>
        <v/>
      </c>
      <c r="C192" s="208" t="str">
        <f t="shared" si="25"/>
        <v/>
      </c>
      <c r="D192" s="208" t="str">
        <f t="shared" si="26"/>
        <v/>
      </c>
      <c r="E192" s="209" t="str">
        <f t="shared" si="27"/>
        <v/>
      </c>
      <c r="F192" s="210" t="str">
        <f>SUBSTITUTE(LEFT(Parameters!C194,IF(IFERROR(FIND("[",Parameters!C194),100)&gt;IFERROR(FIND("(",Parameters!C194),100),IFERROR(FIND("(",Parameters!C194),100),IFERROR(FIND("[",Parameters!C194),100))-1)," ","")</f>
        <v/>
      </c>
      <c r="H192" s="208" t="str">
        <f t="shared" si="28"/>
        <v/>
      </c>
      <c r="I192" s="208" t="str">
        <f t="shared" si="29"/>
        <v/>
      </c>
      <c r="J192" s="209" t="str">
        <f t="shared" si="30"/>
        <v/>
      </c>
      <c r="K192" t="str">
        <f>SUBSTITUTE(LEFT(Parameters!D194,IF(IFERROR(FIND("[",Parameters!D194),100)&gt;IFERROR(FIND("(",Parameters!D194),100),IFERROR(FIND("(",Parameters!D194),100),IFERROR(FIND("[",Parameters!D194),100))-1)," ","")</f>
        <v/>
      </c>
      <c r="M192" t="str">
        <f t="shared" si="31"/>
        <v/>
      </c>
      <c r="N192" s="208" t="str">
        <f t="shared" si="32"/>
        <v/>
      </c>
      <c r="O192" s="209" t="str">
        <f t="shared" si="33"/>
        <v/>
      </c>
      <c r="P192" s="211" t="str">
        <f t="shared" si="34"/>
        <v/>
      </c>
      <c r="Q192">
        <f>Parameters!E194</f>
        <v>0</v>
      </c>
      <c r="R192">
        <f>Parameters!F194</f>
        <v>0</v>
      </c>
      <c r="S192" t="str">
        <f t="shared" si="35"/>
        <v>0 : REAL;</v>
      </c>
      <c r="U192" t="s">
        <v>752</v>
      </c>
      <c r="V192" t="str">
        <f t="shared" si="36"/>
        <v>IndivReserved81 : REAL;</v>
      </c>
    </row>
    <row r="193" spans="21:22" x14ac:dyDescent="0.45">
      <c r="U193" t="s">
        <v>753</v>
      </c>
      <c r="V193" t="str">
        <f t="shared" si="36"/>
        <v>IndivReserved82 : REAL;</v>
      </c>
    </row>
    <row r="194" spans="21:22" x14ac:dyDescent="0.45">
      <c r="U194" t="s">
        <v>754</v>
      </c>
      <c r="V194" t="str">
        <f t="shared" si="36"/>
        <v>IndivReserved83 : REAL;</v>
      </c>
    </row>
    <row r="195" spans="21:22" x14ac:dyDescent="0.45">
      <c r="U195" t="s">
        <v>755</v>
      </c>
      <c r="V195" t="str">
        <f t="shared" si="36"/>
        <v>IndivReserved84 : REAL;</v>
      </c>
    </row>
    <row r="196" spans="21:22" x14ac:dyDescent="0.45">
      <c r="U196" t="s">
        <v>756</v>
      </c>
      <c r="V196" t="str">
        <f t="shared" si="36"/>
        <v>IndivReserved85 : REAL;</v>
      </c>
    </row>
    <row r="197" spans="21:22" x14ac:dyDescent="0.45">
      <c r="U197" t="s">
        <v>757</v>
      </c>
      <c r="V197" t="str">
        <f t="shared" si="36"/>
        <v>IndivReserved86 : REAL;</v>
      </c>
    </row>
    <row r="198" spans="21:22" x14ac:dyDescent="0.45">
      <c r="U198" t="s">
        <v>758</v>
      </c>
      <c r="V198" t="str">
        <f t="shared" si="36"/>
        <v>IndivReserved87 : REAL;</v>
      </c>
    </row>
    <row r="199" spans="21:22" x14ac:dyDescent="0.45">
      <c r="U199" t="s">
        <v>759</v>
      </c>
      <c r="V199" t="str">
        <f t="shared" si="36"/>
        <v>IndivReserved88 : REAL;</v>
      </c>
    </row>
    <row r="200" spans="21:22" x14ac:dyDescent="0.45">
      <c r="U200" t="s">
        <v>760</v>
      </c>
      <c r="V200" t="str">
        <f t="shared" si="36"/>
        <v>IndivReserved89 : REAL;</v>
      </c>
    </row>
    <row r="201" spans="21:22" x14ac:dyDescent="0.45">
      <c r="U201" t="s">
        <v>761</v>
      </c>
      <c r="V201" t="str">
        <f t="shared" si="36"/>
        <v>IndivReserved90 : REAL;</v>
      </c>
    </row>
    <row r="202" spans="21:22" x14ac:dyDescent="0.45">
      <c r="U202" t="s">
        <v>762</v>
      </c>
      <c r="V202" t="str">
        <f t="shared" si="36"/>
        <v>IndivReserved91 : REAL;</v>
      </c>
    </row>
    <row r="203" spans="21:22" x14ac:dyDescent="0.45">
      <c r="U203" t="s">
        <v>763</v>
      </c>
      <c r="V203" t="str">
        <f t="shared" si="36"/>
        <v>IndivReserved92 : REAL;</v>
      </c>
    </row>
    <row r="204" spans="21:22" x14ac:dyDescent="0.45">
      <c r="U204" t="s">
        <v>764</v>
      </c>
      <c r="V204" t="str">
        <f t="shared" si="36"/>
        <v>IndivReserved93 : REAL;</v>
      </c>
    </row>
    <row r="205" spans="21:22" x14ac:dyDescent="0.45">
      <c r="U205" t="s">
        <v>765</v>
      </c>
      <c r="V205" t="str">
        <f t="shared" si="36"/>
        <v>IndivReserved94 : REAL;</v>
      </c>
    </row>
    <row r="206" spans="21:22" x14ac:dyDescent="0.45">
      <c r="U206" t="s">
        <v>766</v>
      </c>
      <c r="V206" t="str">
        <f t="shared" si="36"/>
        <v>IndivReserved95 : REAL;</v>
      </c>
    </row>
    <row r="207" spans="21:22" x14ac:dyDescent="0.45">
      <c r="U207" t="s">
        <v>767</v>
      </c>
      <c r="V207" t="str">
        <f t="shared" si="36"/>
        <v>IndivReserved96 : REAL;</v>
      </c>
    </row>
    <row r="208" spans="21:22" x14ac:dyDescent="0.45">
      <c r="U208" t="s">
        <v>768</v>
      </c>
      <c r="V208" t="str">
        <f t="shared" si="36"/>
        <v>IndivReserved97 : REAL;</v>
      </c>
    </row>
    <row r="209" spans="21:22" x14ac:dyDescent="0.45">
      <c r="U209" t="s">
        <v>769</v>
      </c>
      <c r="V209" t="str">
        <f t="shared" si="36"/>
        <v>IndivReserved98 : REAL;</v>
      </c>
    </row>
    <row r="210" spans="21:22" x14ac:dyDescent="0.45">
      <c r="U210" t="s">
        <v>745</v>
      </c>
      <c r="V210" t="str">
        <f t="shared" si="36"/>
        <v>IndivReserved99 : REAL;</v>
      </c>
    </row>
  </sheetData>
  <mergeCells count="3">
    <mergeCell ref="A1:E1"/>
    <mergeCell ref="F1:J1"/>
    <mergeCell ref="K1:O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O129"/>
  <sheetViews>
    <sheetView topLeftCell="A97" zoomScaleNormal="100" workbookViewId="0">
      <selection activeCell="F139" sqref="F139"/>
    </sheetView>
  </sheetViews>
  <sheetFormatPr defaultColWidth="9" defaultRowHeight="15.5" x14ac:dyDescent="0.45"/>
  <cols>
    <col min="1" max="1" width="9.9140625" style="1" customWidth="1"/>
    <col min="2" max="2" width="10.08203125" style="19" bestFit="1" customWidth="1"/>
    <col min="3" max="3" width="16.58203125" style="19" customWidth="1"/>
    <col min="4" max="4" width="14.9140625" style="20" bestFit="1" customWidth="1"/>
    <col min="5" max="5" width="36.9140625" style="2" bestFit="1" customWidth="1"/>
    <col min="6" max="6" width="52.58203125" style="1" bestFit="1" customWidth="1"/>
    <col min="7" max="7" width="60" style="1" hidden="1" customWidth="1"/>
    <col min="8" max="8" width="9" style="3"/>
    <col min="9" max="11" width="9" style="2"/>
    <col min="12" max="12" width="40.08203125" style="1" bestFit="1" customWidth="1"/>
    <col min="13" max="13" width="29.5" style="1" bestFit="1" customWidth="1"/>
    <col min="14" max="14" width="4.6640625" style="1" bestFit="1" customWidth="1"/>
    <col min="15" max="15" width="32.5" style="1" bestFit="1" customWidth="1"/>
    <col min="16" max="16384" width="9" style="1"/>
  </cols>
  <sheetData>
    <row r="2" spans="1:15" ht="16" thickBot="1" x14ac:dyDescent="0.5">
      <c r="B2" s="257" t="s">
        <v>0</v>
      </c>
      <c r="C2" s="257"/>
      <c r="D2" s="257"/>
      <c r="E2" s="257"/>
      <c r="F2" s="257"/>
      <c r="G2" s="257"/>
      <c r="H2" s="257"/>
      <c r="I2" s="257"/>
      <c r="J2" s="257"/>
      <c r="K2" s="257"/>
      <c r="L2" s="257"/>
    </row>
    <row r="3" spans="1:15" ht="17" customHeight="1" x14ac:dyDescent="0.45">
      <c r="A3" s="266" t="s">
        <v>300</v>
      </c>
      <c r="B3" s="266" t="s">
        <v>15</v>
      </c>
      <c r="C3" s="266" t="s">
        <v>16</v>
      </c>
      <c r="D3" s="253" t="s">
        <v>18</v>
      </c>
      <c r="E3" s="304" t="s">
        <v>13</v>
      </c>
      <c r="F3" s="306" t="s">
        <v>11</v>
      </c>
      <c r="G3" s="306" t="s">
        <v>12</v>
      </c>
      <c r="H3" s="308" t="s">
        <v>5</v>
      </c>
      <c r="I3" s="306" t="s">
        <v>2</v>
      </c>
      <c r="J3" s="306"/>
      <c r="K3" s="306"/>
      <c r="L3" s="301" t="s">
        <v>7</v>
      </c>
      <c r="M3" s="303" t="s">
        <v>301</v>
      </c>
      <c r="N3" s="32" t="s">
        <v>302</v>
      </c>
      <c r="O3" s="33" t="s">
        <v>303</v>
      </c>
    </row>
    <row r="4" spans="1:15" ht="17.25" customHeight="1" thickBot="1" x14ac:dyDescent="0.5">
      <c r="A4" s="267"/>
      <c r="B4" s="267"/>
      <c r="C4" s="267"/>
      <c r="D4" s="254"/>
      <c r="E4" s="305"/>
      <c r="F4" s="307"/>
      <c r="G4" s="307"/>
      <c r="H4" s="309"/>
      <c r="I4" s="45" t="s">
        <v>3</v>
      </c>
      <c r="J4" s="45" t="s">
        <v>4</v>
      </c>
      <c r="K4" s="45" t="s">
        <v>1</v>
      </c>
      <c r="L4" s="302"/>
      <c r="M4" s="303" t="s">
        <v>301</v>
      </c>
      <c r="N4" s="32" t="s">
        <v>302</v>
      </c>
      <c r="O4" s="33" t="s">
        <v>303</v>
      </c>
    </row>
    <row r="5" spans="1:15" ht="16" thickBot="1" x14ac:dyDescent="0.5">
      <c r="A5" s="281" t="s">
        <v>307</v>
      </c>
      <c r="B5" s="284" t="s">
        <v>241</v>
      </c>
      <c r="C5" s="288" t="s">
        <v>242</v>
      </c>
      <c r="D5" s="289" t="s">
        <v>308</v>
      </c>
      <c r="E5" s="29" t="str">
        <f t="shared" ref="E5:E68" si="0">CONCATENATE("DEL_",M5)</f>
        <v>DEL_AL_VSD_AB_MS</v>
      </c>
      <c r="F5" s="30" t="s">
        <v>310</v>
      </c>
      <c r="G5" s="30"/>
      <c r="H5" s="31">
        <v>1</v>
      </c>
      <c r="I5" s="29">
        <v>0</v>
      </c>
      <c r="J5" s="29">
        <v>3600</v>
      </c>
      <c r="K5" s="29" t="s">
        <v>62</v>
      </c>
      <c r="L5" s="38"/>
      <c r="M5" s="4" t="s">
        <v>309</v>
      </c>
      <c r="N5" s="4">
        <v>0</v>
      </c>
      <c r="O5" s="4" t="s">
        <v>309</v>
      </c>
    </row>
    <row r="6" spans="1:15" ht="16" thickBot="1" x14ac:dyDescent="0.5">
      <c r="A6" s="282"/>
      <c r="B6" s="285"/>
      <c r="C6" s="231"/>
      <c r="D6" s="290"/>
      <c r="E6" s="8" t="str">
        <f t="shared" si="0"/>
        <v>DEL_AL_MSD_UD_EGD</v>
      </c>
      <c r="F6" s="30" t="s">
        <v>312</v>
      </c>
      <c r="G6" s="25"/>
      <c r="H6" s="26">
        <v>0.1</v>
      </c>
      <c r="I6" s="8">
        <v>0</v>
      </c>
      <c r="J6" s="8">
        <v>3600</v>
      </c>
      <c r="K6" s="8" t="s">
        <v>62</v>
      </c>
      <c r="L6" s="39"/>
      <c r="M6" s="4" t="s">
        <v>311</v>
      </c>
      <c r="N6" s="4">
        <v>1</v>
      </c>
      <c r="O6" s="4" t="s">
        <v>311</v>
      </c>
    </row>
    <row r="7" spans="1:15" ht="16" thickBot="1" x14ac:dyDescent="0.5">
      <c r="A7" s="282"/>
      <c r="B7" s="285"/>
      <c r="C7" s="231"/>
      <c r="D7" s="290"/>
      <c r="E7" s="8" t="str">
        <f t="shared" si="0"/>
        <v>DEL_AL_MSD_UD_EGS</v>
      </c>
      <c r="F7" s="30" t="s">
        <v>314</v>
      </c>
      <c r="G7" s="25"/>
      <c r="H7" s="26">
        <v>0.1</v>
      </c>
      <c r="I7" s="8">
        <v>0</v>
      </c>
      <c r="J7" s="8">
        <v>3600</v>
      </c>
      <c r="K7" s="8" t="s">
        <v>62</v>
      </c>
      <c r="L7" s="39"/>
      <c r="M7" s="4" t="s">
        <v>313</v>
      </c>
      <c r="N7" s="4">
        <v>2</v>
      </c>
      <c r="O7" s="4" t="s">
        <v>313</v>
      </c>
    </row>
    <row r="8" spans="1:15" ht="16" thickBot="1" x14ac:dyDescent="0.5">
      <c r="A8" s="282"/>
      <c r="B8" s="285"/>
      <c r="C8" s="231"/>
      <c r="D8" s="290"/>
      <c r="E8" s="8" t="str">
        <f t="shared" si="0"/>
        <v>DEL_AL_MSD_UD_CME</v>
      </c>
      <c r="F8" s="30" t="s">
        <v>316</v>
      </c>
      <c r="G8" s="25"/>
      <c r="H8" s="26">
        <v>0.1</v>
      </c>
      <c r="I8" s="8">
        <v>0</v>
      </c>
      <c r="J8" s="8">
        <v>3600</v>
      </c>
      <c r="K8" s="8" t="s">
        <v>62</v>
      </c>
      <c r="L8" s="39"/>
      <c r="M8" s="4" t="s">
        <v>315</v>
      </c>
      <c r="N8" s="4">
        <v>3</v>
      </c>
      <c r="O8" s="4" t="s">
        <v>315</v>
      </c>
    </row>
    <row r="9" spans="1:15" ht="16" thickBot="1" x14ac:dyDescent="0.5">
      <c r="A9" s="282"/>
      <c r="B9" s="285"/>
      <c r="C9" s="231"/>
      <c r="D9" s="290"/>
      <c r="E9" s="8" t="str">
        <f t="shared" si="0"/>
        <v>DEL_AL_NOT_UD_CMH</v>
      </c>
      <c r="F9" s="30" t="s">
        <v>318</v>
      </c>
      <c r="G9" s="25"/>
      <c r="H9" s="26">
        <v>1</v>
      </c>
      <c r="I9" s="8">
        <v>0</v>
      </c>
      <c r="J9" s="8">
        <v>3600</v>
      </c>
      <c r="K9" s="8" t="s">
        <v>62</v>
      </c>
      <c r="L9" s="39"/>
      <c r="M9" s="4" t="s">
        <v>317</v>
      </c>
      <c r="N9" s="4">
        <v>4</v>
      </c>
      <c r="O9" s="4" t="s">
        <v>317</v>
      </c>
    </row>
    <row r="10" spans="1:15" ht="16" thickBot="1" x14ac:dyDescent="0.5">
      <c r="A10" s="282"/>
      <c r="B10" s="285"/>
      <c r="C10" s="231"/>
      <c r="D10" s="290"/>
      <c r="E10" s="8" t="str">
        <f t="shared" si="0"/>
        <v>DEL_AL_VSD_UD_RSV_FA</v>
      </c>
      <c r="F10" s="30" t="s">
        <v>320</v>
      </c>
      <c r="G10" s="25"/>
      <c r="H10" s="26">
        <v>10</v>
      </c>
      <c r="I10" s="8">
        <v>0</v>
      </c>
      <c r="J10" s="8">
        <v>3600</v>
      </c>
      <c r="K10" s="8" t="s">
        <v>30</v>
      </c>
      <c r="L10" s="39"/>
      <c r="M10" s="4" t="s">
        <v>319</v>
      </c>
      <c r="N10" s="4">
        <v>5</v>
      </c>
      <c r="O10" s="4" t="s">
        <v>319</v>
      </c>
    </row>
    <row r="11" spans="1:15" ht="16" thickBot="1" x14ac:dyDescent="0.5">
      <c r="A11" s="282"/>
      <c r="B11" s="285"/>
      <c r="C11" s="231"/>
      <c r="D11" s="290"/>
      <c r="E11" s="8" t="str">
        <f t="shared" si="0"/>
        <v>DEL_AL_VSD_UD_RSV_SF</v>
      </c>
      <c r="F11" s="30" t="s">
        <v>322</v>
      </c>
      <c r="G11" s="25"/>
      <c r="H11" s="26">
        <v>1</v>
      </c>
      <c r="I11" s="8">
        <v>0</v>
      </c>
      <c r="J11" s="8">
        <v>3600</v>
      </c>
      <c r="K11" s="8" t="s">
        <v>30</v>
      </c>
      <c r="L11" s="39"/>
      <c r="M11" s="4" t="s">
        <v>321</v>
      </c>
      <c r="N11" s="4">
        <v>6</v>
      </c>
      <c r="O11" s="4" t="s">
        <v>321</v>
      </c>
    </row>
    <row r="12" spans="1:15" ht="16" thickBot="1" x14ac:dyDescent="0.5">
      <c r="A12" s="282"/>
      <c r="B12" s="285"/>
      <c r="C12" s="231"/>
      <c r="D12" s="290"/>
      <c r="E12" s="8" t="str">
        <f t="shared" si="0"/>
        <v>DEL_AL_VSD_UD_RBV_FA</v>
      </c>
      <c r="F12" s="30" t="s">
        <v>323</v>
      </c>
      <c r="G12" s="25"/>
      <c r="H12" s="26">
        <v>10</v>
      </c>
      <c r="I12" s="8">
        <v>0</v>
      </c>
      <c r="J12" s="8">
        <v>3600</v>
      </c>
      <c r="K12" s="8" t="s">
        <v>30</v>
      </c>
      <c r="L12" s="39"/>
      <c r="M12" s="4" t="s">
        <v>443</v>
      </c>
      <c r="N12" s="4">
        <v>7</v>
      </c>
      <c r="O12" s="4" t="s">
        <v>443</v>
      </c>
    </row>
    <row r="13" spans="1:15" ht="16" thickBot="1" x14ac:dyDescent="0.5">
      <c r="A13" s="282"/>
      <c r="B13" s="285"/>
      <c r="C13" s="231"/>
      <c r="D13" s="290"/>
      <c r="E13" s="8" t="str">
        <f t="shared" si="0"/>
        <v>DEL_AL_VSD_UD_RBV_SF</v>
      </c>
      <c r="F13" s="30" t="s">
        <v>325</v>
      </c>
      <c r="G13" s="25"/>
      <c r="H13" s="26">
        <v>1</v>
      </c>
      <c r="I13" s="8">
        <v>0</v>
      </c>
      <c r="J13" s="8">
        <v>3600</v>
      </c>
      <c r="K13" s="8" t="s">
        <v>30</v>
      </c>
      <c r="L13" s="39"/>
      <c r="M13" s="4" t="s">
        <v>324</v>
      </c>
      <c r="N13" s="4">
        <v>8</v>
      </c>
      <c r="O13" s="4" t="s">
        <v>324</v>
      </c>
    </row>
    <row r="14" spans="1:15" ht="16" thickBot="1" x14ac:dyDescent="0.5">
      <c r="A14" s="282"/>
      <c r="B14" s="285"/>
      <c r="C14" s="231"/>
      <c r="D14" s="290"/>
      <c r="E14" s="8" t="str">
        <f t="shared" si="0"/>
        <v>DEL_AL_DEN_UD_FM_FO_DVTO</v>
      </c>
      <c r="F14" s="30" t="s">
        <v>327</v>
      </c>
      <c r="G14" s="10"/>
      <c r="H14" s="11">
        <v>600</v>
      </c>
      <c r="I14" s="8">
        <v>0</v>
      </c>
      <c r="J14" s="8">
        <v>3600</v>
      </c>
      <c r="K14" s="8" t="s">
        <v>62</v>
      </c>
      <c r="L14" s="39"/>
      <c r="M14" s="4" t="s">
        <v>326</v>
      </c>
      <c r="N14" s="4">
        <v>9</v>
      </c>
      <c r="O14" s="4" t="s">
        <v>326</v>
      </c>
    </row>
    <row r="15" spans="1:15" ht="16" thickBot="1" x14ac:dyDescent="0.5">
      <c r="A15" s="282"/>
      <c r="B15" s="285"/>
      <c r="C15" s="231"/>
      <c r="D15" s="290"/>
      <c r="E15" s="8" t="str">
        <f t="shared" si="0"/>
        <v>DEL_AL_DEN_UD_FM_FO_STTO</v>
      </c>
      <c r="F15" s="30" t="s">
        <v>329</v>
      </c>
      <c r="G15" s="10"/>
      <c r="H15" s="11">
        <v>3600</v>
      </c>
      <c r="I15" s="8">
        <v>0</v>
      </c>
      <c r="J15" s="8">
        <v>18000</v>
      </c>
      <c r="K15" s="8" t="s">
        <v>62</v>
      </c>
      <c r="L15" s="39" t="s">
        <v>330</v>
      </c>
      <c r="M15" s="4" t="s">
        <v>328</v>
      </c>
      <c r="N15" s="4">
        <v>10</v>
      </c>
      <c r="O15" s="4" t="s">
        <v>328</v>
      </c>
    </row>
    <row r="16" spans="1:15" ht="16" thickBot="1" x14ac:dyDescent="0.5">
      <c r="A16" s="282"/>
      <c r="B16" s="285"/>
      <c r="C16" s="231"/>
      <c r="D16" s="290"/>
      <c r="E16" s="8" t="str">
        <f t="shared" si="0"/>
        <v>DEL_AL_NOT_AB_PP1_RMT</v>
      </c>
      <c r="F16" s="30" t="s">
        <v>332</v>
      </c>
      <c r="G16" s="25"/>
      <c r="H16" s="26">
        <v>1</v>
      </c>
      <c r="I16" s="8">
        <v>0</v>
      </c>
      <c r="J16" s="8">
        <v>3600</v>
      </c>
      <c r="K16" s="8" t="s">
        <v>62</v>
      </c>
      <c r="L16" s="39"/>
      <c r="M16" s="4" t="s">
        <v>434</v>
      </c>
      <c r="N16" s="4">
        <v>11</v>
      </c>
      <c r="O16" s="4" t="s">
        <v>331</v>
      </c>
    </row>
    <row r="17" spans="1:15" ht="16" thickBot="1" x14ac:dyDescent="0.5">
      <c r="A17" s="282"/>
      <c r="B17" s="285"/>
      <c r="C17" s="231"/>
      <c r="D17" s="290"/>
      <c r="E17" s="8" t="str">
        <f t="shared" si="0"/>
        <v>DEL_AL_NOT_AB_PP1_ABN</v>
      </c>
      <c r="F17" s="30" t="s">
        <v>334</v>
      </c>
      <c r="G17" s="25"/>
      <c r="H17" s="26">
        <v>1</v>
      </c>
      <c r="I17" s="8">
        <v>0</v>
      </c>
      <c r="J17" s="8">
        <v>3600</v>
      </c>
      <c r="K17" s="8" t="s">
        <v>62</v>
      </c>
      <c r="L17" s="39"/>
      <c r="M17" s="4" t="s">
        <v>435</v>
      </c>
      <c r="N17" s="4">
        <v>12</v>
      </c>
      <c r="O17" s="4" t="s">
        <v>333</v>
      </c>
    </row>
    <row r="18" spans="1:15" ht="16" thickBot="1" x14ac:dyDescent="0.5">
      <c r="A18" s="282"/>
      <c r="B18" s="285"/>
      <c r="C18" s="231"/>
      <c r="D18" s="290"/>
      <c r="E18" s="8" t="str">
        <f t="shared" si="0"/>
        <v>DEL_AL_NOT_UD_PP1_FA</v>
      </c>
      <c r="F18" s="30" t="s">
        <v>336</v>
      </c>
      <c r="G18" s="25"/>
      <c r="H18" s="26">
        <v>10</v>
      </c>
      <c r="I18" s="8">
        <v>0</v>
      </c>
      <c r="J18" s="8">
        <v>3600</v>
      </c>
      <c r="K18" s="8" t="s">
        <v>62</v>
      </c>
      <c r="L18" s="39"/>
      <c r="M18" s="4" t="s">
        <v>436</v>
      </c>
      <c r="N18" s="4">
        <v>13</v>
      </c>
      <c r="O18" s="4" t="s">
        <v>335</v>
      </c>
    </row>
    <row r="19" spans="1:15" ht="16" thickBot="1" x14ac:dyDescent="0.5">
      <c r="A19" s="282"/>
      <c r="B19" s="285"/>
      <c r="C19" s="231"/>
      <c r="D19" s="290"/>
      <c r="E19" s="8" t="str">
        <f t="shared" si="0"/>
        <v>DEL_AL_NOT_AB_PP2_RMT</v>
      </c>
      <c r="F19" s="30" t="s">
        <v>338</v>
      </c>
      <c r="G19" s="25"/>
      <c r="H19" s="26">
        <v>1</v>
      </c>
      <c r="I19" s="8">
        <v>0</v>
      </c>
      <c r="J19" s="8">
        <v>3600</v>
      </c>
      <c r="K19" s="8" t="s">
        <v>62</v>
      </c>
      <c r="L19" s="39"/>
      <c r="M19" s="4" t="s">
        <v>437</v>
      </c>
      <c r="N19" s="4">
        <v>14</v>
      </c>
      <c r="O19" s="4" t="s">
        <v>337</v>
      </c>
    </row>
    <row r="20" spans="1:15" ht="16" thickBot="1" x14ac:dyDescent="0.5">
      <c r="A20" s="282"/>
      <c r="B20" s="285"/>
      <c r="C20" s="231"/>
      <c r="D20" s="290"/>
      <c r="E20" s="8" t="str">
        <f t="shared" si="0"/>
        <v>DEL_AL_NOT_AB_PP2_ABN</v>
      </c>
      <c r="F20" s="30" t="s">
        <v>340</v>
      </c>
      <c r="G20" s="25"/>
      <c r="H20" s="26">
        <v>1</v>
      </c>
      <c r="I20" s="8">
        <v>0</v>
      </c>
      <c r="J20" s="8">
        <v>3600</v>
      </c>
      <c r="K20" s="8" t="s">
        <v>62</v>
      </c>
      <c r="L20" s="39"/>
      <c r="M20" s="4" t="s">
        <v>438</v>
      </c>
      <c r="N20" s="4">
        <v>15</v>
      </c>
      <c r="O20" s="4" t="s">
        <v>339</v>
      </c>
    </row>
    <row r="21" spans="1:15" ht="16" thickBot="1" x14ac:dyDescent="0.5">
      <c r="A21" s="282"/>
      <c r="B21" s="285"/>
      <c r="C21" s="231"/>
      <c r="D21" s="290"/>
      <c r="E21" s="8" t="str">
        <f t="shared" si="0"/>
        <v>DEL_AL_NOT_UD_PP2_FA</v>
      </c>
      <c r="F21" s="30" t="s">
        <v>342</v>
      </c>
      <c r="G21" s="25"/>
      <c r="H21" s="26">
        <v>10</v>
      </c>
      <c r="I21" s="8">
        <v>0</v>
      </c>
      <c r="J21" s="8">
        <v>3600</v>
      </c>
      <c r="K21" s="8" t="s">
        <v>62</v>
      </c>
      <c r="L21" s="39"/>
      <c r="M21" s="4" t="s">
        <v>439</v>
      </c>
      <c r="N21" s="4">
        <v>16</v>
      </c>
      <c r="O21" s="4" t="s">
        <v>341</v>
      </c>
    </row>
    <row r="22" spans="1:15" ht="16" thickBot="1" x14ac:dyDescent="0.5">
      <c r="A22" s="282"/>
      <c r="B22" s="285"/>
      <c r="C22" s="231"/>
      <c r="D22" s="290"/>
      <c r="E22" s="8" t="str">
        <f t="shared" si="0"/>
        <v>DEL_AL_DEN_AB_TC_SFOI</v>
      </c>
      <c r="F22" s="30" t="s">
        <v>344</v>
      </c>
      <c r="G22" s="25"/>
      <c r="H22" s="26">
        <v>30</v>
      </c>
      <c r="I22" s="8">
        <v>0</v>
      </c>
      <c r="J22" s="8">
        <v>3600</v>
      </c>
      <c r="K22" s="8" t="s">
        <v>62</v>
      </c>
      <c r="L22" s="39"/>
      <c r="M22" s="4" t="s">
        <v>343</v>
      </c>
      <c r="N22" s="4">
        <v>17</v>
      </c>
      <c r="O22" s="4" t="s">
        <v>343</v>
      </c>
    </row>
    <row r="23" spans="1:15" ht="16" thickBot="1" x14ac:dyDescent="0.5">
      <c r="A23" s="282"/>
      <c r="B23" s="285"/>
      <c r="C23" s="231"/>
      <c r="D23" s="290"/>
      <c r="E23" s="8" t="str">
        <f t="shared" si="0"/>
        <v>DEL_AL_DEN_UD_BN_NR</v>
      </c>
      <c r="F23" s="30" t="s">
        <v>345</v>
      </c>
      <c r="G23" s="25"/>
      <c r="H23" s="26">
        <v>1</v>
      </c>
      <c r="I23" s="8">
        <v>0</v>
      </c>
      <c r="J23" s="8">
        <v>3600</v>
      </c>
      <c r="K23" s="8" t="s">
        <v>62</v>
      </c>
      <c r="L23" s="39"/>
      <c r="M23" s="4" t="s">
        <v>440</v>
      </c>
      <c r="N23" s="4">
        <v>18</v>
      </c>
      <c r="O23" s="4" t="s">
        <v>440</v>
      </c>
    </row>
    <row r="24" spans="1:15" ht="16" thickBot="1" x14ac:dyDescent="0.5">
      <c r="A24" s="282"/>
      <c r="B24" s="285"/>
      <c r="C24" s="231"/>
      <c r="D24" s="290"/>
      <c r="E24" s="8" t="str">
        <f t="shared" si="0"/>
        <v>DEL_AL_NOT_AB_BN_MI</v>
      </c>
      <c r="F24" s="30" t="s">
        <v>347</v>
      </c>
      <c r="G24" s="25"/>
      <c r="H24" s="26">
        <v>1</v>
      </c>
      <c r="I24" s="8">
        <v>0</v>
      </c>
      <c r="J24" s="8">
        <v>3600</v>
      </c>
      <c r="K24" s="8" t="s">
        <v>62</v>
      </c>
      <c r="L24" s="39"/>
      <c r="M24" s="4" t="s">
        <v>441</v>
      </c>
      <c r="N24" s="4">
        <v>19</v>
      </c>
      <c r="O24" s="4" t="s">
        <v>346</v>
      </c>
    </row>
    <row r="25" spans="1:15" ht="16" thickBot="1" x14ac:dyDescent="0.5">
      <c r="A25" s="282"/>
      <c r="B25" s="285"/>
      <c r="C25" s="231"/>
      <c r="D25" s="290"/>
      <c r="E25" s="8" t="str">
        <f t="shared" si="0"/>
        <v>DEL_AL_DEN_AB_BN_MA</v>
      </c>
      <c r="F25" s="30" t="s">
        <v>349</v>
      </c>
      <c r="G25" s="25"/>
      <c r="H25" s="26">
        <v>1</v>
      </c>
      <c r="I25" s="8">
        <v>0</v>
      </c>
      <c r="J25" s="8">
        <v>3600</v>
      </c>
      <c r="K25" s="8" t="s">
        <v>62</v>
      </c>
      <c r="L25" s="39"/>
      <c r="M25" s="4" t="s">
        <v>348</v>
      </c>
      <c r="N25" s="4">
        <v>20</v>
      </c>
      <c r="O25" s="4" t="s">
        <v>348</v>
      </c>
    </row>
    <row r="26" spans="1:15" ht="16" thickBot="1" x14ac:dyDescent="0.5">
      <c r="A26" s="282"/>
      <c r="B26" s="285"/>
      <c r="C26" s="231"/>
      <c r="D26" s="290"/>
      <c r="E26" s="8" t="str">
        <f t="shared" si="0"/>
        <v>DEL_AL_DEN_UD_BN_FA</v>
      </c>
      <c r="F26" s="30" t="s">
        <v>351</v>
      </c>
      <c r="G26" s="25"/>
      <c r="H26" s="26">
        <v>300</v>
      </c>
      <c r="I26" s="8">
        <v>0</v>
      </c>
      <c r="J26" s="8">
        <v>3600</v>
      </c>
      <c r="K26" s="8" t="s">
        <v>62</v>
      </c>
      <c r="L26" s="39"/>
      <c r="M26" s="4" t="s">
        <v>350</v>
      </c>
      <c r="N26" s="4">
        <v>21</v>
      </c>
      <c r="O26" s="4" t="s">
        <v>350</v>
      </c>
    </row>
    <row r="27" spans="1:15" ht="16" thickBot="1" x14ac:dyDescent="0.5">
      <c r="A27" s="282"/>
      <c r="B27" s="285"/>
      <c r="C27" s="231"/>
      <c r="D27" s="290" t="s">
        <v>352</v>
      </c>
      <c r="E27" s="8" t="str">
        <f t="shared" si="0"/>
        <v>DEL_AL_VSD_SF_RTV</v>
      </c>
      <c r="F27" s="30" t="s">
        <v>353</v>
      </c>
      <c r="G27" s="25"/>
      <c r="H27" s="278">
        <v>1</v>
      </c>
      <c r="I27" s="272">
        <v>0</v>
      </c>
      <c r="J27" s="272">
        <v>3600</v>
      </c>
      <c r="K27" s="272" t="s">
        <v>30</v>
      </c>
      <c r="L27" s="39"/>
      <c r="M27" s="4" t="s">
        <v>417</v>
      </c>
      <c r="N27" s="4">
        <v>22</v>
      </c>
      <c r="O27" s="4" t="s">
        <v>417</v>
      </c>
    </row>
    <row r="28" spans="1:15" ht="16" thickBot="1" x14ac:dyDescent="0.5">
      <c r="A28" s="282"/>
      <c r="B28" s="285"/>
      <c r="C28" s="231"/>
      <c r="D28" s="290"/>
      <c r="E28" s="8" t="str">
        <f t="shared" si="0"/>
        <v>DEL_AL_DEN_SF_PDT_CH</v>
      </c>
      <c r="F28" s="30" t="s">
        <v>354</v>
      </c>
      <c r="G28" s="25"/>
      <c r="H28" s="279"/>
      <c r="I28" s="273"/>
      <c r="J28" s="273"/>
      <c r="K28" s="273"/>
      <c r="L28" s="39"/>
      <c r="M28" s="4" t="s">
        <v>418</v>
      </c>
      <c r="N28" s="4">
        <v>23</v>
      </c>
      <c r="O28" s="4" t="s">
        <v>418</v>
      </c>
    </row>
    <row r="29" spans="1:15" ht="16" thickBot="1" x14ac:dyDescent="0.5">
      <c r="A29" s="282"/>
      <c r="B29" s="285"/>
      <c r="C29" s="231"/>
      <c r="D29" s="290"/>
      <c r="E29" s="8" t="str">
        <f t="shared" si="0"/>
        <v>DEL_AL_MSD_SF_PDT_RBV</v>
      </c>
      <c r="F29" s="30" t="s">
        <v>355</v>
      </c>
      <c r="G29" s="25"/>
      <c r="H29" s="279"/>
      <c r="I29" s="273"/>
      <c r="J29" s="273"/>
      <c r="K29" s="273"/>
      <c r="L29" s="39"/>
      <c r="M29" s="4" t="s">
        <v>419</v>
      </c>
      <c r="N29" s="4">
        <v>24</v>
      </c>
      <c r="O29" s="4" t="s">
        <v>419</v>
      </c>
    </row>
    <row r="30" spans="1:15" ht="16" thickBot="1" x14ac:dyDescent="0.5">
      <c r="A30" s="282"/>
      <c r="B30" s="285"/>
      <c r="C30" s="231"/>
      <c r="D30" s="290"/>
      <c r="E30" s="8" t="str">
        <f t="shared" si="0"/>
        <v>DEL_AL_NOT_SF_PDT_RTV</v>
      </c>
      <c r="F30" s="30" t="s">
        <v>356</v>
      </c>
      <c r="G30" s="25"/>
      <c r="H30" s="279"/>
      <c r="I30" s="273"/>
      <c r="J30" s="273"/>
      <c r="K30" s="273"/>
      <c r="L30" s="39"/>
      <c r="M30" s="4" t="s">
        <v>420</v>
      </c>
      <c r="N30" s="4">
        <v>25</v>
      </c>
      <c r="O30" s="4" t="s">
        <v>420</v>
      </c>
    </row>
    <row r="31" spans="1:15" ht="16" thickBot="1" x14ac:dyDescent="0.5">
      <c r="A31" s="282"/>
      <c r="B31" s="285"/>
      <c r="C31" s="231"/>
      <c r="D31" s="290"/>
      <c r="E31" s="8" t="str">
        <f t="shared" si="0"/>
        <v>DEL_AL_NOT_SF_PDT_RTVS</v>
      </c>
      <c r="F31" s="30" t="s">
        <v>357</v>
      </c>
      <c r="G31" s="25"/>
      <c r="H31" s="279"/>
      <c r="I31" s="273"/>
      <c r="J31" s="273"/>
      <c r="K31" s="273"/>
      <c r="L31" s="39"/>
      <c r="M31" s="4" t="s">
        <v>421</v>
      </c>
      <c r="N31" s="4">
        <v>26</v>
      </c>
      <c r="O31" s="4" t="s">
        <v>421</v>
      </c>
    </row>
    <row r="32" spans="1:15" ht="16" thickBot="1" x14ac:dyDescent="0.5">
      <c r="A32" s="282"/>
      <c r="B32" s="285"/>
      <c r="C32" s="231"/>
      <c r="D32" s="290"/>
      <c r="E32" s="8" t="str">
        <f t="shared" si="0"/>
        <v>DEL_AL_DEN_SF_TC_MXI</v>
      </c>
      <c r="F32" s="30" t="s">
        <v>358</v>
      </c>
      <c r="G32" s="25"/>
      <c r="H32" s="279"/>
      <c r="I32" s="273"/>
      <c r="J32" s="273"/>
      <c r="K32" s="273"/>
      <c r="L32" s="39"/>
      <c r="M32" s="4" t="s">
        <v>422</v>
      </c>
      <c r="N32" s="4">
        <v>27</v>
      </c>
      <c r="O32" s="4" t="s">
        <v>422</v>
      </c>
    </row>
    <row r="33" spans="1:15" ht="16" thickBot="1" x14ac:dyDescent="0.5">
      <c r="A33" s="282"/>
      <c r="B33" s="285"/>
      <c r="C33" s="231"/>
      <c r="D33" s="290"/>
      <c r="E33" s="8" t="str">
        <f t="shared" si="0"/>
        <v>DEL_AL_DEN_SF_TC_CHI</v>
      </c>
      <c r="F33" s="30" t="s">
        <v>359</v>
      </c>
      <c r="G33" s="25"/>
      <c r="H33" s="279"/>
      <c r="I33" s="273"/>
      <c r="J33" s="273"/>
      <c r="K33" s="273"/>
      <c r="L33" s="39"/>
      <c r="M33" s="4" t="s">
        <v>431</v>
      </c>
      <c r="N33" s="4">
        <v>28</v>
      </c>
      <c r="O33" s="4" t="s">
        <v>431</v>
      </c>
    </row>
    <row r="34" spans="1:15" ht="16" thickBot="1" x14ac:dyDescent="0.5">
      <c r="A34" s="282"/>
      <c r="B34" s="285"/>
      <c r="C34" s="231"/>
      <c r="D34" s="290"/>
      <c r="E34" s="8" t="str">
        <f t="shared" si="0"/>
        <v>DEL_AL_NOT_SF_TC_CHM</v>
      </c>
      <c r="F34" s="30" t="s">
        <v>360</v>
      </c>
      <c r="G34" s="25"/>
      <c r="H34" s="279"/>
      <c r="I34" s="273"/>
      <c r="J34" s="273"/>
      <c r="K34" s="273"/>
      <c r="L34" s="39"/>
      <c r="M34" s="4" t="s">
        <v>423</v>
      </c>
      <c r="N34" s="4">
        <v>29</v>
      </c>
      <c r="O34" s="4" t="s">
        <v>423</v>
      </c>
    </row>
    <row r="35" spans="1:15" ht="16" thickBot="1" x14ac:dyDescent="0.5">
      <c r="A35" s="282"/>
      <c r="B35" s="285"/>
      <c r="C35" s="231"/>
      <c r="D35" s="290"/>
      <c r="E35" s="8" t="str">
        <f t="shared" si="0"/>
        <v>DEL_AL_DEN_SF_TC_CHO</v>
      </c>
      <c r="F35" s="30" t="s">
        <v>361</v>
      </c>
      <c r="G35" s="25"/>
      <c r="H35" s="279"/>
      <c r="I35" s="273"/>
      <c r="J35" s="273"/>
      <c r="K35" s="273"/>
      <c r="L35" s="39"/>
      <c r="M35" s="4" t="s">
        <v>424</v>
      </c>
      <c r="N35" s="4">
        <v>30</v>
      </c>
      <c r="O35" s="4" t="s">
        <v>424</v>
      </c>
    </row>
    <row r="36" spans="1:15" ht="16" thickBot="1" x14ac:dyDescent="0.5">
      <c r="A36" s="282"/>
      <c r="B36" s="285"/>
      <c r="C36" s="231"/>
      <c r="D36" s="290"/>
      <c r="E36" s="8" t="str">
        <f t="shared" si="0"/>
        <v>DEL_AL_NOT_SF_FM_FO</v>
      </c>
      <c r="F36" s="30" t="s">
        <v>362</v>
      </c>
      <c r="G36" s="25"/>
      <c r="H36" s="279"/>
      <c r="I36" s="273"/>
      <c r="J36" s="273"/>
      <c r="K36" s="273"/>
      <c r="L36" s="39"/>
      <c r="M36" s="4" t="s">
        <v>425</v>
      </c>
      <c r="N36" s="4">
        <v>31</v>
      </c>
      <c r="O36" s="4" t="s">
        <v>425</v>
      </c>
    </row>
    <row r="37" spans="1:15" ht="16" thickBot="1" x14ac:dyDescent="0.5">
      <c r="A37" s="282"/>
      <c r="B37" s="285"/>
      <c r="C37" s="231"/>
      <c r="D37" s="290"/>
      <c r="E37" s="8" t="str">
        <f t="shared" si="0"/>
        <v>DEL_AL_DEN_SF_PT_SFOI</v>
      </c>
      <c r="F37" s="30" t="s">
        <v>363</v>
      </c>
      <c r="G37" s="25"/>
      <c r="H37" s="279"/>
      <c r="I37" s="273"/>
      <c r="J37" s="273"/>
      <c r="K37" s="273"/>
      <c r="L37" s="39"/>
      <c r="M37" s="4" t="s">
        <v>426</v>
      </c>
      <c r="N37" s="4">
        <v>32</v>
      </c>
      <c r="O37" s="4" t="s">
        <v>426</v>
      </c>
    </row>
    <row r="38" spans="1:15" ht="16" thickBot="1" x14ac:dyDescent="0.5">
      <c r="A38" s="282"/>
      <c r="B38" s="285"/>
      <c r="C38" s="231"/>
      <c r="D38" s="290"/>
      <c r="E38" s="8" t="str">
        <f t="shared" si="0"/>
        <v>DEL_AL_DEN_SF_PT_SFOO</v>
      </c>
      <c r="F38" s="30" t="s">
        <v>364</v>
      </c>
      <c r="G38" s="25"/>
      <c r="H38" s="279"/>
      <c r="I38" s="273"/>
      <c r="J38" s="273"/>
      <c r="K38" s="273"/>
      <c r="L38" s="39"/>
      <c r="M38" s="4" t="s">
        <v>427</v>
      </c>
      <c r="N38" s="4">
        <v>33</v>
      </c>
      <c r="O38" s="4" t="s">
        <v>427</v>
      </c>
    </row>
    <row r="39" spans="1:15" ht="16" thickBot="1" x14ac:dyDescent="0.5">
      <c r="A39" s="282"/>
      <c r="B39" s="285"/>
      <c r="C39" s="231"/>
      <c r="D39" s="290"/>
      <c r="E39" s="8" t="str">
        <f t="shared" si="0"/>
        <v>DEL_AL_DEN_SF_PT_DFOI</v>
      </c>
      <c r="F39" s="30" t="s">
        <v>365</v>
      </c>
      <c r="G39" s="25"/>
      <c r="H39" s="279"/>
      <c r="I39" s="273"/>
      <c r="J39" s="273"/>
      <c r="K39" s="273"/>
      <c r="L39" s="39"/>
      <c r="M39" s="4" t="s">
        <v>428</v>
      </c>
      <c r="N39" s="4">
        <v>34</v>
      </c>
      <c r="O39" s="4" t="s">
        <v>428</v>
      </c>
    </row>
    <row r="40" spans="1:15" ht="16" thickBot="1" x14ac:dyDescent="0.5">
      <c r="A40" s="282"/>
      <c r="B40" s="285"/>
      <c r="C40" s="231"/>
      <c r="D40" s="290"/>
      <c r="E40" s="8" t="str">
        <f t="shared" si="0"/>
        <v>DEL_AL_DEN_SF_PT_DFOM</v>
      </c>
      <c r="F40" s="30" t="s">
        <v>366</v>
      </c>
      <c r="G40" s="25"/>
      <c r="H40" s="279"/>
      <c r="I40" s="273"/>
      <c r="J40" s="273"/>
      <c r="K40" s="273"/>
      <c r="L40" s="39"/>
      <c r="M40" s="4" t="s">
        <v>430</v>
      </c>
      <c r="N40" s="4">
        <v>35</v>
      </c>
      <c r="O40" s="4" t="s">
        <v>430</v>
      </c>
    </row>
    <row r="41" spans="1:15" ht="16" thickBot="1" x14ac:dyDescent="0.5">
      <c r="A41" s="282"/>
      <c r="B41" s="285"/>
      <c r="C41" s="231"/>
      <c r="D41" s="290"/>
      <c r="E41" s="8" t="str">
        <f t="shared" si="0"/>
        <v>DEL_AL_DEN_SF_PT_DFOO</v>
      </c>
      <c r="F41" s="30" t="s">
        <v>367</v>
      </c>
      <c r="G41" s="25"/>
      <c r="H41" s="279"/>
      <c r="I41" s="273"/>
      <c r="J41" s="273"/>
      <c r="K41" s="273"/>
      <c r="L41" s="39"/>
      <c r="M41" s="4" t="s">
        <v>429</v>
      </c>
      <c r="N41" s="4">
        <v>36</v>
      </c>
      <c r="O41" s="4" t="s">
        <v>429</v>
      </c>
    </row>
    <row r="42" spans="1:15" ht="16" thickBot="1" x14ac:dyDescent="0.5">
      <c r="A42" s="282"/>
      <c r="B42" s="285"/>
      <c r="C42" s="231"/>
      <c r="D42" s="290"/>
      <c r="E42" s="8" t="str">
        <f t="shared" si="0"/>
        <v>DEL_AL_DEN_SF_PT_DAI</v>
      </c>
      <c r="F42" s="30" t="s">
        <v>368</v>
      </c>
      <c r="G42" s="25"/>
      <c r="H42" s="279"/>
      <c r="I42" s="273"/>
      <c r="J42" s="273"/>
      <c r="K42" s="273"/>
      <c r="L42" s="39"/>
      <c r="M42" s="4" t="s">
        <v>432</v>
      </c>
      <c r="N42" s="4">
        <v>37</v>
      </c>
      <c r="O42" s="4" t="s">
        <v>432</v>
      </c>
    </row>
    <row r="43" spans="1:15" ht="16" thickBot="1" x14ac:dyDescent="0.5">
      <c r="A43" s="282"/>
      <c r="B43" s="285"/>
      <c r="C43" s="231"/>
      <c r="D43" s="291"/>
      <c r="E43" s="14" t="str">
        <f t="shared" si="0"/>
        <v>DEL_AL_DEN_SF_PT_DAO</v>
      </c>
      <c r="F43" s="30" t="s">
        <v>369</v>
      </c>
      <c r="G43" s="34"/>
      <c r="H43" s="280"/>
      <c r="I43" s="274"/>
      <c r="J43" s="274"/>
      <c r="K43" s="274"/>
      <c r="L43" s="40"/>
      <c r="M43" s="4" t="s">
        <v>433</v>
      </c>
      <c r="N43" s="4">
        <v>38</v>
      </c>
      <c r="O43" s="4" t="s">
        <v>433</v>
      </c>
    </row>
    <row r="44" spans="1:15" ht="16" thickBot="1" x14ac:dyDescent="0.5">
      <c r="A44" s="282"/>
      <c r="B44" s="285"/>
      <c r="C44" s="231"/>
      <c r="D44" s="275" t="s">
        <v>370</v>
      </c>
      <c r="E44" s="27" t="str">
        <f t="shared" si="0"/>
        <v>DEL_AL_VSD_ER_RTV_FA</v>
      </c>
      <c r="F44" s="30" t="s">
        <v>247</v>
      </c>
      <c r="G44" s="25"/>
      <c r="H44" s="26">
        <v>60</v>
      </c>
      <c r="I44" s="27">
        <v>0</v>
      </c>
      <c r="J44" s="27">
        <v>3600</v>
      </c>
      <c r="K44" s="27" t="s">
        <v>30</v>
      </c>
      <c r="L44" s="39"/>
      <c r="M44" s="4" t="s">
        <v>371</v>
      </c>
      <c r="N44" s="4">
        <v>39</v>
      </c>
      <c r="O44" s="4" t="s">
        <v>371</v>
      </c>
    </row>
    <row r="45" spans="1:15" ht="16" thickBot="1" x14ac:dyDescent="0.5">
      <c r="A45" s="282"/>
      <c r="B45" s="285"/>
      <c r="C45" s="231"/>
      <c r="D45" s="275"/>
      <c r="E45" s="8" t="str">
        <f t="shared" si="0"/>
        <v>DEL_AL_VSD_ER_RTV_DV</v>
      </c>
      <c r="F45" s="30" t="s">
        <v>248</v>
      </c>
      <c r="G45" s="25"/>
      <c r="H45" s="26">
        <v>180</v>
      </c>
      <c r="I45" s="8">
        <v>0</v>
      </c>
      <c r="J45" s="8">
        <v>3600</v>
      </c>
      <c r="K45" s="8" t="s">
        <v>62</v>
      </c>
      <c r="L45" s="39"/>
      <c r="M45" s="4" t="s">
        <v>372</v>
      </c>
      <c r="N45" s="4">
        <v>40</v>
      </c>
      <c r="O45" s="4" t="s">
        <v>372</v>
      </c>
    </row>
    <row r="46" spans="1:15" ht="16" thickBot="1" x14ac:dyDescent="0.5">
      <c r="A46" s="282"/>
      <c r="B46" s="285"/>
      <c r="C46" s="231"/>
      <c r="D46" s="275"/>
      <c r="E46" s="8" t="str">
        <f t="shared" si="0"/>
        <v>DEL_AL_DEN_HH_PDT_CH</v>
      </c>
      <c r="F46" s="30" t="s">
        <v>249</v>
      </c>
      <c r="G46" s="25"/>
      <c r="H46" s="26">
        <v>60</v>
      </c>
      <c r="I46" s="8">
        <v>0</v>
      </c>
      <c r="J46" s="8">
        <v>3600</v>
      </c>
      <c r="K46" s="8" t="s">
        <v>62</v>
      </c>
      <c r="L46" s="39"/>
      <c r="M46" s="4" t="s">
        <v>373</v>
      </c>
      <c r="N46" s="4">
        <v>41</v>
      </c>
      <c r="O46" s="4" t="s">
        <v>373</v>
      </c>
    </row>
    <row r="47" spans="1:15" ht="16" thickBot="1" x14ac:dyDescent="0.5">
      <c r="A47" s="282"/>
      <c r="B47" s="285"/>
      <c r="C47" s="231"/>
      <c r="D47" s="275"/>
      <c r="E47" s="8" t="str">
        <f t="shared" si="0"/>
        <v>DEL_AL_NOT_HO_PDT_CH</v>
      </c>
      <c r="F47" s="30" t="s">
        <v>250</v>
      </c>
      <c r="G47" s="25"/>
      <c r="H47" s="26">
        <v>60</v>
      </c>
      <c r="I47" s="8">
        <v>0</v>
      </c>
      <c r="J47" s="8">
        <v>3600</v>
      </c>
      <c r="K47" s="8" t="s">
        <v>62</v>
      </c>
      <c r="L47" s="39"/>
      <c r="M47" s="4" t="s">
        <v>374</v>
      </c>
      <c r="N47" s="4">
        <v>42</v>
      </c>
      <c r="O47" s="4" t="s">
        <v>374</v>
      </c>
    </row>
    <row r="48" spans="1:15" ht="16" thickBot="1" x14ac:dyDescent="0.5">
      <c r="A48" s="282"/>
      <c r="B48" s="285"/>
      <c r="C48" s="231"/>
      <c r="D48" s="275"/>
      <c r="E48" s="8" t="str">
        <f t="shared" si="0"/>
        <v>DEL_AL_DEN_LO_PDT_CH</v>
      </c>
      <c r="F48" s="30" t="s">
        <v>251</v>
      </c>
      <c r="G48" s="25"/>
      <c r="H48" s="26">
        <v>60</v>
      </c>
      <c r="I48" s="8">
        <v>0</v>
      </c>
      <c r="J48" s="8">
        <v>3600</v>
      </c>
      <c r="K48" s="8" t="s">
        <v>62</v>
      </c>
      <c r="L48" s="39"/>
      <c r="M48" s="4" t="s">
        <v>442</v>
      </c>
      <c r="N48" s="4">
        <v>43</v>
      </c>
      <c r="O48" s="4" t="s">
        <v>375</v>
      </c>
    </row>
    <row r="49" spans="1:15" ht="16" thickBot="1" x14ac:dyDescent="0.5">
      <c r="A49" s="282"/>
      <c r="B49" s="285"/>
      <c r="C49" s="231"/>
      <c r="D49" s="275"/>
      <c r="E49" s="8" t="str">
        <f t="shared" si="0"/>
        <v>DEL_AL_MSD_HH_PDT_RBV</v>
      </c>
      <c r="F49" s="30" t="s">
        <v>252</v>
      </c>
      <c r="G49" s="25"/>
      <c r="H49" s="26">
        <v>60</v>
      </c>
      <c r="I49" s="8">
        <v>0</v>
      </c>
      <c r="J49" s="8">
        <v>3600</v>
      </c>
      <c r="K49" s="8" t="s">
        <v>62</v>
      </c>
      <c r="L49" s="39"/>
      <c r="M49" s="4" t="s">
        <v>376</v>
      </c>
      <c r="N49" s="4">
        <v>44</v>
      </c>
      <c r="O49" s="4" t="s">
        <v>376</v>
      </c>
    </row>
    <row r="50" spans="1:15" ht="16" thickBot="1" x14ac:dyDescent="0.5">
      <c r="A50" s="282"/>
      <c r="B50" s="285"/>
      <c r="C50" s="231"/>
      <c r="D50" s="275"/>
      <c r="E50" s="8" t="str">
        <f t="shared" si="0"/>
        <v>DEL_AL_NOT_HO_PDT_RBV</v>
      </c>
      <c r="F50" s="30" t="s">
        <v>253</v>
      </c>
      <c r="G50" s="25"/>
      <c r="H50" s="26">
        <v>60</v>
      </c>
      <c r="I50" s="8">
        <v>0</v>
      </c>
      <c r="J50" s="8">
        <v>3600</v>
      </c>
      <c r="K50" s="8" t="s">
        <v>62</v>
      </c>
      <c r="L50" s="39"/>
      <c r="M50" s="4" t="s">
        <v>377</v>
      </c>
      <c r="N50" s="4">
        <v>45</v>
      </c>
      <c r="O50" s="4" t="s">
        <v>377</v>
      </c>
    </row>
    <row r="51" spans="1:15" ht="16" thickBot="1" x14ac:dyDescent="0.5">
      <c r="A51" s="282"/>
      <c r="B51" s="285"/>
      <c r="C51" s="231"/>
      <c r="D51" s="275"/>
      <c r="E51" s="8" t="str">
        <f t="shared" si="0"/>
        <v>DEL_AL_NOT_HH_PDT_RTV</v>
      </c>
      <c r="F51" s="30" t="s">
        <v>254</v>
      </c>
      <c r="G51" s="25"/>
      <c r="H51" s="26">
        <v>60</v>
      </c>
      <c r="I51" s="8">
        <v>0</v>
      </c>
      <c r="J51" s="8">
        <v>3600</v>
      </c>
      <c r="K51" s="8" t="s">
        <v>62</v>
      </c>
      <c r="L51" s="39"/>
      <c r="M51" s="4" t="s">
        <v>378</v>
      </c>
      <c r="N51" s="4">
        <v>46</v>
      </c>
      <c r="O51" s="4" t="s">
        <v>378</v>
      </c>
    </row>
    <row r="52" spans="1:15" ht="16" thickBot="1" x14ac:dyDescent="0.5">
      <c r="A52" s="282"/>
      <c r="B52" s="285"/>
      <c r="C52" s="231"/>
      <c r="D52" s="275"/>
      <c r="E52" s="8" t="str">
        <f t="shared" si="0"/>
        <v>DEL_AL_NOT_HO_PDT_RTV</v>
      </c>
      <c r="F52" s="30" t="s">
        <v>255</v>
      </c>
      <c r="G52" s="25"/>
      <c r="H52" s="26">
        <v>60</v>
      </c>
      <c r="I52" s="8">
        <v>0</v>
      </c>
      <c r="J52" s="8">
        <v>3600</v>
      </c>
      <c r="K52" s="8" t="s">
        <v>62</v>
      </c>
      <c r="L52" s="39"/>
      <c r="M52" s="4" t="s">
        <v>379</v>
      </c>
      <c r="N52" s="4">
        <v>47</v>
      </c>
      <c r="O52" s="4" t="s">
        <v>379</v>
      </c>
    </row>
    <row r="53" spans="1:15" ht="16" thickBot="1" x14ac:dyDescent="0.5">
      <c r="A53" s="282"/>
      <c r="B53" s="285"/>
      <c r="C53" s="231"/>
      <c r="D53" s="275"/>
      <c r="E53" s="8" t="str">
        <f t="shared" si="0"/>
        <v>DEL_AL_NOT_LO_PDT_RTV</v>
      </c>
      <c r="F53" s="30" t="s">
        <v>256</v>
      </c>
      <c r="G53" s="25"/>
      <c r="H53" s="26">
        <v>60</v>
      </c>
      <c r="I53" s="8">
        <v>0</v>
      </c>
      <c r="J53" s="8">
        <v>3600</v>
      </c>
      <c r="K53" s="8" t="s">
        <v>62</v>
      </c>
      <c r="L53" s="39"/>
      <c r="M53" s="4" t="s">
        <v>380</v>
      </c>
      <c r="N53" s="4">
        <v>48</v>
      </c>
      <c r="O53" s="4" t="s">
        <v>380</v>
      </c>
    </row>
    <row r="54" spans="1:15" ht="16" thickBot="1" x14ac:dyDescent="0.5">
      <c r="A54" s="282"/>
      <c r="B54" s="285"/>
      <c r="C54" s="231"/>
      <c r="D54" s="275"/>
      <c r="E54" s="8" t="str">
        <f t="shared" si="0"/>
        <v>DEL_AL_MSD_HH_TC_CHI</v>
      </c>
      <c r="F54" s="30" t="s">
        <v>257</v>
      </c>
      <c r="G54" s="25"/>
      <c r="H54" s="26">
        <v>30</v>
      </c>
      <c r="I54" s="8">
        <v>0</v>
      </c>
      <c r="J54" s="8">
        <v>3600</v>
      </c>
      <c r="K54" s="8" t="s">
        <v>62</v>
      </c>
      <c r="L54" s="39"/>
      <c r="M54" s="4" t="s">
        <v>381</v>
      </c>
      <c r="N54" s="4">
        <v>49</v>
      </c>
      <c r="O54" s="4" t="s">
        <v>381</v>
      </c>
    </row>
    <row r="55" spans="1:15" ht="16" thickBot="1" x14ac:dyDescent="0.5">
      <c r="A55" s="282"/>
      <c r="B55" s="285"/>
      <c r="C55" s="231"/>
      <c r="D55" s="275"/>
      <c r="E55" s="8" t="str">
        <f t="shared" si="0"/>
        <v>DEL_AL_NOT_HO_TC_CHI</v>
      </c>
      <c r="F55" s="30" t="s">
        <v>258</v>
      </c>
      <c r="G55" s="25"/>
      <c r="H55" s="26">
        <v>30</v>
      </c>
      <c r="I55" s="8">
        <v>0</v>
      </c>
      <c r="J55" s="8">
        <v>3600</v>
      </c>
      <c r="K55" s="8" t="s">
        <v>62</v>
      </c>
      <c r="L55" s="39"/>
      <c r="M55" s="4" t="s">
        <v>382</v>
      </c>
      <c r="N55" s="4">
        <v>50</v>
      </c>
      <c r="O55" s="4" t="s">
        <v>382</v>
      </c>
    </row>
    <row r="56" spans="1:15" ht="16" thickBot="1" x14ac:dyDescent="0.5">
      <c r="A56" s="282"/>
      <c r="B56" s="285"/>
      <c r="C56" s="231"/>
      <c r="D56" s="275"/>
      <c r="E56" s="8" t="str">
        <f t="shared" si="0"/>
        <v>DEL_AL_NOT_LO_TC_CHI</v>
      </c>
      <c r="F56" s="30" t="s">
        <v>259</v>
      </c>
      <c r="G56" s="25"/>
      <c r="H56" s="26">
        <v>30</v>
      </c>
      <c r="I56" s="8">
        <v>0</v>
      </c>
      <c r="J56" s="8">
        <v>3600</v>
      </c>
      <c r="K56" s="8" t="s">
        <v>62</v>
      </c>
      <c r="L56" s="39"/>
      <c r="M56" s="4" t="s">
        <v>383</v>
      </c>
      <c r="N56" s="4">
        <v>51</v>
      </c>
      <c r="O56" s="4" t="s">
        <v>383</v>
      </c>
    </row>
    <row r="57" spans="1:15" ht="16" thickBot="1" x14ac:dyDescent="0.5">
      <c r="A57" s="282"/>
      <c r="B57" s="285"/>
      <c r="C57" s="231"/>
      <c r="D57" s="275"/>
      <c r="E57" s="8" t="str">
        <f t="shared" si="0"/>
        <v>DEL_AL_MSD_LL_TC_CHI</v>
      </c>
      <c r="F57" s="30" t="s">
        <v>260</v>
      </c>
      <c r="G57" s="25"/>
      <c r="H57" s="26">
        <v>30</v>
      </c>
      <c r="I57" s="8">
        <v>0</v>
      </c>
      <c r="J57" s="8">
        <v>3600</v>
      </c>
      <c r="K57" s="8" t="s">
        <v>62</v>
      </c>
      <c r="L57" s="39"/>
      <c r="M57" s="4" t="s">
        <v>384</v>
      </c>
      <c r="N57" s="4">
        <v>52</v>
      </c>
      <c r="O57" s="4" t="s">
        <v>384</v>
      </c>
    </row>
    <row r="58" spans="1:15" ht="16" thickBot="1" x14ac:dyDescent="0.5">
      <c r="A58" s="282"/>
      <c r="B58" s="285"/>
      <c r="C58" s="231"/>
      <c r="D58" s="275"/>
      <c r="E58" s="8" t="str">
        <f t="shared" si="0"/>
        <v>DEL_AL_MSD_HH_TC_CHM</v>
      </c>
      <c r="F58" s="30" t="s">
        <v>261</v>
      </c>
      <c r="G58" s="25"/>
      <c r="H58" s="26">
        <v>30</v>
      </c>
      <c r="I58" s="8">
        <v>0</v>
      </c>
      <c r="J58" s="8">
        <v>3600</v>
      </c>
      <c r="K58" s="8" t="s">
        <v>62</v>
      </c>
      <c r="L58" s="39"/>
      <c r="M58" s="4" t="s">
        <v>385</v>
      </c>
      <c r="N58" s="4">
        <v>53</v>
      </c>
      <c r="O58" s="4" t="s">
        <v>385</v>
      </c>
    </row>
    <row r="59" spans="1:15" ht="16" thickBot="1" x14ac:dyDescent="0.5">
      <c r="A59" s="282"/>
      <c r="B59" s="285"/>
      <c r="C59" s="231"/>
      <c r="D59" s="275"/>
      <c r="E59" s="8" t="str">
        <f t="shared" si="0"/>
        <v>DEL_AL_NOT_HO_TC_CHM</v>
      </c>
      <c r="F59" s="30" t="s">
        <v>262</v>
      </c>
      <c r="G59" s="25"/>
      <c r="H59" s="26">
        <v>30</v>
      </c>
      <c r="I59" s="8">
        <v>0</v>
      </c>
      <c r="J59" s="8">
        <v>3600</v>
      </c>
      <c r="K59" s="8" t="s">
        <v>62</v>
      </c>
      <c r="L59" s="39"/>
      <c r="M59" s="4" t="s">
        <v>386</v>
      </c>
      <c r="N59" s="4">
        <v>54</v>
      </c>
      <c r="O59" s="4" t="s">
        <v>386</v>
      </c>
    </row>
    <row r="60" spans="1:15" ht="16" thickBot="1" x14ac:dyDescent="0.5">
      <c r="A60" s="282"/>
      <c r="B60" s="285"/>
      <c r="C60" s="231"/>
      <c r="D60" s="275"/>
      <c r="E60" s="8" t="str">
        <f t="shared" si="0"/>
        <v>DEL_AL_NOT_LO_TC_CHM</v>
      </c>
      <c r="F60" s="30" t="s">
        <v>263</v>
      </c>
      <c r="G60" s="25"/>
      <c r="H60" s="26">
        <v>30</v>
      </c>
      <c r="I60" s="8">
        <v>0</v>
      </c>
      <c r="J60" s="8">
        <v>3600</v>
      </c>
      <c r="K60" s="8" t="s">
        <v>62</v>
      </c>
      <c r="L60" s="39"/>
      <c r="M60" s="4" t="s">
        <v>387</v>
      </c>
      <c r="N60" s="4">
        <v>55</v>
      </c>
      <c r="O60" s="4" t="s">
        <v>387</v>
      </c>
    </row>
    <row r="61" spans="1:15" ht="16" thickBot="1" x14ac:dyDescent="0.5">
      <c r="A61" s="282"/>
      <c r="B61" s="285"/>
      <c r="C61" s="231"/>
      <c r="D61" s="275"/>
      <c r="E61" s="8" t="str">
        <f t="shared" si="0"/>
        <v>DEL_AL_MSD_LL_TC_CHM</v>
      </c>
      <c r="F61" s="30" t="s">
        <v>264</v>
      </c>
      <c r="G61" s="25"/>
      <c r="H61" s="26">
        <v>30</v>
      </c>
      <c r="I61" s="8">
        <v>0</v>
      </c>
      <c r="J61" s="8">
        <v>3600</v>
      </c>
      <c r="K61" s="8" t="s">
        <v>62</v>
      </c>
      <c r="L61" s="39"/>
      <c r="M61" s="4" t="s">
        <v>388</v>
      </c>
      <c r="N61" s="4">
        <v>56</v>
      </c>
      <c r="O61" s="4" t="s">
        <v>388</v>
      </c>
    </row>
    <row r="62" spans="1:15" ht="16" thickBot="1" x14ac:dyDescent="0.5">
      <c r="A62" s="282"/>
      <c r="B62" s="285"/>
      <c r="C62" s="231"/>
      <c r="D62" s="275"/>
      <c r="E62" s="8" t="str">
        <f t="shared" si="0"/>
        <v>DEL_AL_MSD_HH_TC_CHO</v>
      </c>
      <c r="F62" s="30" t="s">
        <v>265</v>
      </c>
      <c r="G62" s="25"/>
      <c r="H62" s="26">
        <v>30</v>
      </c>
      <c r="I62" s="8">
        <v>0</v>
      </c>
      <c r="J62" s="8">
        <v>3600</v>
      </c>
      <c r="K62" s="8" t="s">
        <v>62</v>
      </c>
      <c r="L62" s="39"/>
      <c r="M62" s="4" t="s">
        <v>389</v>
      </c>
      <c r="N62" s="4">
        <v>57</v>
      </c>
      <c r="O62" s="4" t="s">
        <v>389</v>
      </c>
    </row>
    <row r="63" spans="1:15" ht="16" thickBot="1" x14ac:dyDescent="0.5">
      <c r="A63" s="282"/>
      <c r="B63" s="285"/>
      <c r="C63" s="231"/>
      <c r="D63" s="275"/>
      <c r="E63" s="8" t="str">
        <f t="shared" si="0"/>
        <v>DEL_AL_NOT_HO_TC_CHO</v>
      </c>
      <c r="F63" s="30" t="s">
        <v>266</v>
      </c>
      <c r="G63" s="25"/>
      <c r="H63" s="26">
        <v>30</v>
      </c>
      <c r="I63" s="8">
        <v>0</v>
      </c>
      <c r="J63" s="8">
        <v>3600</v>
      </c>
      <c r="K63" s="8" t="s">
        <v>62</v>
      </c>
      <c r="L63" s="39"/>
      <c r="M63" s="4" t="s">
        <v>390</v>
      </c>
      <c r="N63" s="4">
        <v>58</v>
      </c>
      <c r="O63" s="4" t="s">
        <v>390</v>
      </c>
    </row>
    <row r="64" spans="1:15" ht="16" thickBot="1" x14ac:dyDescent="0.5">
      <c r="A64" s="282"/>
      <c r="B64" s="285"/>
      <c r="C64" s="231"/>
      <c r="D64" s="275"/>
      <c r="E64" s="8" t="str">
        <f t="shared" si="0"/>
        <v>DEL_AL_NOT_LO_TC_CHO</v>
      </c>
      <c r="F64" s="30" t="s">
        <v>267</v>
      </c>
      <c r="G64" s="25"/>
      <c r="H64" s="26">
        <v>30</v>
      </c>
      <c r="I64" s="8">
        <v>0</v>
      </c>
      <c r="J64" s="8">
        <v>3600</v>
      </c>
      <c r="K64" s="8" t="s">
        <v>62</v>
      </c>
      <c r="L64" s="39"/>
      <c r="M64" s="4" t="s">
        <v>391</v>
      </c>
      <c r="N64" s="4">
        <v>59</v>
      </c>
      <c r="O64" s="4" t="s">
        <v>391</v>
      </c>
    </row>
    <row r="65" spans="1:15" ht="16" thickBot="1" x14ac:dyDescent="0.5">
      <c r="A65" s="282"/>
      <c r="B65" s="285"/>
      <c r="C65" s="231"/>
      <c r="D65" s="276"/>
      <c r="E65" s="14" t="str">
        <f t="shared" si="0"/>
        <v>DEL_AL_MSD_LL_TC_CHO</v>
      </c>
      <c r="F65" s="30" t="s">
        <v>268</v>
      </c>
      <c r="G65" s="25"/>
      <c r="H65" s="26">
        <v>30</v>
      </c>
      <c r="I65" s="8">
        <v>0</v>
      </c>
      <c r="J65" s="8">
        <v>3600</v>
      </c>
      <c r="K65" s="8" t="s">
        <v>62</v>
      </c>
      <c r="L65" s="39"/>
      <c r="M65" s="4" t="s">
        <v>392</v>
      </c>
      <c r="N65" s="4">
        <v>60</v>
      </c>
      <c r="O65" s="4" t="s">
        <v>392</v>
      </c>
    </row>
    <row r="66" spans="1:15" ht="16" thickBot="1" x14ac:dyDescent="0.5">
      <c r="A66" s="282"/>
      <c r="B66" s="286"/>
      <c r="C66" s="231"/>
      <c r="D66" s="277" t="s">
        <v>244</v>
      </c>
      <c r="E66" s="27" t="str">
        <f t="shared" si="0"/>
        <v>DEL_AL_NOT_HH_FM_FO</v>
      </c>
      <c r="F66" s="30" t="s">
        <v>269</v>
      </c>
      <c r="G66" s="36"/>
      <c r="H66" s="37">
        <v>100</v>
      </c>
      <c r="I66" s="35">
        <v>0</v>
      </c>
      <c r="J66" s="35">
        <v>3600</v>
      </c>
      <c r="K66" s="35" t="s">
        <v>62</v>
      </c>
      <c r="L66" s="41"/>
      <c r="M66" s="4" t="s">
        <v>393</v>
      </c>
      <c r="N66" s="4">
        <v>61</v>
      </c>
      <c r="O66" s="4" t="s">
        <v>393</v>
      </c>
    </row>
    <row r="67" spans="1:15" ht="16" thickBot="1" x14ac:dyDescent="0.5">
      <c r="A67" s="282"/>
      <c r="B67" s="286"/>
      <c r="C67" s="231"/>
      <c r="D67" s="275"/>
      <c r="E67" s="8" t="str">
        <f t="shared" si="0"/>
        <v>DEL_AL_NOT_HO_FM_FO</v>
      </c>
      <c r="F67" s="30" t="s">
        <v>270</v>
      </c>
      <c r="G67" s="10"/>
      <c r="H67" s="11">
        <v>100</v>
      </c>
      <c r="I67" s="8">
        <v>0</v>
      </c>
      <c r="J67" s="8">
        <v>3600</v>
      </c>
      <c r="K67" s="8" t="s">
        <v>62</v>
      </c>
      <c r="L67" s="42"/>
      <c r="M67" s="4" t="s">
        <v>394</v>
      </c>
      <c r="N67" s="4">
        <v>62</v>
      </c>
      <c r="O67" s="4" t="s">
        <v>394</v>
      </c>
    </row>
    <row r="68" spans="1:15" ht="16" thickBot="1" x14ac:dyDescent="0.5">
      <c r="A68" s="282"/>
      <c r="B68" s="286"/>
      <c r="C68" s="231"/>
      <c r="D68" s="275"/>
      <c r="E68" s="8" t="str">
        <f t="shared" si="0"/>
        <v>DEL_AL_NOT_ER_FM_FO</v>
      </c>
      <c r="F68" s="30" t="s">
        <v>243</v>
      </c>
      <c r="G68" s="10"/>
      <c r="H68" s="11">
        <v>120</v>
      </c>
      <c r="I68" s="8">
        <v>0</v>
      </c>
      <c r="J68" s="8">
        <v>3600</v>
      </c>
      <c r="K68" s="8" t="s">
        <v>62</v>
      </c>
      <c r="L68" s="42"/>
      <c r="M68" s="4" t="s">
        <v>395</v>
      </c>
      <c r="N68" s="4">
        <v>63</v>
      </c>
      <c r="O68" s="4" t="s">
        <v>395</v>
      </c>
    </row>
    <row r="69" spans="1:15" ht="16" thickBot="1" x14ac:dyDescent="0.5">
      <c r="A69" s="282"/>
      <c r="B69" s="286"/>
      <c r="C69" s="231"/>
      <c r="D69" s="275"/>
      <c r="E69" s="8" t="str">
        <f t="shared" ref="E69:E85" si="1">CONCATENATE("DEL_",M69)</f>
        <v>DEL_AL_DEN_LO_PT_SFOI</v>
      </c>
      <c r="F69" s="30" t="s">
        <v>397</v>
      </c>
      <c r="G69" s="10"/>
      <c r="H69" s="11">
        <v>2</v>
      </c>
      <c r="I69" s="8">
        <v>0</v>
      </c>
      <c r="J69" s="8">
        <v>3600</v>
      </c>
      <c r="K69" s="8" t="s">
        <v>62</v>
      </c>
      <c r="L69" s="42"/>
      <c r="M69" s="4" t="s">
        <v>396</v>
      </c>
      <c r="N69" s="4">
        <v>64</v>
      </c>
      <c r="O69" s="4" t="s">
        <v>396</v>
      </c>
    </row>
    <row r="70" spans="1:15" ht="16" thickBot="1" x14ac:dyDescent="0.5">
      <c r="A70" s="282"/>
      <c r="B70" s="286"/>
      <c r="C70" s="231"/>
      <c r="D70" s="275"/>
      <c r="E70" s="8" t="str">
        <f t="shared" si="1"/>
        <v>DEL_AL_DEN_HH_PT_SFOO</v>
      </c>
      <c r="F70" s="30" t="s">
        <v>271</v>
      </c>
      <c r="G70" s="10"/>
      <c r="H70" s="11">
        <v>10</v>
      </c>
      <c r="I70" s="8">
        <v>0</v>
      </c>
      <c r="J70" s="8">
        <v>3600</v>
      </c>
      <c r="K70" s="8" t="s">
        <v>62</v>
      </c>
      <c r="L70" s="42"/>
      <c r="M70" s="4" t="s">
        <v>398</v>
      </c>
      <c r="N70" s="4">
        <v>65</v>
      </c>
      <c r="O70" s="4" t="s">
        <v>398</v>
      </c>
    </row>
    <row r="71" spans="1:15" ht="16" thickBot="1" x14ac:dyDescent="0.5">
      <c r="A71" s="282"/>
      <c r="B71" s="286"/>
      <c r="C71" s="231"/>
      <c r="D71" s="275"/>
      <c r="E71" s="8" t="str">
        <f t="shared" si="1"/>
        <v>DEL_AL_NOT_HO_PT_SFOO</v>
      </c>
      <c r="F71" s="30" t="s">
        <v>272</v>
      </c>
      <c r="G71" s="10"/>
      <c r="H71" s="11">
        <v>10</v>
      </c>
      <c r="I71" s="8">
        <v>0</v>
      </c>
      <c r="J71" s="8">
        <v>3600</v>
      </c>
      <c r="K71" s="8" t="s">
        <v>62</v>
      </c>
      <c r="L71" s="42"/>
      <c r="M71" s="4" t="s">
        <v>399</v>
      </c>
      <c r="N71" s="4">
        <v>66</v>
      </c>
      <c r="O71" s="4" t="s">
        <v>399</v>
      </c>
    </row>
    <row r="72" spans="1:15" ht="16" thickBot="1" x14ac:dyDescent="0.5">
      <c r="A72" s="282"/>
      <c r="B72" s="286"/>
      <c r="C72" s="231"/>
      <c r="D72" s="275"/>
      <c r="E72" s="8" t="str">
        <f t="shared" si="1"/>
        <v>DEL_AL_NOT_LO_PT_SFOO</v>
      </c>
      <c r="F72" s="30" t="s">
        <v>273</v>
      </c>
      <c r="G72" s="10"/>
      <c r="H72" s="11">
        <v>10</v>
      </c>
      <c r="I72" s="8">
        <v>0</v>
      </c>
      <c r="J72" s="8">
        <v>3600</v>
      </c>
      <c r="K72" s="8" t="s">
        <v>62</v>
      </c>
      <c r="L72" s="42"/>
      <c r="M72" s="4" t="s">
        <v>400</v>
      </c>
      <c r="N72" s="4">
        <v>67</v>
      </c>
      <c r="O72" s="4" t="s">
        <v>400</v>
      </c>
    </row>
    <row r="73" spans="1:15" ht="16" thickBot="1" x14ac:dyDescent="0.5">
      <c r="A73" s="282"/>
      <c r="B73" s="286"/>
      <c r="C73" s="231"/>
      <c r="D73" s="275"/>
      <c r="E73" s="8" t="str">
        <f t="shared" si="1"/>
        <v>DEL_AL_NOT_LL_PT_SFOO</v>
      </c>
      <c r="F73" s="30" t="s">
        <v>274</v>
      </c>
      <c r="G73" s="10"/>
      <c r="H73" s="11">
        <v>10</v>
      </c>
      <c r="I73" s="8">
        <v>0</v>
      </c>
      <c r="J73" s="8">
        <v>3600</v>
      </c>
      <c r="K73" s="8" t="s">
        <v>62</v>
      </c>
      <c r="L73" s="42"/>
      <c r="M73" s="4" t="s">
        <v>401</v>
      </c>
      <c r="N73" s="4">
        <v>68</v>
      </c>
      <c r="O73" s="4" t="s">
        <v>401</v>
      </c>
    </row>
    <row r="74" spans="1:15" ht="16" thickBot="1" x14ac:dyDescent="0.5">
      <c r="A74" s="282"/>
      <c r="B74" s="286"/>
      <c r="C74" s="231"/>
      <c r="D74" s="275"/>
      <c r="E74" s="8" t="str">
        <f t="shared" si="1"/>
        <v>DEL_AL_DEN_HH_PT_DFOI</v>
      </c>
      <c r="F74" s="30" t="s">
        <v>275</v>
      </c>
      <c r="G74" s="10"/>
      <c r="H74" s="11">
        <v>10</v>
      </c>
      <c r="I74" s="8">
        <v>0</v>
      </c>
      <c r="J74" s="8">
        <v>3600</v>
      </c>
      <c r="K74" s="8" t="s">
        <v>62</v>
      </c>
      <c r="L74" s="42"/>
      <c r="M74" s="4" t="s">
        <v>402</v>
      </c>
      <c r="N74" s="4">
        <v>69</v>
      </c>
      <c r="O74" s="4" t="s">
        <v>402</v>
      </c>
    </row>
    <row r="75" spans="1:15" ht="16" thickBot="1" x14ac:dyDescent="0.5">
      <c r="A75" s="282"/>
      <c r="B75" s="286"/>
      <c r="C75" s="231"/>
      <c r="D75" s="275"/>
      <c r="E75" s="8" t="str">
        <f t="shared" si="1"/>
        <v>DEL_AL_NOT_HO_PT_DFOI</v>
      </c>
      <c r="F75" s="30" t="s">
        <v>276</v>
      </c>
      <c r="G75" s="10"/>
      <c r="H75" s="11">
        <v>10</v>
      </c>
      <c r="I75" s="8">
        <v>0</v>
      </c>
      <c r="J75" s="8">
        <v>3600</v>
      </c>
      <c r="K75" s="8" t="s">
        <v>62</v>
      </c>
      <c r="L75" s="42"/>
      <c r="M75" s="4" t="s">
        <v>403</v>
      </c>
      <c r="N75" s="4">
        <v>70</v>
      </c>
      <c r="O75" s="4" t="s">
        <v>403</v>
      </c>
    </row>
    <row r="76" spans="1:15" ht="16" thickBot="1" x14ac:dyDescent="0.5">
      <c r="A76" s="282"/>
      <c r="B76" s="286"/>
      <c r="C76" s="231"/>
      <c r="D76" s="275"/>
      <c r="E76" s="8" t="str">
        <f t="shared" si="1"/>
        <v>DEL_AL_NOT_LO_PT_DFOI</v>
      </c>
      <c r="F76" s="30" t="s">
        <v>277</v>
      </c>
      <c r="G76" s="10"/>
      <c r="H76" s="11">
        <v>10</v>
      </c>
      <c r="I76" s="8">
        <v>0</v>
      </c>
      <c r="J76" s="8">
        <v>3600</v>
      </c>
      <c r="K76" s="8" t="s">
        <v>62</v>
      </c>
      <c r="L76" s="42"/>
      <c r="M76" s="4" t="s">
        <v>404</v>
      </c>
      <c r="N76" s="4">
        <v>71</v>
      </c>
      <c r="O76" s="4" t="s">
        <v>404</v>
      </c>
    </row>
    <row r="77" spans="1:15" ht="16" thickBot="1" x14ac:dyDescent="0.5">
      <c r="A77" s="282"/>
      <c r="B77" s="286"/>
      <c r="C77" s="231"/>
      <c r="D77" s="275"/>
      <c r="E77" s="8" t="str">
        <f t="shared" si="1"/>
        <v>DEL_AL_DEN_LL_PT_DFOI</v>
      </c>
      <c r="F77" s="30" t="s">
        <v>278</v>
      </c>
      <c r="G77" s="10"/>
      <c r="H77" s="11">
        <v>10</v>
      </c>
      <c r="I77" s="8">
        <v>0</v>
      </c>
      <c r="J77" s="8">
        <v>3600</v>
      </c>
      <c r="K77" s="8" t="s">
        <v>62</v>
      </c>
      <c r="L77" s="42"/>
      <c r="M77" s="4" t="s">
        <v>405</v>
      </c>
      <c r="N77" s="4">
        <v>72</v>
      </c>
      <c r="O77" s="4" t="s">
        <v>405</v>
      </c>
    </row>
    <row r="78" spans="1:15" ht="16" thickBot="1" x14ac:dyDescent="0.5">
      <c r="A78" s="282"/>
      <c r="B78" s="286"/>
      <c r="C78" s="231"/>
      <c r="D78" s="275"/>
      <c r="E78" s="8" t="str">
        <f t="shared" si="1"/>
        <v>DEL_AL_NOT_LO_PT_DFOM</v>
      </c>
      <c r="F78" s="30" t="s">
        <v>279</v>
      </c>
      <c r="G78" s="10"/>
      <c r="H78" s="11">
        <v>10</v>
      </c>
      <c r="I78" s="8">
        <v>0</v>
      </c>
      <c r="J78" s="8">
        <v>3600</v>
      </c>
      <c r="K78" s="8" t="s">
        <v>62</v>
      </c>
      <c r="L78" s="42"/>
      <c r="M78" s="4" t="s">
        <v>406</v>
      </c>
      <c r="N78" s="4">
        <v>73</v>
      </c>
      <c r="O78" s="4" t="s">
        <v>406</v>
      </c>
    </row>
    <row r="79" spans="1:15" ht="16" thickBot="1" x14ac:dyDescent="0.5">
      <c r="A79" s="282"/>
      <c r="B79" s="286"/>
      <c r="C79" s="231"/>
      <c r="D79" s="275"/>
      <c r="E79" s="8" t="str">
        <f t="shared" si="1"/>
        <v>DEL_AL_DEN_LL_PT_DFOM</v>
      </c>
      <c r="F79" s="30" t="s">
        <v>280</v>
      </c>
      <c r="G79" s="10"/>
      <c r="H79" s="11">
        <v>10</v>
      </c>
      <c r="I79" s="8">
        <v>0</v>
      </c>
      <c r="J79" s="8">
        <v>3600</v>
      </c>
      <c r="K79" s="8" t="s">
        <v>62</v>
      </c>
      <c r="L79" s="42"/>
      <c r="M79" s="4" t="s">
        <v>407</v>
      </c>
      <c r="N79" s="4">
        <v>74</v>
      </c>
      <c r="O79" s="4" t="s">
        <v>407</v>
      </c>
    </row>
    <row r="80" spans="1:15" ht="16" thickBot="1" x14ac:dyDescent="0.5">
      <c r="A80" s="282"/>
      <c r="B80" s="286"/>
      <c r="C80" s="231"/>
      <c r="D80" s="275"/>
      <c r="E80" s="8" t="str">
        <f t="shared" si="1"/>
        <v>DEL_AL_NOT_LO_PT_DFOO</v>
      </c>
      <c r="F80" s="30" t="s">
        <v>281</v>
      </c>
      <c r="G80" s="10"/>
      <c r="H80" s="11">
        <v>10</v>
      </c>
      <c r="I80" s="8">
        <v>0</v>
      </c>
      <c r="J80" s="8">
        <v>3600</v>
      </c>
      <c r="K80" s="8" t="s">
        <v>62</v>
      </c>
      <c r="L80" s="42"/>
      <c r="M80" s="4" t="s">
        <v>408</v>
      </c>
      <c r="N80" s="4">
        <v>75</v>
      </c>
      <c r="O80" s="4" t="s">
        <v>408</v>
      </c>
    </row>
    <row r="81" spans="1:15" ht="16" thickBot="1" x14ac:dyDescent="0.5">
      <c r="A81" s="282"/>
      <c r="B81" s="286"/>
      <c r="C81" s="231"/>
      <c r="D81" s="275"/>
      <c r="E81" s="8" t="str">
        <f t="shared" si="1"/>
        <v>DEL_AL_DEN_LL_PT_DFOO</v>
      </c>
      <c r="F81" s="30" t="s">
        <v>282</v>
      </c>
      <c r="G81" s="10"/>
      <c r="H81" s="11">
        <v>10</v>
      </c>
      <c r="I81" s="8">
        <v>0</v>
      </c>
      <c r="J81" s="8">
        <v>3600</v>
      </c>
      <c r="K81" s="8" t="s">
        <v>62</v>
      </c>
      <c r="L81" s="42"/>
      <c r="M81" s="4" t="s">
        <v>409</v>
      </c>
      <c r="N81" s="4">
        <v>76</v>
      </c>
      <c r="O81" s="4" t="s">
        <v>409</v>
      </c>
    </row>
    <row r="82" spans="1:15" ht="16" thickBot="1" x14ac:dyDescent="0.5">
      <c r="A82" s="282"/>
      <c r="B82" s="286"/>
      <c r="C82" s="231"/>
      <c r="D82" s="275"/>
      <c r="E82" s="8" t="str">
        <f t="shared" si="1"/>
        <v>DEL_AL_NOT_LO_PT_DAI</v>
      </c>
      <c r="F82" s="30" t="s">
        <v>283</v>
      </c>
      <c r="G82" s="10"/>
      <c r="H82" s="11">
        <v>10</v>
      </c>
      <c r="I82" s="8">
        <v>0</v>
      </c>
      <c r="J82" s="8">
        <v>3600</v>
      </c>
      <c r="K82" s="8" t="s">
        <v>62</v>
      </c>
      <c r="L82" s="42"/>
      <c r="M82" s="4" t="s">
        <v>410</v>
      </c>
      <c r="N82" s="4">
        <v>77</v>
      </c>
      <c r="O82" s="4" t="s">
        <v>410</v>
      </c>
    </row>
    <row r="83" spans="1:15" ht="16" thickBot="1" x14ac:dyDescent="0.5">
      <c r="A83" s="282"/>
      <c r="B83" s="286"/>
      <c r="C83" s="231"/>
      <c r="D83" s="275"/>
      <c r="E83" s="8" t="str">
        <f t="shared" si="1"/>
        <v>DEL_AL_DEN_LL_PT_DAI</v>
      </c>
      <c r="F83" s="30" t="s">
        <v>284</v>
      </c>
      <c r="G83" s="10"/>
      <c r="H83" s="11">
        <v>10</v>
      </c>
      <c r="I83" s="8">
        <v>0</v>
      </c>
      <c r="J83" s="8">
        <v>3600</v>
      </c>
      <c r="K83" s="8" t="s">
        <v>62</v>
      </c>
      <c r="L83" s="42"/>
      <c r="M83" s="4" t="s">
        <v>411</v>
      </c>
      <c r="N83" s="4">
        <v>78</v>
      </c>
      <c r="O83" s="4" t="s">
        <v>411</v>
      </c>
    </row>
    <row r="84" spans="1:15" ht="16" thickBot="1" x14ac:dyDescent="0.5">
      <c r="A84" s="282"/>
      <c r="B84" s="286"/>
      <c r="C84" s="231"/>
      <c r="D84" s="275"/>
      <c r="E84" s="8" t="str">
        <f t="shared" si="1"/>
        <v>DEL_AL_NOT_LO_PT_DAO</v>
      </c>
      <c r="F84" s="30" t="s">
        <v>285</v>
      </c>
      <c r="G84" s="10"/>
      <c r="H84" s="11">
        <v>10</v>
      </c>
      <c r="I84" s="8">
        <v>0</v>
      </c>
      <c r="J84" s="8">
        <v>3600</v>
      </c>
      <c r="K84" s="8" t="s">
        <v>62</v>
      </c>
      <c r="L84" s="42"/>
      <c r="M84" s="4" t="s">
        <v>412</v>
      </c>
      <c r="N84" s="4">
        <v>79</v>
      </c>
      <c r="O84" s="4" t="s">
        <v>412</v>
      </c>
    </row>
    <row r="85" spans="1:15" x14ac:dyDescent="0.45">
      <c r="A85" s="282"/>
      <c r="B85" s="286"/>
      <c r="C85" s="231"/>
      <c r="D85" s="276"/>
      <c r="E85" s="14" t="str">
        <f t="shared" si="1"/>
        <v>DEL_AL_DEN_LL_PT_DAO</v>
      </c>
      <c r="F85" s="30" t="s">
        <v>286</v>
      </c>
      <c r="G85" s="15"/>
      <c r="H85" s="16">
        <v>10</v>
      </c>
      <c r="I85" s="14">
        <v>0</v>
      </c>
      <c r="J85" s="14">
        <v>3600</v>
      </c>
      <c r="K85" s="14" t="s">
        <v>62</v>
      </c>
      <c r="L85" s="43"/>
      <c r="M85" s="4" t="s">
        <v>413</v>
      </c>
      <c r="N85" s="4">
        <v>80</v>
      </c>
      <c r="O85" s="4" t="s">
        <v>413</v>
      </c>
    </row>
    <row r="86" spans="1:15" x14ac:dyDescent="0.45">
      <c r="A86" s="282"/>
      <c r="B86" s="286"/>
      <c r="C86" s="231"/>
      <c r="D86" s="275" t="s">
        <v>245</v>
      </c>
      <c r="E86" s="27"/>
      <c r="F86" s="25"/>
      <c r="G86" s="25"/>
      <c r="H86" s="26"/>
      <c r="I86" s="27">
        <v>0</v>
      </c>
      <c r="J86" s="27">
        <v>3600</v>
      </c>
      <c r="K86" s="27" t="s">
        <v>62</v>
      </c>
      <c r="L86" s="39"/>
      <c r="M86" s="4"/>
      <c r="N86" s="4"/>
      <c r="O86" s="4"/>
    </row>
    <row r="87" spans="1:15" ht="16" thickBot="1" x14ac:dyDescent="0.5">
      <c r="A87" s="283"/>
      <c r="B87" s="286"/>
      <c r="C87" s="232"/>
      <c r="D87" s="300"/>
      <c r="E87" s="21"/>
      <c r="F87" s="22"/>
      <c r="G87" s="22"/>
      <c r="H87" s="23"/>
      <c r="I87" s="21">
        <v>0</v>
      </c>
      <c r="J87" s="21">
        <v>3600</v>
      </c>
      <c r="K87" s="21" t="s">
        <v>62</v>
      </c>
      <c r="L87" s="44"/>
      <c r="M87" s="4"/>
      <c r="N87" s="4"/>
      <c r="O87" s="4"/>
    </row>
    <row r="88" spans="1:15" x14ac:dyDescent="0.45">
      <c r="A88" s="292" t="s">
        <v>414</v>
      </c>
      <c r="B88" s="286"/>
      <c r="C88" s="284" t="s">
        <v>293</v>
      </c>
      <c r="D88" s="295" t="s">
        <v>55</v>
      </c>
      <c r="E88" s="29" t="str">
        <f t="shared" ref="E88:E129" si="2">CONCATENATE("THR_",M88)</f>
        <v>THR_AL_VSD_ER_RTV_FA</v>
      </c>
      <c r="F88" s="30" t="s">
        <v>247</v>
      </c>
      <c r="G88" s="30"/>
      <c r="H88" s="31">
        <v>10</v>
      </c>
      <c r="I88" s="29">
        <v>0</v>
      </c>
      <c r="J88" s="29">
        <v>100</v>
      </c>
      <c r="K88" s="29" t="s">
        <v>10</v>
      </c>
      <c r="L88" s="38"/>
      <c r="M88" s="4" t="s">
        <v>371</v>
      </c>
      <c r="N88" s="4">
        <v>39</v>
      </c>
      <c r="O88" s="4" t="s">
        <v>371</v>
      </c>
    </row>
    <row r="89" spans="1:15" x14ac:dyDescent="0.45">
      <c r="A89" s="293"/>
      <c r="B89" s="286"/>
      <c r="C89" s="286"/>
      <c r="D89" s="296"/>
      <c r="E89" s="8" t="str">
        <f t="shared" si="2"/>
        <v>THR_AL_VSD_ER_RTV_DV</v>
      </c>
      <c r="F89" s="10" t="s">
        <v>248</v>
      </c>
      <c r="G89" s="10"/>
      <c r="H89" s="11">
        <v>2</v>
      </c>
      <c r="I89" s="8">
        <v>0</v>
      </c>
      <c r="J89" s="8">
        <v>100</v>
      </c>
      <c r="K89" s="8" t="s">
        <v>10</v>
      </c>
      <c r="L89" s="42"/>
      <c r="M89" s="4" t="s">
        <v>372</v>
      </c>
      <c r="N89" s="4">
        <v>40</v>
      </c>
      <c r="O89" s="4" t="s">
        <v>372</v>
      </c>
    </row>
    <row r="90" spans="1:15" x14ac:dyDescent="0.45">
      <c r="A90" s="293"/>
      <c r="B90" s="286"/>
      <c r="C90" s="286"/>
      <c r="D90" s="296"/>
      <c r="E90" s="8" t="str">
        <f t="shared" si="2"/>
        <v>THR_AL_DEN_HH_PDT_CH</v>
      </c>
      <c r="F90" s="10" t="s">
        <v>249</v>
      </c>
      <c r="G90" s="10"/>
      <c r="H90" s="11">
        <v>33</v>
      </c>
      <c r="I90" s="8">
        <v>0</v>
      </c>
      <c r="J90" s="8">
        <v>100</v>
      </c>
      <c r="K90" s="8" t="s">
        <v>287</v>
      </c>
      <c r="L90" s="42"/>
      <c r="M90" s="4" t="s">
        <v>373</v>
      </c>
      <c r="N90" s="4">
        <v>41</v>
      </c>
      <c r="O90" s="4" t="s">
        <v>373</v>
      </c>
    </row>
    <row r="91" spans="1:15" x14ac:dyDescent="0.45">
      <c r="A91" s="293"/>
      <c r="B91" s="286"/>
      <c r="C91" s="286"/>
      <c r="D91" s="296"/>
      <c r="E91" s="8" t="str">
        <f t="shared" si="2"/>
        <v>THR_AL_NOT_HO_PDT_CH</v>
      </c>
      <c r="F91" s="10" t="s">
        <v>250</v>
      </c>
      <c r="G91" s="10"/>
      <c r="H91" s="11">
        <v>30</v>
      </c>
      <c r="I91" s="8">
        <v>0</v>
      </c>
      <c r="J91" s="8">
        <v>100</v>
      </c>
      <c r="K91" s="8" t="s">
        <v>287</v>
      </c>
      <c r="L91" s="42"/>
      <c r="M91" s="4" t="s">
        <v>374</v>
      </c>
      <c r="N91" s="4">
        <v>42</v>
      </c>
      <c r="O91" s="4" t="s">
        <v>374</v>
      </c>
    </row>
    <row r="92" spans="1:15" x14ac:dyDescent="0.45">
      <c r="A92" s="293"/>
      <c r="B92" s="286"/>
      <c r="C92" s="286"/>
      <c r="D92" s="296"/>
      <c r="E92" s="8" t="str">
        <f t="shared" si="2"/>
        <v>THR_AL_DEN_LO_PDT_CH</v>
      </c>
      <c r="F92" s="10" t="s">
        <v>251</v>
      </c>
      <c r="G92" s="10"/>
      <c r="H92" s="11">
        <v>20</v>
      </c>
      <c r="I92" s="8">
        <v>0</v>
      </c>
      <c r="J92" s="8">
        <v>100</v>
      </c>
      <c r="K92" s="8" t="s">
        <v>287</v>
      </c>
      <c r="L92" s="42"/>
      <c r="M92" s="4" t="s">
        <v>442</v>
      </c>
      <c r="N92" s="4">
        <v>43</v>
      </c>
      <c r="O92" s="4" t="s">
        <v>375</v>
      </c>
    </row>
    <row r="93" spans="1:15" x14ac:dyDescent="0.45">
      <c r="A93" s="293"/>
      <c r="B93" s="286"/>
      <c r="C93" s="286"/>
      <c r="D93" s="296"/>
      <c r="E93" s="8" t="str">
        <f t="shared" si="2"/>
        <v>THR_AL_MSD_HH_PDT_RBV</v>
      </c>
      <c r="F93" s="10" t="s">
        <v>252</v>
      </c>
      <c r="G93" s="10"/>
      <c r="H93" s="11">
        <v>80</v>
      </c>
      <c r="I93" s="8">
        <v>0</v>
      </c>
      <c r="J93" s="8">
        <v>100</v>
      </c>
      <c r="K93" s="8" t="s">
        <v>287</v>
      </c>
      <c r="L93" s="42"/>
      <c r="M93" s="4" t="s">
        <v>376</v>
      </c>
      <c r="N93" s="4">
        <v>44</v>
      </c>
      <c r="O93" s="4" t="s">
        <v>376</v>
      </c>
    </row>
    <row r="94" spans="1:15" x14ac:dyDescent="0.45">
      <c r="A94" s="293"/>
      <c r="B94" s="286"/>
      <c r="C94" s="286"/>
      <c r="D94" s="296"/>
      <c r="E94" s="8" t="str">
        <f t="shared" si="2"/>
        <v>THR_AL_NOT_HO_PDT_RBV</v>
      </c>
      <c r="F94" s="10" t="s">
        <v>253</v>
      </c>
      <c r="G94" s="10"/>
      <c r="H94" s="11">
        <v>70</v>
      </c>
      <c r="I94" s="8">
        <v>0</v>
      </c>
      <c r="J94" s="8">
        <v>100</v>
      </c>
      <c r="K94" s="8" t="s">
        <v>287</v>
      </c>
      <c r="L94" s="42"/>
      <c r="M94" s="4" t="s">
        <v>377</v>
      </c>
      <c r="N94" s="4">
        <v>45</v>
      </c>
      <c r="O94" s="4" t="s">
        <v>377</v>
      </c>
    </row>
    <row r="95" spans="1:15" x14ac:dyDescent="0.45">
      <c r="A95" s="293"/>
      <c r="B95" s="286"/>
      <c r="C95" s="286"/>
      <c r="D95" s="296"/>
      <c r="E95" s="8" t="str">
        <f t="shared" si="2"/>
        <v>THR_AL_NOT_HH_PDT_RTV</v>
      </c>
      <c r="F95" s="10" t="s">
        <v>254</v>
      </c>
      <c r="G95" s="10"/>
      <c r="H95" s="11">
        <v>0.7</v>
      </c>
      <c r="I95" s="8">
        <v>0</v>
      </c>
      <c r="J95" s="8">
        <v>5</v>
      </c>
      <c r="K95" s="8" t="s">
        <v>288</v>
      </c>
      <c r="L95" s="42"/>
      <c r="M95" s="4" t="s">
        <v>378</v>
      </c>
      <c r="N95" s="4">
        <v>46</v>
      </c>
      <c r="O95" s="4" t="s">
        <v>378</v>
      </c>
    </row>
    <row r="96" spans="1:15" x14ac:dyDescent="0.45">
      <c r="A96" s="293"/>
      <c r="B96" s="286"/>
      <c r="C96" s="286"/>
      <c r="D96" s="296"/>
      <c r="E96" s="8" t="str">
        <f t="shared" si="2"/>
        <v>THR_AL_NOT_HO_PDT_RTV</v>
      </c>
      <c r="F96" s="10" t="s">
        <v>255</v>
      </c>
      <c r="G96" s="10"/>
      <c r="H96" s="11">
        <v>0.5</v>
      </c>
      <c r="I96" s="8">
        <v>0</v>
      </c>
      <c r="J96" s="8">
        <v>5</v>
      </c>
      <c r="K96" s="8" t="s">
        <v>288</v>
      </c>
      <c r="L96" s="42"/>
      <c r="M96" s="4" t="s">
        <v>379</v>
      </c>
      <c r="N96" s="4">
        <v>47</v>
      </c>
      <c r="O96" s="4" t="s">
        <v>379</v>
      </c>
    </row>
    <row r="97" spans="1:15" x14ac:dyDescent="0.45">
      <c r="A97" s="293"/>
      <c r="B97" s="286"/>
      <c r="C97" s="286"/>
      <c r="D97" s="296"/>
      <c r="E97" s="8" t="str">
        <f t="shared" si="2"/>
        <v>THR_AL_NOT_LO_PDT_RTV</v>
      </c>
      <c r="F97" s="10" t="s">
        <v>256</v>
      </c>
      <c r="G97" s="10"/>
      <c r="H97" s="11">
        <v>0.05</v>
      </c>
      <c r="I97" s="8">
        <v>0</v>
      </c>
      <c r="J97" s="8">
        <v>5</v>
      </c>
      <c r="K97" s="8" t="s">
        <v>288</v>
      </c>
      <c r="L97" s="42"/>
      <c r="M97" s="4" t="s">
        <v>380</v>
      </c>
      <c r="N97" s="4">
        <v>48</v>
      </c>
      <c r="O97" s="4" t="s">
        <v>380</v>
      </c>
    </row>
    <row r="98" spans="1:15" x14ac:dyDescent="0.45">
      <c r="A98" s="293"/>
      <c r="B98" s="286"/>
      <c r="C98" s="286"/>
      <c r="D98" s="296"/>
      <c r="E98" s="8" t="str">
        <f t="shared" si="2"/>
        <v>THR_AL_MSD_HH_TC_CHI</v>
      </c>
      <c r="F98" s="10" t="s">
        <v>257</v>
      </c>
      <c r="G98" s="10"/>
      <c r="H98" s="11">
        <v>620</v>
      </c>
      <c r="I98" s="8">
        <v>0</v>
      </c>
      <c r="J98" s="8">
        <v>800</v>
      </c>
      <c r="K98" s="8" t="s">
        <v>9</v>
      </c>
      <c r="L98" s="42"/>
      <c r="M98" s="4" t="s">
        <v>381</v>
      </c>
      <c r="N98" s="4">
        <v>49</v>
      </c>
      <c r="O98" s="4" t="s">
        <v>381</v>
      </c>
    </row>
    <row r="99" spans="1:15" x14ac:dyDescent="0.45">
      <c r="A99" s="293"/>
      <c r="B99" s="286"/>
      <c r="C99" s="286"/>
      <c r="D99" s="296"/>
      <c r="E99" s="8" t="str">
        <f t="shared" si="2"/>
        <v>THR_AL_NOT_HO_TC_CHI</v>
      </c>
      <c r="F99" s="10" t="s">
        <v>258</v>
      </c>
      <c r="G99" s="10"/>
      <c r="H99" s="11">
        <v>600</v>
      </c>
      <c r="I99" s="8">
        <v>0</v>
      </c>
      <c r="J99" s="8">
        <v>800</v>
      </c>
      <c r="K99" s="8" t="s">
        <v>9</v>
      </c>
      <c r="L99" s="42"/>
      <c r="M99" s="4" t="s">
        <v>382</v>
      </c>
      <c r="N99" s="4">
        <v>50</v>
      </c>
      <c r="O99" s="4" t="s">
        <v>382</v>
      </c>
    </row>
    <row r="100" spans="1:15" x14ac:dyDescent="0.45">
      <c r="A100" s="293"/>
      <c r="B100" s="286"/>
      <c r="C100" s="286"/>
      <c r="D100" s="296"/>
      <c r="E100" s="8" t="str">
        <f t="shared" si="2"/>
        <v>THR_AL_NOT_LO_TC_CHI</v>
      </c>
      <c r="F100" s="10" t="s">
        <v>259</v>
      </c>
      <c r="G100" s="10"/>
      <c r="H100" s="11">
        <v>300</v>
      </c>
      <c r="I100" s="8">
        <v>0</v>
      </c>
      <c r="J100" s="8">
        <v>800</v>
      </c>
      <c r="K100" s="8" t="s">
        <v>9</v>
      </c>
      <c r="L100" s="42"/>
      <c r="M100" s="4" t="s">
        <v>383</v>
      </c>
      <c r="N100" s="4">
        <v>51</v>
      </c>
      <c r="O100" s="4" t="s">
        <v>383</v>
      </c>
    </row>
    <row r="101" spans="1:15" x14ac:dyDescent="0.45">
      <c r="A101" s="293"/>
      <c r="B101" s="286"/>
      <c r="C101" s="286"/>
      <c r="D101" s="296"/>
      <c r="E101" s="8" t="str">
        <f t="shared" si="2"/>
        <v>THR_AL_MSD_LL_TC_CHI</v>
      </c>
      <c r="F101" s="10" t="s">
        <v>260</v>
      </c>
      <c r="G101" s="10"/>
      <c r="H101" s="11">
        <v>200</v>
      </c>
      <c r="I101" s="8">
        <v>0</v>
      </c>
      <c r="J101" s="8">
        <v>800</v>
      </c>
      <c r="K101" s="8" t="s">
        <v>9</v>
      </c>
      <c r="L101" s="42"/>
      <c r="M101" s="4" t="s">
        <v>384</v>
      </c>
      <c r="N101" s="4">
        <v>52</v>
      </c>
      <c r="O101" s="4" t="s">
        <v>384</v>
      </c>
    </row>
    <row r="102" spans="1:15" x14ac:dyDescent="0.45">
      <c r="A102" s="293"/>
      <c r="B102" s="286"/>
      <c r="C102" s="286"/>
      <c r="D102" s="296"/>
      <c r="E102" s="8" t="str">
        <f t="shared" si="2"/>
        <v>THR_AL_MSD_HH_TC_CHM</v>
      </c>
      <c r="F102" s="10" t="s">
        <v>261</v>
      </c>
      <c r="G102" s="10"/>
      <c r="H102" s="11">
        <v>620</v>
      </c>
      <c r="I102" s="8">
        <v>0</v>
      </c>
      <c r="J102" s="8">
        <v>800</v>
      </c>
      <c r="K102" s="8" t="s">
        <v>9</v>
      </c>
      <c r="L102" s="42"/>
      <c r="M102" s="4" t="s">
        <v>385</v>
      </c>
      <c r="N102" s="4">
        <v>53</v>
      </c>
      <c r="O102" s="4" t="s">
        <v>385</v>
      </c>
    </row>
    <row r="103" spans="1:15" x14ac:dyDescent="0.45">
      <c r="A103" s="293"/>
      <c r="B103" s="286"/>
      <c r="C103" s="286"/>
      <c r="D103" s="296"/>
      <c r="E103" s="8" t="str">
        <f t="shared" si="2"/>
        <v>THR_AL_NOT_HO_TC_CHM</v>
      </c>
      <c r="F103" s="10" t="s">
        <v>262</v>
      </c>
      <c r="G103" s="10"/>
      <c r="H103" s="11">
        <v>600</v>
      </c>
      <c r="I103" s="8">
        <v>0</v>
      </c>
      <c r="J103" s="8">
        <v>800</v>
      </c>
      <c r="K103" s="8" t="s">
        <v>9</v>
      </c>
      <c r="L103" s="42"/>
      <c r="M103" s="4" t="s">
        <v>386</v>
      </c>
      <c r="N103" s="4">
        <v>54</v>
      </c>
      <c r="O103" s="4" t="s">
        <v>386</v>
      </c>
    </row>
    <row r="104" spans="1:15" x14ac:dyDescent="0.45">
      <c r="A104" s="293"/>
      <c r="B104" s="286"/>
      <c r="C104" s="286"/>
      <c r="D104" s="296"/>
      <c r="E104" s="8" t="str">
        <f t="shared" si="2"/>
        <v>THR_AL_NOT_LO_TC_CHM</v>
      </c>
      <c r="F104" s="10" t="s">
        <v>263</v>
      </c>
      <c r="G104" s="10"/>
      <c r="H104" s="11">
        <v>300</v>
      </c>
      <c r="I104" s="8">
        <v>0</v>
      </c>
      <c r="J104" s="8">
        <v>800</v>
      </c>
      <c r="K104" s="8" t="s">
        <v>9</v>
      </c>
      <c r="L104" s="42"/>
      <c r="M104" s="4" t="s">
        <v>387</v>
      </c>
      <c r="N104" s="4">
        <v>55</v>
      </c>
      <c r="O104" s="4" t="s">
        <v>387</v>
      </c>
    </row>
    <row r="105" spans="1:15" x14ac:dyDescent="0.45">
      <c r="A105" s="293"/>
      <c r="B105" s="286"/>
      <c r="C105" s="286"/>
      <c r="D105" s="296"/>
      <c r="E105" s="8" t="str">
        <f t="shared" si="2"/>
        <v>THR_AL_MSD_LL_TC_CHM</v>
      </c>
      <c r="F105" s="10" t="s">
        <v>264</v>
      </c>
      <c r="G105" s="10"/>
      <c r="H105" s="11">
        <v>200</v>
      </c>
      <c r="I105" s="8">
        <v>0</v>
      </c>
      <c r="J105" s="8">
        <v>800</v>
      </c>
      <c r="K105" s="8" t="s">
        <v>9</v>
      </c>
      <c r="L105" s="42"/>
      <c r="M105" s="4" t="s">
        <v>388</v>
      </c>
      <c r="N105" s="4">
        <v>56</v>
      </c>
      <c r="O105" s="4" t="s">
        <v>388</v>
      </c>
    </row>
    <row r="106" spans="1:15" x14ac:dyDescent="0.45">
      <c r="A106" s="293"/>
      <c r="B106" s="286"/>
      <c r="C106" s="286"/>
      <c r="D106" s="296"/>
      <c r="E106" s="8" t="str">
        <f t="shared" si="2"/>
        <v>THR_AL_MSD_HH_TC_CHO</v>
      </c>
      <c r="F106" s="10" t="s">
        <v>265</v>
      </c>
      <c r="G106" s="10"/>
      <c r="H106" s="11">
        <v>620</v>
      </c>
      <c r="I106" s="8">
        <v>0</v>
      </c>
      <c r="J106" s="8">
        <v>800</v>
      </c>
      <c r="K106" s="8" t="s">
        <v>9</v>
      </c>
      <c r="L106" s="42"/>
      <c r="M106" s="4" t="s">
        <v>389</v>
      </c>
      <c r="N106" s="4">
        <v>57</v>
      </c>
      <c r="O106" s="4" t="s">
        <v>389</v>
      </c>
    </row>
    <row r="107" spans="1:15" x14ac:dyDescent="0.45">
      <c r="A107" s="293"/>
      <c r="B107" s="286"/>
      <c r="C107" s="286"/>
      <c r="D107" s="296"/>
      <c r="E107" s="8" t="str">
        <f t="shared" si="2"/>
        <v>THR_AL_NOT_HO_TC_CHO</v>
      </c>
      <c r="F107" s="10" t="s">
        <v>266</v>
      </c>
      <c r="G107" s="10"/>
      <c r="H107" s="11">
        <v>600</v>
      </c>
      <c r="I107" s="8">
        <v>0</v>
      </c>
      <c r="J107" s="8">
        <v>800</v>
      </c>
      <c r="K107" s="8" t="s">
        <v>9</v>
      </c>
      <c r="L107" s="42"/>
      <c r="M107" s="4" t="s">
        <v>390</v>
      </c>
      <c r="N107" s="4">
        <v>58</v>
      </c>
      <c r="O107" s="4" t="s">
        <v>390</v>
      </c>
    </row>
    <row r="108" spans="1:15" x14ac:dyDescent="0.45">
      <c r="A108" s="293"/>
      <c r="B108" s="286"/>
      <c r="C108" s="286"/>
      <c r="D108" s="296"/>
      <c r="E108" s="8" t="str">
        <f t="shared" si="2"/>
        <v>THR_AL_NOT_LO_TC_CHO</v>
      </c>
      <c r="F108" s="10" t="s">
        <v>267</v>
      </c>
      <c r="G108" s="10"/>
      <c r="H108" s="11">
        <v>300</v>
      </c>
      <c r="I108" s="8">
        <v>0</v>
      </c>
      <c r="J108" s="8">
        <v>800</v>
      </c>
      <c r="K108" s="8" t="s">
        <v>9</v>
      </c>
      <c r="L108" s="42"/>
      <c r="M108" s="4" t="s">
        <v>391</v>
      </c>
      <c r="N108" s="4">
        <v>59</v>
      </c>
      <c r="O108" s="4" t="s">
        <v>391</v>
      </c>
    </row>
    <row r="109" spans="1:15" x14ac:dyDescent="0.45">
      <c r="A109" s="294"/>
      <c r="B109" s="286"/>
      <c r="C109" s="286"/>
      <c r="D109" s="297"/>
      <c r="E109" s="14" t="str">
        <f t="shared" si="2"/>
        <v>THR_AL_MSD_LL_TC_CHO</v>
      </c>
      <c r="F109" s="15" t="s">
        <v>268</v>
      </c>
      <c r="G109" s="15"/>
      <c r="H109" s="16">
        <v>200</v>
      </c>
      <c r="I109" s="14">
        <v>0</v>
      </c>
      <c r="J109" s="14">
        <v>800</v>
      </c>
      <c r="K109" s="14" t="s">
        <v>9</v>
      </c>
      <c r="L109" s="43"/>
      <c r="M109" s="4" t="s">
        <v>392</v>
      </c>
      <c r="N109" s="4">
        <v>60</v>
      </c>
      <c r="O109" s="4" t="s">
        <v>392</v>
      </c>
    </row>
    <row r="110" spans="1:15" x14ac:dyDescent="0.45">
      <c r="A110" s="292" t="s">
        <v>415</v>
      </c>
      <c r="B110" s="286"/>
      <c r="C110" s="286"/>
      <c r="D110" s="298" t="s">
        <v>244</v>
      </c>
      <c r="E110" s="27" t="str">
        <f t="shared" si="2"/>
        <v>THR_AL_NOT_HH_FM_FO</v>
      </c>
      <c r="F110" s="25" t="s">
        <v>269</v>
      </c>
      <c r="G110" s="25"/>
      <c r="H110" s="26">
        <v>160</v>
      </c>
      <c r="I110" s="27">
        <v>0</v>
      </c>
      <c r="J110" s="27">
        <v>100</v>
      </c>
      <c r="K110" s="27" t="s">
        <v>289</v>
      </c>
      <c r="L110" s="39"/>
      <c r="M110" s="4" t="s">
        <v>393</v>
      </c>
      <c r="N110" s="4">
        <v>61</v>
      </c>
      <c r="O110" s="4" t="s">
        <v>393</v>
      </c>
    </row>
    <row r="111" spans="1:15" x14ac:dyDescent="0.45">
      <c r="A111" s="293"/>
      <c r="B111" s="286"/>
      <c r="C111" s="286"/>
      <c r="D111" s="296"/>
      <c r="E111" s="8" t="str">
        <f t="shared" si="2"/>
        <v>THR_AL_NOT_HO_FM_FO</v>
      </c>
      <c r="F111" s="10" t="s">
        <v>270</v>
      </c>
      <c r="G111" s="10"/>
      <c r="H111" s="11">
        <v>120</v>
      </c>
      <c r="I111" s="8">
        <v>0</v>
      </c>
      <c r="J111" s="8">
        <v>100</v>
      </c>
      <c r="K111" s="8" t="s">
        <v>289</v>
      </c>
      <c r="L111" s="42"/>
      <c r="M111" s="4" t="s">
        <v>394</v>
      </c>
      <c r="N111" s="4">
        <v>62</v>
      </c>
      <c r="O111" s="4" t="s">
        <v>394</v>
      </c>
    </row>
    <row r="112" spans="1:15" x14ac:dyDescent="0.45">
      <c r="A112" s="293"/>
      <c r="B112" s="286"/>
      <c r="C112" s="286"/>
      <c r="D112" s="296"/>
      <c r="E112" s="8" t="str">
        <f t="shared" si="2"/>
        <v>THR_AL_NOT_ER_FM_FO</v>
      </c>
      <c r="F112" s="10" t="s">
        <v>243</v>
      </c>
      <c r="G112" s="10"/>
      <c r="H112" s="11">
        <v>5</v>
      </c>
      <c r="I112" s="8">
        <v>0</v>
      </c>
      <c r="J112" s="8">
        <v>100</v>
      </c>
      <c r="K112" s="8" t="s">
        <v>10</v>
      </c>
      <c r="L112" s="42"/>
      <c r="M112" s="4" t="s">
        <v>395</v>
      </c>
      <c r="N112" s="4">
        <v>63</v>
      </c>
      <c r="O112" s="4" t="s">
        <v>395</v>
      </c>
    </row>
    <row r="113" spans="1:15" x14ac:dyDescent="0.45">
      <c r="A113" s="293"/>
      <c r="B113" s="286"/>
      <c r="C113" s="286"/>
      <c r="D113" s="296"/>
      <c r="E113" s="8" t="str">
        <f t="shared" si="2"/>
        <v>THR_AL_DEN_LO_PT_SFOI</v>
      </c>
      <c r="F113" s="10" t="s">
        <v>397</v>
      </c>
      <c r="G113" s="10"/>
      <c r="H113" s="11">
        <v>-0.2</v>
      </c>
      <c r="I113" s="8">
        <v>-1</v>
      </c>
      <c r="J113" s="8">
        <v>5</v>
      </c>
      <c r="K113" s="8" t="s">
        <v>416</v>
      </c>
      <c r="L113" s="42"/>
      <c r="M113" s="4" t="s">
        <v>396</v>
      </c>
      <c r="N113" s="4">
        <v>64</v>
      </c>
      <c r="O113" s="4" t="s">
        <v>396</v>
      </c>
    </row>
    <row r="114" spans="1:15" x14ac:dyDescent="0.45">
      <c r="A114" s="293"/>
      <c r="B114" s="286"/>
      <c r="C114" s="286"/>
      <c r="D114" s="296"/>
      <c r="E114" s="8" t="str">
        <f t="shared" si="2"/>
        <v>THR_AL_DEN_HH_PT_SFOO</v>
      </c>
      <c r="F114" s="10" t="s">
        <v>271</v>
      </c>
      <c r="G114" s="10"/>
      <c r="H114" s="11">
        <v>12</v>
      </c>
      <c r="I114" s="8" t="s">
        <v>290</v>
      </c>
      <c r="J114" s="8" t="s">
        <v>291</v>
      </c>
      <c r="K114" s="8" t="s">
        <v>288</v>
      </c>
      <c r="L114" s="42"/>
      <c r="M114" s="4" t="s">
        <v>398</v>
      </c>
      <c r="N114" s="4">
        <v>65</v>
      </c>
      <c r="O114" s="4" t="s">
        <v>398</v>
      </c>
    </row>
    <row r="115" spans="1:15" x14ac:dyDescent="0.45">
      <c r="A115" s="293"/>
      <c r="B115" s="286"/>
      <c r="C115" s="286"/>
      <c r="D115" s="296"/>
      <c r="E115" s="8" t="str">
        <f t="shared" si="2"/>
        <v>THR_AL_NOT_HO_PT_SFOO</v>
      </c>
      <c r="F115" s="10" t="s">
        <v>272</v>
      </c>
      <c r="G115" s="10"/>
      <c r="H115" s="11">
        <v>11</v>
      </c>
      <c r="I115" s="8" t="s">
        <v>290</v>
      </c>
      <c r="J115" s="8" t="s">
        <v>291</v>
      </c>
      <c r="K115" s="8" t="s">
        <v>288</v>
      </c>
      <c r="L115" s="42"/>
      <c r="M115" s="4" t="s">
        <v>399</v>
      </c>
      <c r="N115" s="4">
        <v>66</v>
      </c>
      <c r="O115" s="4" t="s">
        <v>399</v>
      </c>
    </row>
    <row r="116" spans="1:15" x14ac:dyDescent="0.45">
      <c r="A116" s="293"/>
      <c r="B116" s="286"/>
      <c r="C116" s="286"/>
      <c r="D116" s="296"/>
      <c r="E116" s="8" t="str">
        <f t="shared" si="2"/>
        <v>THR_AL_NOT_LO_PT_SFOO</v>
      </c>
      <c r="F116" s="10" t="s">
        <v>273</v>
      </c>
      <c r="G116" s="10"/>
      <c r="H116" s="11">
        <v>5</v>
      </c>
      <c r="I116" s="8" t="s">
        <v>290</v>
      </c>
      <c r="J116" s="8" t="s">
        <v>291</v>
      </c>
      <c r="K116" s="8" t="s">
        <v>288</v>
      </c>
      <c r="L116" s="42"/>
      <c r="M116" s="4" t="s">
        <v>400</v>
      </c>
      <c r="N116" s="4">
        <v>67</v>
      </c>
      <c r="O116" s="4" t="s">
        <v>400</v>
      </c>
    </row>
    <row r="117" spans="1:15" x14ac:dyDescent="0.45">
      <c r="A117" s="293"/>
      <c r="B117" s="286"/>
      <c r="C117" s="286"/>
      <c r="D117" s="296"/>
      <c r="E117" s="8" t="str">
        <f t="shared" si="2"/>
        <v>THR_AL_NOT_LL_PT_SFOO</v>
      </c>
      <c r="F117" s="10" t="s">
        <v>274</v>
      </c>
      <c r="G117" s="10"/>
      <c r="H117" s="11">
        <v>4</v>
      </c>
      <c r="I117" s="8" t="s">
        <v>290</v>
      </c>
      <c r="J117" s="8" t="s">
        <v>291</v>
      </c>
      <c r="K117" s="8" t="s">
        <v>288</v>
      </c>
      <c r="L117" s="42"/>
      <c r="M117" s="4" t="s">
        <v>401</v>
      </c>
      <c r="N117" s="4">
        <v>68</v>
      </c>
      <c r="O117" s="4" t="s">
        <v>401</v>
      </c>
    </row>
    <row r="118" spans="1:15" x14ac:dyDescent="0.45">
      <c r="A118" s="293"/>
      <c r="B118" s="286"/>
      <c r="C118" s="286"/>
      <c r="D118" s="296"/>
      <c r="E118" s="8" t="str">
        <f t="shared" si="2"/>
        <v>THR_AL_DEN_HH_PT_DFOI</v>
      </c>
      <c r="F118" s="10" t="s">
        <v>275</v>
      </c>
      <c r="G118" s="10"/>
      <c r="H118" s="11">
        <v>12</v>
      </c>
      <c r="I118" s="8" t="s">
        <v>290</v>
      </c>
      <c r="J118" s="8" t="s">
        <v>291</v>
      </c>
      <c r="K118" s="8" t="s">
        <v>288</v>
      </c>
      <c r="L118" s="42"/>
      <c r="M118" s="4" t="s">
        <v>402</v>
      </c>
      <c r="N118" s="4">
        <v>69</v>
      </c>
      <c r="O118" s="4" t="s">
        <v>402</v>
      </c>
    </row>
    <row r="119" spans="1:15" x14ac:dyDescent="0.45">
      <c r="A119" s="293"/>
      <c r="B119" s="286"/>
      <c r="C119" s="286"/>
      <c r="D119" s="296"/>
      <c r="E119" s="8" t="str">
        <f t="shared" si="2"/>
        <v>THR_AL_NOT_HO_PT_DFOI</v>
      </c>
      <c r="F119" s="10" t="s">
        <v>276</v>
      </c>
      <c r="G119" s="10"/>
      <c r="H119" s="11">
        <v>11</v>
      </c>
      <c r="I119" s="8" t="s">
        <v>290</v>
      </c>
      <c r="J119" s="8" t="s">
        <v>291</v>
      </c>
      <c r="K119" s="8" t="s">
        <v>288</v>
      </c>
      <c r="L119" s="42"/>
      <c r="M119" s="4" t="s">
        <v>403</v>
      </c>
      <c r="N119" s="4">
        <v>70</v>
      </c>
      <c r="O119" s="4" t="s">
        <v>403</v>
      </c>
    </row>
    <row r="120" spans="1:15" x14ac:dyDescent="0.45">
      <c r="A120" s="293"/>
      <c r="B120" s="286"/>
      <c r="C120" s="286"/>
      <c r="D120" s="296"/>
      <c r="E120" s="8" t="str">
        <f t="shared" si="2"/>
        <v>THR_AL_NOT_LO_PT_DFOI</v>
      </c>
      <c r="F120" s="10" t="s">
        <v>277</v>
      </c>
      <c r="G120" s="10"/>
      <c r="H120" s="11">
        <v>5</v>
      </c>
      <c r="I120" s="8" t="s">
        <v>290</v>
      </c>
      <c r="J120" s="8" t="s">
        <v>292</v>
      </c>
      <c r="K120" s="8" t="s">
        <v>288</v>
      </c>
      <c r="L120" s="42"/>
      <c r="M120" s="4" t="s">
        <v>404</v>
      </c>
      <c r="N120" s="4">
        <v>71</v>
      </c>
      <c r="O120" s="4" t="s">
        <v>404</v>
      </c>
    </row>
    <row r="121" spans="1:15" x14ac:dyDescent="0.45">
      <c r="A121" s="293"/>
      <c r="B121" s="286"/>
      <c r="C121" s="286"/>
      <c r="D121" s="296"/>
      <c r="E121" s="8" t="str">
        <f t="shared" si="2"/>
        <v>THR_AL_DEN_LL_PT_DFOI</v>
      </c>
      <c r="F121" s="10" t="s">
        <v>278</v>
      </c>
      <c r="G121" s="10"/>
      <c r="H121" s="11">
        <v>4</v>
      </c>
      <c r="I121" s="8" t="s">
        <v>290</v>
      </c>
      <c r="J121" s="8" t="s">
        <v>292</v>
      </c>
      <c r="K121" s="8" t="s">
        <v>288</v>
      </c>
      <c r="L121" s="42"/>
      <c r="M121" s="4" t="s">
        <v>405</v>
      </c>
      <c r="N121" s="4">
        <v>72</v>
      </c>
      <c r="O121" s="4" t="s">
        <v>405</v>
      </c>
    </row>
    <row r="122" spans="1:15" x14ac:dyDescent="0.45">
      <c r="A122" s="293"/>
      <c r="B122" s="286"/>
      <c r="C122" s="286"/>
      <c r="D122" s="296"/>
      <c r="E122" s="8" t="str">
        <f t="shared" si="2"/>
        <v>THR_AL_NOT_LO_PT_DFOM</v>
      </c>
      <c r="F122" s="10" t="s">
        <v>279</v>
      </c>
      <c r="G122" s="10"/>
      <c r="H122" s="11">
        <v>5</v>
      </c>
      <c r="I122" s="8" t="s">
        <v>290</v>
      </c>
      <c r="J122" s="8" t="s">
        <v>292</v>
      </c>
      <c r="K122" s="8" t="s">
        <v>288</v>
      </c>
      <c r="L122" s="42"/>
      <c r="M122" s="4" t="s">
        <v>406</v>
      </c>
      <c r="N122" s="4">
        <v>73</v>
      </c>
      <c r="O122" s="4" t="s">
        <v>406</v>
      </c>
    </row>
    <row r="123" spans="1:15" x14ac:dyDescent="0.45">
      <c r="A123" s="293"/>
      <c r="B123" s="286"/>
      <c r="C123" s="286"/>
      <c r="D123" s="296"/>
      <c r="E123" s="8" t="str">
        <f t="shared" si="2"/>
        <v>THR_AL_DEN_LL_PT_DFOM</v>
      </c>
      <c r="F123" s="10" t="s">
        <v>280</v>
      </c>
      <c r="G123" s="10"/>
      <c r="H123" s="11">
        <v>4</v>
      </c>
      <c r="I123" s="8" t="s">
        <v>290</v>
      </c>
      <c r="J123" s="8" t="s">
        <v>292</v>
      </c>
      <c r="K123" s="8" t="s">
        <v>288</v>
      </c>
      <c r="L123" s="42"/>
      <c r="M123" s="4" t="s">
        <v>407</v>
      </c>
      <c r="N123" s="4">
        <v>74</v>
      </c>
      <c r="O123" s="4" t="s">
        <v>407</v>
      </c>
    </row>
    <row r="124" spans="1:15" x14ac:dyDescent="0.45">
      <c r="A124" s="293"/>
      <c r="B124" s="286"/>
      <c r="C124" s="286"/>
      <c r="D124" s="296"/>
      <c r="E124" s="8" t="str">
        <f t="shared" si="2"/>
        <v>THR_AL_NOT_LO_PT_DFOO</v>
      </c>
      <c r="F124" s="10" t="s">
        <v>281</v>
      </c>
      <c r="G124" s="10"/>
      <c r="H124" s="11">
        <v>4</v>
      </c>
      <c r="I124" s="8" t="s">
        <v>290</v>
      </c>
      <c r="J124" s="8" t="s">
        <v>292</v>
      </c>
      <c r="K124" s="8" t="s">
        <v>288</v>
      </c>
      <c r="L124" s="42"/>
      <c r="M124" s="4" t="s">
        <v>408</v>
      </c>
      <c r="N124" s="4">
        <v>75</v>
      </c>
      <c r="O124" s="4" t="s">
        <v>408</v>
      </c>
    </row>
    <row r="125" spans="1:15" x14ac:dyDescent="0.45">
      <c r="A125" s="293"/>
      <c r="B125" s="286"/>
      <c r="C125" s="286"/>
      <c r="D125" s="296"/>
      <c r="E125" s="8" t="str">
        <f t="shared" si="2"/>
        <v>THR_AL_DEN_LL_PT_DFOO</v>
      </c>
      <c r="F125" s="10" t="s">
        <v>282</v>
      </c>
      <c r="G125" s="10"/>
      <c r="H125" s="11">
        <v>3</v>
      </c>
      <c r="I125" s="8" t="s">
        <v>290</v>
      </c>
      <c r="J125" s="8" t="s">
        <v>292</v>
      </c>
      <c r="K125" s="8" t="s">
        <v>288</v>
      </c>
      <c r="L125" s="42"/>
      <c r="M125" s="4" t="s">
        <v>409</v>
      </c>
      <c r="N125" s="4">
        <v>76</v>
      </c>
      <c r="O125" s="4" t="s">
        <v>409</v>
      </c>
    </row>
    <row r="126" spans="1:15" x14ac:dyDescent="0.45">
      <c r="A126" s="293"/>
      <c r="B126" s="286"/>
      <c r="C126" s="286"/>
      <c r="D126" s="296"/>
      <c r="E126" s="8" t="str">
        <f t="shared" si="2"/>
        <v>THR_AL_NOT_LO_PT_DAI</v>
      </c>
      <c r="F126" s="10" t="s">
        <v>283</v>
      </c>
      <c r="G126" s="10"/>
      <c r="H126" s="11">
        <v>4</v>
      </c>
      <c r="I126" s="8" t="s">
        <v>290</v>
      </c>
      <c r="J126" s="8" t="s">
        <v>292</v>
      </c>
      <c r="K126" s="8" t="s">
        <v>288</v>
      </c>
      <c r="L126" s="42"/>
      <c r="M126" s="4" t="s">
        <v>410</v>
      </c>
      <c r="N126" s="4">
        <v>77</v>
      </c>
      <c r="O126" s="4" t="s">
        <v>410</v>
      </c>
    </row>
    <row r="127" spans="1:15" x14ac:dyDescent="0.45">
      <c r="A127" s="293"/>
      <c r="B127" s="286"/>
      <c r="C127" s="286"/>
      <c r="D127" s="296"/>
      <c r="E127" s="8" t="str">
        <f t="shared" si="2"/>
        <v>THR_AL_DEN_LL_PT_DAI</v>
      </c>
      <c r="F127" s="10" t="s">
        <v>284</v>
      </c>
      <c r="G127" s="10"/>
      <c r="H127" s="11">
        <v>3.5</v>
      </c>
      <c r="I127" s="8" t="s">
        <v>290</v>
      </c>
      <c r="J127" s="8" t="s">
        <v>292</v>
      </c>
      <c r="K127" s="8" t="s">
        <v>288</v>
      </c>
      <c r="L127" s="42"/>
      <c r="M127" s="4" t="s">
        <v>411</v>
      </c>
      <c r="N127" s="4">
        <v>78</v>
      </c>
      <c r="O127" s="4" t="s">
        <v>411</v>
      </c>
    </row>
    <row r="128" spans="1:15" x14ac:dyDescent="0.45">
      <c r="A128" s="293"/>
      <c r="B128" s="286"/>
      <c r="C128" s="286"/>
      <c r="D128" s="296"/>
      <c r="E128" s="8" t="str">
        <f t="shared" si="2"/>
        <v>THR_AL_NOT_LO_PT_DAO</v>
      </c>
      <c r="F128" s="10" t="s">
        <v>285</v>
      </c>
      <c r="G128" s="10"/>
      <c r="H128" s="11">
        <v>3</v>
      </c>
      <c r="I128" s="8" t="s">
        <v>290</v>
      </c>
      <c r="J128" s="8" t="s">
        <v>292</v>
      </c>
      <c r="K128" s="8" t="s">
        <v>288</v>
      </c>
      <c r="L128" s="42"/>
      <c r="M128" s="4" t="s">
        <v>412</v>
      </c>
      <c r="N128" s="4">
        <v>79</v>
      </c>
      <c r="O128" s="4" t="s">
        <v>412</v>
      </c>
    </row>
    <row r="129" spans="1:15" ht="16" thickBot="1" x14ac:dyDescent="0.5">
      <c r="A129" s="294"/>
      <c r="B129" s="287"/>
      <c r="C129" s="287"/>
      <c r="D129" s="299"/>
      <c r="E129" s="14" t="str">
        <f t="shared" si="2"/>
        <v>THR_AL_DEN_LL_PT_DAO</v>
      </c>
      <c r="F129" s="22" t="s">
        <v>286</v>
      </c>
      <c r="G129" s="22"/>
      <c r="H129" s="23">
        <v>2.5</v>
      </c>
      <c r="I129" s="21" t="s">
        <v>290</v>
      </c>
      <c r="J129" s="21" t="s">
        <v>292</v>
      </c>
      <c r="K129" s="21" t="s">
        <v>288</v>
      </c>
      <c r="L129" s="44"/>
      <c r="M129" s="4" t="s">
        <v>413</v>
      </c>
      <c r="N129" s="4">
        <v>80</v>
      </c>
      <c r="O129" s="4" t="s">
        <v>413</v>
      </c>
    </row>
  </sheetData>
  <mergeCells count="29">
    <mergeCell ref="L3:L4"/>
    <mergeCell ref="M3:M4"/>
    <mergeCell ref="B2:L2"/>
    <mergeCell ref="A3:A4"/>
    <mergeCell ref="B3:B4"/>
    <mergeCell ref="C3:C4"/>
    <mergeCell ref="D3:D4"/>
    <mergeCell ref="E3:E4"/>
    <mergeCell ref="F3:F4"/>
    <mergeCell ref="G3:G4"/>
    <mergeCell ref="H3:H4"/>
    <mergeCell ref="I3:K3"/>
    <mergeCell ref="A5:A87"/>
    <mergeCell ref="B5:B129"/>
    <mergeCell ref="C5:C87"/>
    <mergeCell ref="D5:D26"/>
    <mergeCell ref="D27:D43"/>
    <mergeCell ref="A88:A109"/>
    <mergeCell ref="C88:C129"/>
    <mergeCell ref="D88:D109"/>
    <mergeCell ref="A110:A129"/>
    <mergeCell ref="D110:D129"/>
    <mergeCell ref="D86:D87"/>
    <mergeCell ref="I27:I43"/>
    <mergeCell ref="J27:J43"/>
    <mergeCell ref="K27:K43"/>
    <mergeCell ref="D44:D65"/>
    <mergeCell ref="D66:D85"/>
    <mergeCell ref="H27:H43"/>
  </mergeCells>
  <phoneticPr fontId="1" type="noConversion"/>
  <pageMargins left="0.7" right="0.7" top="0.75" bottom="0.75" header="0.3" footer="0.3"/>
  <pageSetup paperSize="9" scale="3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Parameters</vt:lpstr>
      <vt:lpstr>AS_Struct</vt:lpstr>
      <vt:lpstr>Alarm_Paramters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HHI</dc:creator>
  <cp:lastModifiedBy>HHI</cp:lastModifiedBy>
  <cp:lastPrinted>2022-11-03T00:47:22Z</cp:lastPrinted>
  <dcterms:created xsi:type="dcterms:W3CDTF">2022-11-02T06:12:54Z</dcterms:created>
  <dcterms:modified xsi:type="dcterms:W3CDTF">2025-11-19T04:05:53Z</dcterms:modified>
</cp:coreProperties>
</file>