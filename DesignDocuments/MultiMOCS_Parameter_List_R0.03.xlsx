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Git\mocs_proto\DesignDocuments\"/>
    </mc:Choice>
  </mc:AlternateContent>
  <xr:revisionPtr revIDLastSave="0" documentId="13_ncr:1_{BAE47A61-AE93-442B-BC38-F551B4DC58D3}" xr6:coauthVersionLast="47" xr6:coauthVersionMax="47" xr10:uidLastSave="{00000000-0000-0000-0000-000000000000}"/>
  <bookViews>
    <workbookView xWindow="-23148" yWindow="4332" windowWidth="23256" windowHeight="12576" activeTab="2" xr2:uid="{3E903903-214D-4E02-AFFC-B67276BEB42B}"/>
  </bookViews>
  <sheets>
    <sheet name="History" sheetId="17" r:id="rId1"/>
    <sheet name="AccessRights" sheetId="19" r:id="rId2"/>
    <sheet name="CmmnParameters" sheetId="13" r:id="rId3"/>
    <sheet name="IndvParameters" sheetId="20" r:id="rId4"/>
    <sheet name="IndvLifetime" sheetId="22" r:id="rId5"/>
    <sheet name="Alarm_Paramters" sheetId="1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9" i="15" l="1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</calcChain>
</file>

<file path=xl/sharedStrings.xml><?xml version="1.0" encoding="utf-8"?>
<sst xmlns="http://schemas.openxmlformats.org/spreadsheetml/2006/main" count="3365" uniqueCount="679">
  <si>
    <t>MOCS Parameter list</t>
    <phoneticPr fontId="1" type="noConversion"/>
  </si>
  <si>
    <t>Unit</t>
    <phoneticPr fontId="1" type="noConversion"/>
  </si>
  <si>
    <t>Range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</si>
  <si>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</si>
  <si>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</si>
  <si>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</si>
  <si>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-</t>
    <phoneticPr fontId="1" type="noConversion"/>
  </si>
  <si>
    <t>Remark</t>
    <phoneticPr fontId="1" type="noConversion"/>
  </si>
  <si>
    <t>%</t>
    <phoneticPr fontId="1" type="noConversion"/>
  </si>
  <si>
    <t>degC</t>
  </si>
  <si>
    <t>%</t>
  </si>
  <si>
    <t>Description1</t>
    <phoneticPr fontId="1" type="noConversion"/>
  </si>
  <si>
    <t>Description2</t>
    <phoneticPr fontId="1" type="noConversion"/>
  </si>
  <si>
    <t>Name</t>
    <phoneticPr fontId="1" type="noConversion"/>
  </si>
  <si>
    <t>Category1</t>
    <phoneticPr fontId="1" type="noConversion"/>
  </si>
  <si>
    <t>Category2</t>
  </si>
  <si>
    <t>Category3</t>
  </si>
  <si>
    <t>VS sol valve Open dP</t>
    <phoneticPr fontId="1" type="noConversion"/>
  </si>
  <si>
    <t>Engage RTV Ramp Open Slope</t>
    <phoneticPr fontId="1" type="noConversion"/>
  </si>
  <si>
    <t>Disengage RTV Ramp Close Slope</t>
    <phoneticPr fontId="1" type="noConversion"/>
  </si>
  <si>
    <t>Venting duration</t>
  </si>
  <si>
    <t>sec</t>
  </si>
  <si>
    <t>RTV Open Target Position on Sealing State</t>
    <phoneticPr fontId="1" type="noConversion"/>
  </si>
  <si>
    <t>RTV Open Target Position on Air Venting State</t>
    <phoneticPr fontId="1" type="noConversion"/>
  </si>
  <si>
    <t>I gain of PID Controller to regulate MOCS Temp</t>
    <phoneticPr fontId="1" type="noConversion"/>
  </si>
  <si>
    <t>D gain of PID Controller to regulate MOCS Temp</t>
    <phoneticPr fontId="1" type="noConversion"/>
  </si>
  <si>
    <t>mbar</t>
    <phoneticPr fontId="1" type="noConversion"/>
  </si>
  <si>
    <t>degC</t>
    <phoneticPr fontId="1" type="noConversion"/>
  </si>
  <si>
    <t>MOCS(Main)</t>
    <phoneticPr fontId="1" type="noConversion"/>
  </si>
  <si>
    <t>Noise suppression to regulate MOCS Temp</t>
    <phoneticPr fontId="1" type="noConversion"/>
  </si>
  <si>
    <t>Wait F.O. Return</t>
    <phoneticPr fontId="1" type="noConversion"/>
  </si>
  <si>
    <t>sec</t>
    <phoneticPr fontId="1" type="noConversion"/>
  </si>
  <si>
    <t>Dosing Air Sol VV Open Duration</t>
    <phoneticPr fontId="1" type="noConversion"/>
  </si>
  <si>
    <t>DisenRTVSlope</t>
    <phoneticPr fontId="1" type="noConversion"/>
  </si>
  <si>
    <t>VentRTVSetpoint</t>
    <phoneticPr fontId="1" type="noConversion"/>
  </si>
  <si>
    <t>VentDuration</t>
    <phoneticPr fontId="1" type="noConversion"/>
  </si>
  <si>
    <t>SealRTVSetpoint</t>
    <phoneticPr fontId="1" type="noConversion"/>
  </si>
  <si>
    <t>EnRTVSlope</t>
    <phoneticPr fontId="1" type="noConversion"/>
  </si>
  <si>
    <t>HUTargetTemp</t>
    <phoneticPr fontId="1" type="noConversion"/>
  </si>
  <si>
    <t>Heating Unit Target Temperature</t>
    <phoneticPr fontId="1" type="noConversion"/>
  </si>
  <si>
    <t>Heating Unit Active Temperature</t>
    <phoneticPr fontId="1" type="noConversion"/>
  </si>
  <si>
    <t>Heating Unit Inctive Temperature
 = HUTargetTemp + HUInctiveOffsetTemp</t>
    <phoneticPr fontId="1" type="noConversion"/>
  </si>
  <si>
    <t>P gain of PID Controller to regulate F.O. Flowrate</t>
  </si>
  <si>
    <t>-</t>
  </si>
  <si>
    <t>I gain of PID Controller to regulate F.O. Flowrate</t>
  </si>
  <si>
    <t>D gain of PID Controller to regulate F.O. Flowrate</t>
  </si>
  <si>
    <t>Noise suppresstion to regulate F.O. Flowrate</t>
  </si>
  <si>
    <t>NumTableRow</t>
    <phoneticPr fontId="1" type="noConversion"/>
  </si>
  <si>
    <t>Number of feedforward table row</t>
    <phoneticPr fontId="1" type="noConversion"/>
  </si>
  <si>
    <t>P gain of PID Controller to regulate MOCS Temp at Engine Load 0</t>
    <phoneticPr fontId="1" type="noConversion"/>
  </si>
  <si>
    <t>P gain of PID Controller to regulate MOCS Temp at Engine Load 1</t>
  </si>
  <si>
    <t>P gain of PID Controller to regulate MOCS Temp at Engine Load 2</t>
  </si>
  <si>
    <t>P gain of PID Controller to regulate MOCS Temp at Engine Load 3</t>
  </si>
  <si>
    <t>P gain of PID Controller to regulate MOCS Temp at Engine Load 4</t>
  </si>
  <si>
    <t>P gain of PID Controller to regulate MOCS Temp at Engine Load 5</t>
  </si>
  <si>
    <t>P gain of PID Controller to regulate MOCS Temp at Engine Load 6</t>
  </si>
  <si>
    <t>P gain of PID Controller to regulate MOCS Temp at Engine Load 7</t>
  </si>
  <si>
    <t>P gain of PID Controller to regulate MOCS Temp at Engine Load 8</t>
  </si>
  <si>
    <t>P gain of PID Controller to regulate MOCS Temp at Engine Load 9</t>
  </si>
  <si>
    <t>P gain of PID Controller to regulate MOCS Temp at Engine Load 10</t>
  </si>
  <si>
    <t>P gain of PID Controller to regulate MOCS Temp at Engine Load 11</t>
  </si>
  <si>
    <t>Dosing Sol VV Delay</t>
  </si>
  <si>
    <t>Safety</t>
    <phoneticPr fontId="1" type="noConversion"/>
  </si>
  <si>
    <t>Delay</t>
    <phoneticPr fontId="1" type="noConversion"/>
  </si>
  <si>
    <t>Dosing F.O. Flow Deviation</t>
  </si>
  <si>
    <t>F.O. Dosing System</t>
  </si>
  <si>
    <t>Burner System</t>
  </si>
  <si>
    <t>RTV Fail</t>
  </si>
  <si>
    <t>RTV Deviation</t>
  </si>
  <si>
    <t>MOCS Chamber PDT High-High</t>
  </si>
  <si>
    <t>MOCS Chamber PDT High</t>
  </si>
  <si>
    <t>MOCS Chamber PDT Low</t>
  </si>
  <si>
    <t>RBV PDT High-High</t>
  </si>
  <si>
    <t>RBV PDT High</t>
  </si>
  <si>
    <t>RTV PDT High-High</t>
  </si>
  <si>
    <t>RTV PDT High</t>
  </si>
  <si>
    <t>RTV PDT Low</t>
  </si>
  <si>
    <t>Chamber Inlet01 Temp High_High</t>
  </si>
  <si>
    <t>Chamber Inlet01 Temp High</t>
  </si>
  <si>
    <t>Chamber Inlet01 Temp Low</t>
  </si>
  <si>
    <t>Chamber Inlet01 Temp Low-Low</t>
  </si>
  <si>
    <t>Chamber Mid01 Temp High-High</t>
  </si>
  <si>
    <t>Chamber Mid01 Temp High</t>
  </si>
  <si>
    <t>Chamber Mid01 Temp Low</t>
  </si>
  <si>
    <t>Chamber Mid01 Temp Low-Low</t>
  </si>
  <si>
    <t>Chamber Outlet01 Temp High-High</t>
  </si>
  <si>
    <t>Chamber Outlet01 Temp High</t>
  </si>
  <si>
    <t>Chamber Outlet01 Temp Low</t>
  </si>
  <si>
    <t>Chamber Outlet01 Temp Low-Low</t>
  </si>
  <si>
    <t>Dosing F.O. flowmeter High-High</t>
  </si>
  <si>
    <t>Dosing F.O. flowmeter High</t>
  </si>
  <si>
    <t>Supply, F.O. outlet PT High-High</t>
  </si>
  <si>
    <t>Supply, F.O. outlet PT High</t>
  </si>
  <si>
    <t>Supply, F.O. outlet PT Low</t>
  </si>
  <si>
    <t>Supply, F.O. outlet PT Low-Low</t>
  </si>
  <si>
    <t>Dosing F.O. inlet PT High-High</t>
  </si>
  <si>
    <t>Dosing F.O. inlet PT High</t>
  </si>
  <si>
    <t>Dosing F.O. inlet PT Low</t>
  </si>
  <si>
    <t>Dosing F.O. inlet PT Low-Low</t>
  </si>
  <si>
    <t>Dosing F.O. mid PT Low</t>
  </si>
  <si>
    <t>Dosing F.O. mid PT Low-Low</t>
  </si>
  <si>
    <t>Dosing F.O. outlet PT Low</t>
  </si>
  <si>
    <t>Dosing F.O. outlet PT Low-Low</t>
  </si>
  <si>
    <t>Dosing air inlet PT Low</t>
  </si>
  <si>
    <t>Dosing air inlet PT Low-Low</t>
  </si>
  <si>
    <t>Dosing air outlet PT Low</t>
  </si>
  <si>
    <t>Dosing air outlet PT Low-Low</t>
  </si>
  <si>
    <t>mbar</t>
  </si>
  <si>
    <t>bar</t>
  </si>
  <si>
    <t>l/h</t>
  </si>
  <si>
    <t>0</t>
  </si>
  <si>
    <t>16</t>
  </si>
  <si>
    <t>10</t>
  </si>
  <si>
    <t>Threshold</t>
    <phoneticPr fontId="1" type="noConversion"/>
  </si>
  <si>
    <t>VSSolValveOpenDuration</t>
    <phoneticPr fontId="1" type="noConversion"/>
  </si>
  <si>
    <t>VSSolValveCloseDuration</t>
    <phoneticPr fontId="1" type="noConversion"/>
  </si>
  <si>
    <t>VS Sol Valve Open duration on Sealing State</t>
    <phoneticPr fontId="1" type="noConversion"/>
  </si>
  <si>
    <t>VS Sol Valve Close duration on Sealing State</t>
    <phoneticPr fontId="1" type="noConversion"/>
  </si>
  <si>
    <t>HMI Page</t>
    <phoneticPr fontId="1" type="noConversion"/>
  </si>
  <si>
    <t>comm_name</t>
    <phoneticPr fontId="1" type="noConversion"/>
  </si>
  <si>
    <t>IDX</t>
    <phoneticPr fontId="1" type="noConversion"/>
  </si>
  <si>
    <t>NAME_TAG</t>
  </si>
  <si>
    <t>HUInactiveOffsetTemp</t>
    <phoneticPr fontId="1" type="noConversion"/>
  </si>
  <si>
    <t>VSSolValveOpenDP</t>
    <phoneticPr fontId="1" type="noConversion"/>
  </si>
  <si>
    <t>Safety
_Delay</t>
    <phoneticPr fontId="1" type="noConversion"/>
  </si>
  <si>
    <t>Boolean Type Alarm Delady</t>
    <phoneticPr fontId="1" type="noConversion"/>
  </si>
  <si>
    <t>AL_VSD_AB_MS</t>
  </si>
  <si>
    <t>MOCS Em'cy stop</t>
  </si>
  <si>
    <t>AL_MSD_UD_EGD</t>
  </si>
  <si>
    <t>Engine Sudden Diesel Transfer</t>
  </si>
  <si>
    <t>AL_MSD_UD_EGS</t>
  </si>
  <si>
    <t>Engine Stop(Gas mode)</t>
  </si>
  <si>
    <t>AL_MSD_UD_CME</t>
  </si>
  <si>
    <t>Communication Fail with Engine</t>
  </si>
  <si>
    <t>AL_NOT_UD_CMH</t>
  </si>
  <si>
    <t>Communication Fail with HMI</t>
  </si>
  <si>
    <t>AL_VSD_UD_RSV_FA</t>
  </si>
  <si>
    <t>RSV Fail</t>
  </si>
  <si>
    <t>AL_VSD_UD_RSV_SF</t>
  </si>
  <si>
    <t>RSV Feedback S/F</t>
  </si>
  <si>
    <t>RBV Fail</t>
  </si>
  <si>
    <t>AL_VSD_UD_RBV_SF</t>
  </si>
  <si>
    <t>RBV Feedback S/F</t>
  </si>
  <si>
    <t>AL_DEN_UD_FM_FO_DVTO</t>
  </si>
  <si>
    <t>Dosing F.O. Flow Deviation Time out</t>
  </si>
  <si>
    <t>AL_DEN_UD_FM_FO_STTO</t>
  </si>
  <si>
    <t>Dosing F.O. Limit Saturation time out</t>
  </si>
  <si>
    <t>threshold = QF.O. Limit which is estimated from Advanced PID F.O. Control Logic</t>
    <phoneticPr fontId="1" type="noConversion"/>
  </si>
  <si>
    <t>AL_DEN_AB_PP1_RMT</t>
  </si>
  <si>
    <t>No.1 F.O. supply pump Not remote</t>
  </si>
  <si>
    <t>AL_DEN_AB_PP1_ABN</t>
  </si>
  <si>
    <t>No.1 F.O. supply pump Abnormal</t>
  </si>
  <si>
    <t>AL_DEN_UD_PP1_FA</t>
  </si>
  <si>
    <t>No.1 F.O. supply pump Fail</t>
  </si>
  <si>
    <t>AL_DEN_AB_PP2_RMT</t>
  </si>
  <si>
    <t>No.2 F.O. supply pump Not remote</t>
  </si>
  <si>
    <t>AL_DEN_AB_PP2_ABN</t>
  </si>
  <si>
    <t>No.2 F.O. supply pump Abnormal</t>
  </si>
  <si>
    <t>AL_DEN_UD_PP2_FA</t>
  </si>
  <si>
    <t>No.2 F.O. supply pump Fail</t>
  </si>
  <si>
    <t>AL_DEN_AB_TC_SFOI</t>
  </si>
  <si>
    <t>Dosing F.O. inlet Temp. High-High</t>
  </si>
  <si>
    <t>Burner system Not Ready</t>
  </si>
  <si>
    <t>AL_NOT_AB_BN_MI</t>
  </si>
  <si>
    <t>Buner minor Alarm</t>
  </si>
  <si>
    <t>AL_DEN_AB_BN_MA</t>
  </si>
  <si>
    <t>Buner major Alarm</t>
  </si>
  <si>
    <t>AL_DEN_UD_BN_FA</t>
  </si>
  <si>
    <t>Buner Fail</t>
  </si>
  <si>
    <t>Analog Sensor Fault Delay</t>
    <phoneticPr fontId="1" type="noConversion"/>
  </si>
  <si>
    <t>RTV Feedback S/F</t>
  </si>
  <si>
    <t>MOCS Chamber PDT S/F</t>
  </si>
  <si>
    <t>RBV PDT S/F</t>
  </si>
  <si>
    <t>RTV PDT S/F</t>
  </si>
  <si>
    <t>RTV PDT S/F MOCS Not ready -  Sealing required</t>
  </si>
  <si>
    <t>Mixer Inlet Temp S/F</t>
  </si>
  <si>
    <t>Chamber Inlet01 Temp S/F</t>
  </si>
  <si>
    <t>Chamber Mid01 Temp S/F</t>
  </si>
  <si>
    <t>Chamber Outlet01 Temp S/F</t>
  </si>
  <si>
    <t>Dosing F.O. flowmeter S/F</t>
  </si>
  <si>
    <t>Supply, F.O. inlet PT S/F</t>
  </si>
  <si>
    <t>Supply, F.O. outlet PT S/F</t>
  </si>
  <si>
    <t>Dosing F.O. inlet PT S/F</t>
  </si>
  <si>
    <t>Dosing F.O. mid PT S/F</t>
  </si>
  <si>
    <t>Dosing F.O. outlet PT S/F</t>
  </si>
  <si>
    <t>Dosing air inlet PT S/F</t>
  </si>
  <si>
    <t>Dosing air outlet PT S/F</t>
  </si>
  <si>
    <t>MOCS(Main)</t>
  </si>
  <si>
    <t>AL_VSD_ER_RTV_FA</t>
  </si>
  <si>
    <t>AL_VSD_ER_RTV_DV</t>
  </si>
  <si>
    <t>AL_DEN_HH_PDT_CH</t>
  </si>
  <si>
    <t>AL_NOT_HO_PDT_CH</t>
  </si>
  <si>
    <t>AL_NRD_LO_PDT_CH</t>
  </si>
  <si>
    <t>AL_MSD_HH_PDT_RBV</t>
  </si>
  <si>
    <t>AL_NOT_HO_PDT_RBV</t>
  </si>
  <si>
    <t>AL_NOT_HH_PDT_RTV</t>
  </si>
  <si>
    <t>AL_NOT_HO_PDT_RTV</t>
  </si>
  <si>
    <t>AL_NOT_LO_PDT_RTV</t>
  </si>
  <si>
    <t>AL_MSD_HH_TC_CHI</t>
  </si>
  <si>
    <t>AL_NOT_HO_TC_CHI</t>
  </si>
  <si>
    <t>AL_NOT_LO_TC_CHI</t>
  </si>
  <si>
    <t>AL_MSD_LL_TC_CHI</t>
  </si>
  <si>
    <t>AL_MSD_HH_TC_CHM</t>
  </si>
  <si>
    <t>AL_NOT_HO_TC_CHM</t>
  </si>
  <si>
    <t>AL_NOT_LO_TC_CHM</t>
  </si>
  <si>
    <t>AL_MSD_LL_TC_CHM</t>
  </si>
  <si>
    <t>AL_MSD_HH_TC_CHO</t>
  </si>
  <si>
    <t>AL_NOT_HO_TC_CHO</t>
  </si>
  <si>
    <t>AL_NOT_LO_TC_CHO</t>
  </si>
  <si>
    <t>AL_MSD_LL_TC_CHO</t>
  </si>
  <si>
    <t>AL_NOT_HH_FM_FO</t>
  </si>
  <si>
    <t>AL_NOT_HO_FM_FO</t>
  </si>
  <si>
    <t>AL_NOT_ER_FM_FO</t>
  </si>
  <si>
    <t>AL_DEN_LO_PT_SFOI</t>
  </si>
  <si>
    <t>Supply, F.O. inlet PT Low</t>
  </si>
  <si>
    <t>AL_DEN_HH_PT_SFOO</t>
  </si>
  <si>
    <t>AL_NOT_HO_PT_SFOO</t>
  </si>
  <si>
    <t>AL_NOT_LO_PT_SFOO</t>
  </si>
  <si>
    <t>AL_NOT_LL_PT_SFOO</t>
  </si>
  <si>
    <t>AL_DEN_HH_PT_DFOI</t>
  </si>
  <si>
    <t>AL_NOT_HO_PT_DFOI</t>
  </si>
  <si>
    <t>AL_NOT_LO_PT_DFOI</t>
  </si>
  <si>
    <t>AL_DEN_LL_PT_DFOI</t>
  </si>
  <si>
    <t>AL_NOT_LO_PT_DFOM</t>
  </si>
  <si>
    <t>AL_DEN_LL_PT_DFOM</t>
  </si>
  <si>
    <t>AL_NOT_LO_PT_DFOO</t>
  </si>
  <si>
    <t>AL_DEN_LL_PT_DFOO</t>
  </si>
  <si>
    <t>AL_NOT_LO_PT_DAI</t>
  </si>
  <si>
    <t>AL_DEN_LL_PT_DAI</t>
  </si>
  <si>
    <t>AL_NOT_LO_PT_DAO</t>
  </si>
  <si>
    <t>AL_DEN_LL_PT_DAO</t>
  </si>
  <si>
    <t>Safety
_Threshold
(MOCS Main)</t>
    <phoneticPr fontId="1" type="noConversion"/>
  </si>
  <si>
    <t>Safety
_Threshold
(F.O. Dosing)</t>
    <phoneticPr fontId="1" type="noConversion"/>
  </si>
  <si>
    <t>bar</t>
    <phoneticPr fontId="1" type="noConversion"/>
  </si>
  <si>
    <t>AL_VSD_SF_RTV</t>
  </si>
  <si>
    <t>AL_DEN_SF_PDT_CH</t>
  </si>
  <si>
    <t>AL_MSD_SF_PDT_RBV</t>
  </si>
  <si>
    <t>AL_NOT_SF_PDT_RTV</t>
  </si>
  <si>
    <t>AL_NOT_SF_PDT_RTVS</t>
  </si>
  <si>
    <t>AL_DEN_SF_TC_MXI</t>
  </si>
  <si>
    <t>AL_NOT_SF_TC_CHM</t>
  </si>
  <si>
    <t>AL_DEN_SF_TC_CHO</t>
  </si>
  <si>
    <t>AL_NOT_SF_FM_FO</t>
  </si>
  <si>
    <t>AL_DEN_SF_PT_SFOI</t>
  </si>
  <si>
    <t>AL_DEN_SF_PT_SFOO</t>
  </si>
  <si>
    <t>AL_DEN_SF_PT_DFOI</t>
  </si>
  <si>
    <t>AL_DEN_SF_PT_DFOO</t>
  </si>
  <si>
    <t>AL_DEN_SF_PT_DFOM</t>
  </si>
  <si>
    <t>AL_DEN_SF_TC_CHI</t>
  </si>
  <si>
    <t>AL_DEN_SF_PT_DAI</t>
  </si>
  <si>
    <t>AL_DEN_SF_PT_DAO</t>
  </si>
  <si>
    <t>AL_NOT_AB_PP1_RMT</t>
  </si>
  <si>
    <t>AL_NOT_AB_PP1_ABN</t>
  </si>
  <si>
    <t>AL_NOT_UD_PP1_FA</t>
  </si>
  <si>
    <t>AL_NOT_AB_PP2_RMT</t>
  </si>
  <si>
    <t>AL_NOT_AB_PP2_ABN</t>
  </si>
  <si>
    <t>AL_NOT_UD_PP2_FA</t>
  </si>
  <si>
    <t>AL_DEN_UD_BN_NR</t>
    <phoneticPr fontId="1" type="noConversion"/>
  </si>
  <si>
    <t>AL_NOT_AB_BN_MI</t>
    <phoneticPr fontId="1" type="noConversion"/>
  </si>
  <si>
    <t>AL_DEN_LO_PDT_CH</t>
    <phoneticPr fontId="1" type="noConversion"/>
  </si>
  <si>
    <t>AL_VSD_UD_RBV_FA</t>
    <phoneticPr fontId="1" type="noConversion"/>
  </si>
  <si>
    <t>(+)%/sec</t>
    <phoneticPr fontId="1" type="noConversion"/>
  </si>
  <si>
    <t>(-)%/sec</t>
    <phoneticPr fontId="1" type="noConversion"/>
  </si>
  <si>
    <t>VSSolValveCloseDP</t>
    <phoneticPr fontId="1" type="noConversion"/>
  </si>
  <si>
    <t>TMBBypassMinDuration</t>
    <phoneticPr fontId="1" type="noConversion"/>
  </si>
  <si>
    <t>TMB Bypass Minimum Duration</t>
    <phoneticPr fontId="1" type="noConversion"/>
  </si>
  <si>
    <t>TMB States Timout Threshold(MOCS Shutdown)</t>
    <phoneticPr fontId="1" type="noConversion"/>
  </si>
  <si>
    <t>TMBTimeoutThreshold</t>
    <phoneticPr fontId="1" type="noConversion"/>
  </si>
  <si>
    <t>FOPurgingDuration</t>
    <phoneticPr fontId="1" type="noConversion"/>
  </si>
  <si>
    <t xml:space="preserve">Hysteresis for MSS Normal Flag to fall from True to False
 during MSS re-entry </t>
    <phoneticPr fontId="1" type="noConversion"/>
  </si>
  <si>
    <t>Delay time for MSS Normal Flag to fall from True to False
 during MSS re-entry</t>
    <phoneticPr fontId="1" type="noConversion"/>
  </si>
  <si>
    <t>Feedfoward demanded F.O. flowrate 0</t>
    <phoneticPr fontId="1" type="noConversion"/>
  </si>
  <si>
    <t>Feedfoward demanded F.O. flowrate 1</t>
  </si>
  <si>
    <t>Feedfoward demanded F.O. flowrate 2</t>
  </si>
  <si>
    <t>Feedfoward demanded F.O. flowrate 3</t>
  </si>
  <si>
    <t>Feedfoward demanded F.O. flowrate 4</t>
  </si>
  <si>
    <t>Feedfoward demanded F.O. flowrate 5</t>
  </si>
  <si>
    <t>Feedfoward demanded F.O. flowrate 6</t>
  </si>
  <si>
    <t>Feedfoward demanded F.O. flowrate 7</t>
  </si>
  <si>
    <t>Feedfoward demanded F.O. flowrate 8</t>
  </si>
  <si>
    <t>Feedfoward demanded F.O. flowrate 9</t>
  </si>
  <si>
    <t>Feedfoward demanded F.O. flowrate 10</t>
  </si>
  <si>
    <t>Feedfoward demanded F.O. flowrate 11</t>
  </si>
  <si>
    <t>RTVOpenDP</t>
    <phoneticPr fontId="1" type="noConversion"/>
  </si>
  <si>
    <t>RTVCloseDP</t>
    <phoneticPr fontId="1" type="noConversion"/>
  </si>
  <si>
    <t>VS sol valve Close dP</t>
    <phoneticPr fontId="1" type="noConversion"/>
  </si>
  <si>
    <t>RTV Open dP</t>
    <phoneticPr fontId="1" type="noConversion"/>
  </si>
  <si>
    <t>RTV Close dP</t>
    <phoneticPr fontId="1" type="noConversion"/>
  </si>
  <si>
    <t>Scale</t>
    <phoneticPr fontId="1" type="noConversion"/>
  </si>
  <si>
    <t>kg/h</t>
    <phoneticPr fontId="1" type="noConversion"/>
  </si>
  <si>
    <t>Index</t>
    <phoneticPr fontId="1" type="noConversion"/>
  </si>
  <si>
    <t>25.05.07</t>
    <phoneticPr fontId="1" type="noConversion"/>
  </si>
  <si>
    <t>MATLAB Interface</t>
    <phoneticPr fontId="1" type="noConversion"/>
  </si>
  <si>
    <t>R0.01</t>
    <phoneticPr fontId="1" type="noConversion"/>
  </si>
  <si>
    <t>MOCSTempPgain0</t>
    <phoneticPr fontId="1" type="noConversion"/>
  </si>
  <si>
    <t>Category3</t>
    <phoneticPr fontId="1" type="noConversion"/>
  </si>
  <si>
    <t>Dosing Stop when Ref F.O. Flowrate ≤ 0, for [LowRefQFOTimeout]</t>
  </si>
  <si>
    <t>Dosing Stop when F.O. Flowrate Setpoint = QFOLowLimitValue for [QFOLowLimitTimeout]</t>
  </si>
  <si>
    <t>Single Fluid Flowrate Threshold High</t>
  </si>
  <si>
    <t>L/h</t>
  </si>
  <si>
    <t>Single Fluid Flowrate Threshold Low</t>
  </si>
  <si>
    <t>F.O. Flowrate High Limit = Reference F.O. Flowrate * F.O. Flowrate High Limit Gain</t>
  </si>
  <si>
    <t>Saturator1</t>
  </si>
  <si>
    <t>Minimum Value of F.O. Flowrate High Limit</t>
  </si>
  <si>
    <t>F.O. Flowrate Low Limit</t>
  </si>
  <si>
    <t>F.O. Dosing Control Valve Setposition High Limit</t>
  </si>
  <si>
    <t>Saturator2</t>
  </si>
  <si>
    <t>F.O. Dosing Control Valve Setposition Low Limit</t>
  </si>
  <si>
    <t>Ver</t>
    <phoneticPr fontId="1" type="noConversion"/>
  </si>
  <si>
    <t>Date</t>
    <phoneticPr fontId="1" type="noConversion"/>
  </si>
  <si>
    <t>Description</t>
    <phoneticPr fontId="1" type="noConversion"/>
  </si>
  <si>
    <t>초안</t>
    <phoneticPr fontId="1" type="noConversion"/>
  </si>
  <si>
    <t>R0.02</t>
    <phoneticPr fontId="1" type="noConversion"/>
  </si>
  <si>
    <t>26.03.17</t>
    <phoneticPr fontId="1" type="noConversion"/>
  </si>
  <si>
    <t>Lifetime관련 Parameter 생성 및 분리</t>
    <phoneticPr fontId="1" type="noConversion"/>
  </si>
  <si>
    <t>FODS</t>
    <phoneticPr fontId="1" type="noConversion"/>
  </si>
  <si>
    <t>HUType</t>
    <phoneticPr fontId="1" type="noConversion"/>
  </si>
  <si>
    <t>FOSUCtrl</t>
    <phoneticPr fontId="1" type="noConversion"/>
  </si>
  <si>
    <t>Common</t>
    <phoneticPr fontId="1" type="noConversion"/>
  </si>
  <si>
    <t>Individual</t>
    <phoneticPr fontId="1" type="noConversion"/>
  </si>
  <si>
    <t>OpcUA_mon</t>
    <phoneticPr fontId="1" type="noConversion"/>
  </si>
  <si>
    <t>Main</t>
    <phoneticPr fontId="1" type="noConversion"/>
  </si>
  <si>
    <t>OpcUA_set</t>
    <phoneticPr fontId="1" type="noConversion"/>
  </si>
  <si>
    <t>Page</t>
    <phoneticPr fontId="1" type="noConversion"/>
  </si>
  <si>
    <t>0: DOC(with FODS)
1: TVT(Engine Control)</t>
    <phoneticPr fontId="1" type="noConversion"/>
  </si>
  <si>
    <t>Criteria for determining the RTV closing/opening status</t>
  </si>
  <si>
    <t>Load Change Flag</t>
  </si>
  <si>
    <t>TMB Flag</t>
  </si>
  <si>
    <t>EA</t>
    <phoneticPr fontId="1" type="noConversion"/>
  </si>
  <si>
    <t>0: MOCS Controller
1: Standalone(Yard)</t>
    <phoneticPr fontId="1" type="noConversion"/>
  </si>
  <si>
    <t>When the exhaust gas temperature increase method is DOC type(with FODS), F.O. Supply Unit is controlled by [FOSUCtrl].</t>
    <phoneticPr fontId="1" type="noConversion"/>
  </si>
  <si>
    <t>Exhaust gas heating method.</t>
    <phoneticPr fontId="1" type="noConversion"/>
  </si>
  <si>
    <t>Types of exhaust gas flow paths.</t>
    <phoneticPr fontId="1" type="noConversion"/>
  </si>
  <si>
    <t>The number of GE.</t>
    <phoneticPr fontId="1" type="noConversion"/>
  </si>
  <si>
    <t>OpcUA_set_page</t>
    <phoneticPr fontId="1" type="noConversion"/>
  </si>
  <si>
    <t>OpcUA_set_Idx</t>
    <phoneticPr fontId="1" type="noConversion"/>
  </si>
  <si>
    <t>COSMO</t>
    <phoneticPr fontId="1" type="noConversion"/>
  </si>
  <si>
    <t>O</t>
    <phoneticPr fontId="1" type="noConversion"/>
  </si>
  <si>
    <t>X</t>
  </si>
  <si>
    <t>X</t>
    <phoneticPr fontId="1" type="noConversion"/>
  </si>
  <si>
    <t>COSMO
History</t>
    <phoneticPr fontId="1" type="noConversion"/>
  </si>
  <si>
    <t>FOSPFlag</t>
  </si>
  <si>
    <t>VvPosFlag</t>
  </si>
  <si>
    <t>Category2</t>
    <phoneticPr fontId="1" type="noConversion"/>
  </si>
  <si>
    <t>Cat2
Index</t>
    <phoneticPr fontId="1" type="noConversion"/>
  </si>
  <si>
    <t>Cat1
Index</t>
    <phoneticPr fontId="1" type="noConversion"/>
  </si>
  <si>
    <t>Cat3
Index</t>
    <phoneticPr fontId="1" type="noConversion"/>
  </si>
  <si>
    <t>Cat1Idx</t>
    <phoneticPr fontId="1" type="noConversion"/>
  </si>
  <si>
    <t>Access
Level</t>
    <phoneticPr fontId="1" type="noConversion"/>
  </si>
  <si>
    <t>MOCS Ready Minimum Engine Load w/ MSS Active</t>
  </si>
  <si>
    <t>MOCS Ready Engine Load w/o MSS Active</t>
  </si>
  <si>
    <t>Moving average sampling period</t>
  </si>
  <si>
    <t xml:space="preserve">Moving average compare point  </t>
  </si>
  <si>
    <t>Load change detection threshold</t>
  </si>
  <si>
    <t>%/sec</t>
  </si>
  <si>
    <t>TMB Flag Falling Delay</t>
  </si>
  <si>
    <t>(T/C outlet temp. - MOCS chamber inlet temp.)
 &lt; HUReadyDTemp</t>
  </si>
  <si>
    <t>HMI</t>
    <phoneticPr fontId="1" type="noConversion"/>
  </si>
  <si>
    <t>Setting</t>
    <phoneticPr fontId="1" type="noConversion"/>
  </si>
  <si>
    <t>Simulation</t>
    <phoneticPr fontId="1" type="noConversion"/>
  </si>
  <si>
    <t>Monitoring</t>
    <phoneticPr fontId="1" type="noConversion"/>
  </si>
  <si>
    <t>Configurable control parameters</t>
    <phoneticPr fontId="1" type="noConversion"/>
  </si>
  <si>
    <t>Target</t>
    <phoneticPr fontId="1" type="noConversion"/>
  </si>
  <si>
    <t>Access
Rights</t>
    <phoneticPr fontId="1" type="noConversion"/>
  </si>
  <si>
    <t>Parameters</t>
    <phoneticPr fontId="1" type="noConversion"/>
  </si>
  <si>
    <t>Statistics</t>
    <phoneticPr fontId="1" type="noConversion"/>
  </si>
  <si>
    <t>Edit</t>
    <phoneticPr fontId="1" type="noConversion"/>
  </si>
  <si>
    <t>Partially O
(Information related to catalyst operating time)</t>
    <phoneticPr fontId="1" type="noConversion"/>
  </si>
  <si>
    <t>Catalyst operating time monitoring and initialization</t>
    <phoneticPr fontId="1" type="noConversion"/>
  </si>
  <si>
    <t>Simulation available : I/O &amp; communication signal Forcing, eHiLS, HiLS, TestGen</t>
    <phoneticPr fontId="1" type="noConversion"/>
  </si>
  <si>
    <t>I/O, communication signal &amp; alarms monitoring</t>
    <phoneticPr fontId="1" type="noConversion"/>
  </si>
  <si>
    <t>Accessable Overview, System, Alarm page</t>
    <phoneticPr fontId="1" type="noConversion"/>
  </si>
  <si>
    <t>S-trap Consumption Factor settings</t>
    <phoneticPr fontId="1" type="noConversion"/>
  </si>
  <si>
    <t>Editable MemMapInfo &amp; Control_Script</t>
    <phoneticPr fontId="1" type="noConversion"/>
  </si>
  <si>
    <t>외부</t>
    <phoneticPr fontId="1" type="noConversion"/>
  </si>
  <si>
    <t>내부</t>
    <phoneticPr fontId="1" type="noConversion"/>
  </si>
  <si>
    <t>Lv. C
(Operating Engineer, Crew)</t>
    <phoneticPr fontId="1" type="noConversion"/>
  </si>
  <si>
    <t>Lv. D
(Developer)</t>
    <phoneticPr fontId="1" type="noConversion"/>
  </si>
  <si>
    <t>Lv. E
(Commissioning Engineer)</t>
    <phoneticPr fontId="1" type="noConversion"/>
  </si>
  <si>
    <t>E</t>
    <phoneticPr fontId="1" type="noConversion"/>
  </si>
  <si>
    <t>Cat1</t>
    <phoneticPr fontId="1" type="noConversion"/>
  </si>
  <si>
    <t>Cat2</t>
    <phoneticPr fontId="1" type="noConversion"/>
  </si>
  <si>
    <t>Cat3</t>
    <phoneticPr fontId="1" type="noConversion"/>
  </si>
  <si>
    <t>Cat2Idx</t>
    <phoneticPr fontId="1" type="noConversion"/>
  </si>
  <si>
    <t>Cat3Idx</t>
    <phoneticPr fontId="1" type="noConversion"/>
  </si>
  <si>
    <t>SysType</t>
  </si>
  <si>
    <t>SysFlag</t>
  </si>
  <si>
    <t>Sys Warmed Up Flag</t>
  </si>
  <si>
    <r>
      <t xml:space="preserve">0: without SCR
1: with SCR
2: with SCR &amp; bypass
* with SCR </t>
    </r>
    <r>
      <rPr>
        <sz val="12"/>
        <rFont val="Arial Unicode MS"/>
        <family val="2"/>
        <charset val="129"/>
      </rPr>
      <t>시스템일 경</t>
    </r>
    <phoneticPr fontId="1" type="noConversion"/>
  </si>
  <si>
    <t>SysTypePara</t>
    <phoneticPr fontId="1" type="noConversion"/>
  </si>
  <si>
    <t>MSSNormalFlag</t>
    <phoneticPr fontId="1" type="noConversion"/>
  </si>
  <si>
    <t>SealingPara</t>
    <phoneticPr fontId="1" type="noConversion"/>
  </si>
  <si>
    <t>EngagePara</t>
    <phoneticPr fontId="1" type="noConversion"/>
  </si>
  <si>
    <t>ActivePara</t>
    <phoneticPr fontId="1" type="noConversion"/>
  </si>
  <si>
    <t>TMBPara</t>
    <phoneticPr fontId="1" type="noConversion"/>
  </si>
  <si>
    <t>DisengagePara</t>
    <phoneticPr fontId="1" type="noConversion"/>
  </si>
  <si>
    <t>VentingPara</t>
    <phoneticPr fontId="1" type="noConversion"/>
  </si>
  <si>
    <t>FODSCoolPara</t>
    <phoneticPr fontId="1" type="noConversion"/>
  </si>
  <si>
    <t>F.O. Dosing line Cooling Duration</t>
  </si>
  <si>
    <t>FODSDosPara</t>
    <phoneticPr fontId="1" type="noConversion"/>
  </si>
  <si>
    <t>FODSFlshPara</t>
    <phoneticPr fontId="1" type="noConversion"/>
  </si>
  <si>
    <t>MOCSType</t>
    <phoneticPr fontId="1" type="noConversion"/>
  </si>
  <si>
    <t>Enabled when Heating unit type DOC(HUType = 0) is selected
Pump Change over when Pump Timer &gt; PumpChangeOverTime</t>
    <phoneticPr fontId="1" type="noConversion"/>
  </si>
  <si>
    <t>Enabled when Heating unit type DOC(HUType = 0) is selected
ex-master pump stop delay in Pump Change Over Process</t>
    <phoneticPr fontId="1" type="noConversion"/>
  </si>
  <si>
    <t>categorical</t>
    <phoneticPr fontId="1" type="noConversion"/>
  </si>
  <si>
    <t>double</t>
    <phoneticPr fontId="1" type="noConversion"/>
  </si>
  <si>
    <t>string</t>
    <phoneticPr fontId="1" type="noConversion"/>
  </si>
  <si>
    <t>Description1</t>
  </si>
  <si>
    <t>Description2</t>
  </si>
  <si>
    <t>Min</t>
  </si>
  <si>
    <t>Max</t>
  </si>
  <si>
    <t>Unit</t>
  </si>
  <si>
    <t>Default
Value</t>
    <phoneticPr fontId="1" type="noConversion"/>
  </si>
  <si>
    <t>DefaultVal</t>
    <phoneticPr fontId="1" type="noConversion"/>
  </si>
  <si>
    <t>AccessLevel</t>
    <phoneticPr fontId="1" type="noConversion"/>
  </si>
  <si>
    <t>OpcUA_mon_Idx</t>
    <phoneticPr fontId="1" type="noConversion"/>
  </si>
  <si>
    <t>History_Enable</t>
    <phoneticPr fontId="1" type="noConversion"/>
  </si>
  <si>
    <t>MOCSTempPgain</t>
    <phoneticPr fontId="1" type="noConversion"/>
  </si>
  <si>
    <t>APIDgain</t>
    <phoneticPr fontId="1" type="noConversion"/>
  </si>
  <si>
    <t>StrapEGLoad0</t>
    <phoneticPr fontId="1" type="noConversion"/>
  </si>
  <si>
    <t>StrapLftm</t>
    <phoneticPr fontId="1" type="noConversion"/>
  </si>
  <si>
    <t>FeefEGLoad0</t>
    <phoneticPr fontId="1" type="noConversion"/>
  </si>
  <si>
    <t>FODSFeef</t>
    <phoneticPr fontId="1" type="noConversion"/>
  </si>
  <si>
    <t>FODSFeed</t>
    <phoneticPr fontId="1" type="noConversion"/>
  </si>
  <si>
    <t>StrapLftmCmmnPara</t>
    <phoneticPr fontId="1" type="noConversion"/>
  </si>
  <si>
    <t>Volume of S-trap</t>
    <phoneticPr fontId="1" type="noConversion"/>
  </si>
  <si>
    <t>VolStrap</t>
    <phoneticPr fontId="1" type="noConversion"/>
  </si>
  <si>
    <t>Sulfur content in F.O.</t>
    <phoneticPr fontId="1" type="noConversion"/>
  </si>
  <si>
    <t>SulfCont</t>
    <phoneticPr fontId="1" type="noConversion"/>
  </si>
  <si>
    <t>Heat Loss Temp. from Mixer Inlet to MOC Chamber</t>
    <phoneticPr fontId="1" type="noConversion"/>
  </si>
  <si>
    <t>Common/Individual?</t>
    <phoneticPr fontId="1" type="noConversion"/>
  </si>
  <si>
    <t>삭제 검토</t>
    <phoneticPr fontId="1" type="noConversion"/>
  </si>
  <si>
    <t>변경 검토</t>
    <phoneticPr fontId="1" type="noConversion"/>
  </si>
  <si>
    <t>Engine load0</t>
    <phoneticPr fontId="1" type="noConversion"/>
  </si>
  <si>
    <t>Engine load1</t>
  </si>
  <si>
    <t>Engine load2</t>
  </si>
  <si>
    <t>Engine load3</t>
  </si>
  <si>
    <t>Engine load4</t>
  </si>
  <si>
    <t>Engine load5</t>
  </si>
  <si>
    <t>Engine load6</t>
  </si>
  <si>
    <t>Engine load7</t>
  </si>
  <si>
    <t>Engine load8</t>
  </si>
  <si>
    <t>Engine load9</t>
  </si>
  <si>
    <t>Engine load10</t>
  </si>
  <si>
    <t>Engine load11</t>
  </si>
  <si>
    <t>Exhaust gas flow rate at Engine load 1</t>
  </si>
  <si>
    <t>Exhaust gas flow rate at Engine load 2</t>
  </si>
  <si>
    <t>Exhaust gas flow rate at Engine load 3</t>
  </si>
  <si>
    <t>Exhaust gas flow rate at Engine load 4</t>
  </si>
  <si>
    <t>Exhaust gas flow rate at Engine load 5</t>
  </si>
  <si>
    <t>Exhaust gas flow rate at Engine load 6</t>
  </si>
  <si>
    <t>Exhaust gas flow rate at Engine load 7</t>
  </si>
  <si>
    <t>Exhaust gas flow rate at Engine load 8</t>
  </si>
  <si>
    <t>Exhaust gas flow rate at Engine load 9</t>
  </si>
  <si>
    <t>Exhaust gas flow rate at Engine load 10</t>
  </si>
  <si>
    <t>Exhaust gas flow rate at Engine load 11</t>
  </si>
  <si>
    <t>Parameters for calculating the feedforward target flow rate of F.O.</t>
    <phoneticPr fontId="1" type="noConversion"/>
  </si>
  <si>
    <t>Parameters for calculating the S-trap lifetime</t>
    <phoneticPr fontId="1" type="noConversion"/>
  </si>
  <si>
    <t>StrapEGFlowrate0</t>
    <phoneticPr fontId="1" type="noConversion"/>
  </si>
  <si>
    <t>Engine flow rate at Engine load 1</t>
  </si>
  <si>
    <t>Engine flow rate at Engine load 2</t>
  </si>
  <si>
    <t>Engine flow rate at Engine load 3</t>
  </si>
  <si>
    <t>Engine flow rate at Engine load 4</t>
  </si>
  <si>
    <r>
      <t>Engine flow rate at Engine load 0(ExhFlowrate</t>
    </r>
    <r>
      <rPr>
        <sz val="12"/>
        <rFont val="Arial Unicode MS"/>
        <family val="2"/>
        <charset val="129"/>
      </rPr>
      <t>랑 다르게?)</t>
    </r>
    <phoneticPr fontId="1" type="noConversion"/>
  </si>
  <si>
    <t>EGMPCnsm0</t>
    <phoneticPr fontId="1" type="noConversion"/>
  </si>
  <si>
    <t>MOCSMPCnsm0</t>
    <phoneticPr fontId="1" type="noConversion"/>
  </si>
  <si>
    <t>Engine MP consumption at Engine load 0</t>
    <phoneticPr fontId="1" type="noConversion"/>
  </si>
  <si>
    <t>Engine MP consumption at Engine load 1</t>
  </si>
  <si>
    <t>Engine MP consumption at Engine load 2</t>
  </si>
  <si>
    <t>Engine MP consumption at Engine load 3</t>
  </si>
  <si>
    <t>Engine MP consumption at Engine load 4</t>
  </si>
  <si>
    <t>MOCS MP consumption at Engine load 0</t>
    <phoneticPr fontId="1" type="noConversion"/>
  </si>
  <si>
    <t>MOCS MP consumption at Engine load 1</t>
  </si>
  <si>
    <t>MOCS MP consumption at Engine load 2</t>
  </si>
  <si>
    <t>MOCS MP consumption at Engine load 3</t>
  </si>
  <si>
    <t>MOCS MP consumption at Engine load 4</t>
  </si>
  <si>
    <t>kg/h</t>
  </si>
  <si>
    <t>FeefEGLoad</t>
    <phoneticPr fontId="1" type="noConversion"/>
  </si>
  <si>
    <t>FeefExhFlowrate</t>
    <phoneticPr fontId="1" type="noConversion"/>
  </si>
  <si>
    <t>Injctiion pipe inlet reference Temp at Engine Load 0</t>
    <phoneticPr fontId="1" type="noConversion"/>
  </si>
  <si>
    <t>Injctiion pipe inlet reference Temp at Engine Load 1</t>
  </si>
  <si>
    <t>Injctiion pipe inlet reference Temp at Engine Load 2</t>
  </si>
  <si>
    <t>Injctiion pipe inlet reference Temp at Engine Load 3</t>
  </si>
  <si>
    <t>Injctiion pipe inlet reference Temp at Engine Load 4</t>
  </si>
  <si>
    <t>Injctiion pipe inlet reference Temp at Engine Load 5</t>
  </si>
  <si>
    <t>Injctiion pipe inlet reference Temp at Engine Load 6</t>
  </si>
  <si>
    <t>Injctiion pipe inlet reference Temp at Engine Load 7</t>
  </si>
  <si>
    <t>Injctiion pipe inlet reference Temp at Engine Load 8</t>
  </si>
  <si>
    <t>Injctiion pipe inlet reference Temp at Engine Load 9</t>
  </si>
  <si>
    <t>Injctiion pipe inlet reference Temp at Engine Load 10</t>
  </si>
  <si>
    <t>Injctiion pipe inlet reference Temp at Engine Load 11</t>
  </si>
  <si>
    <t>InjPipInletRefTemp</t>
    <phoneticPr fontId="1" type="noConversion"/>
  </si>
  <si>
    <t>InjPipInletRefTemp0</t>
    <phoneticPr fontId="1" type="noConversion"/>
  </si>
  <si>
    <t>StrapEGLoad</t>
  </si>
  <si>
    <t>StrapEGFlowrate</t>
  </si>
  <si>
    <t>EGMPCnsm</t>
  </si>
  <si>
    <t>MOCSMPCnsm</t>
  </si>
  <si>
    <t>FeefPara</t>
    <phoneticPr fontId="1" type="noConversion"/>
  </si>
  <si>
    <t>CorrFact0</t>
    <phoneticPr fontId="1" type="noConversion"/>
  </si>
  <si>
    <t>CorrFact</t>
  </si>
  <si>
    <t>FeefExhFlowrate0</t>
    <phoneticPr fontId="1" type="noConversion"/>
  </si>
  <si>
    <t>C</t>
    <phoneticPr fontId="1" type="noConversion"/>
  </si>
  <si>
    <t>MOCSTotOpTimeHour</t>
    <phoneticPr fontId="1" type="noConversion"/>
  </si>
  <si>
    <t>MOCSTotOpTimeMin</t>
    <phoneticPr fontId="1" type="noConversion"/>
  </si>
  <si>
    <t>MOCSTotOpTimeSec</t>
    <phoneticPr fontId="1" type="noConversion"/>
  </si>
  <si>
    <t>MOCSTotOpTime</t>
    <phoneticPr fontId="1" type="noConversion"/>
  </si>
  <si>
    <t>Non-resettable</t>
  </si>
  <si>
    <t>Non-resettable</t>
    <phoneticPr fontId="1" type="noConversion"/>
  </si>
  <si>
    <t>min</t>
  </si>
  <si>
    <t>min</t>
    <phoneticPr fontId="1" type="noConversion"/>
  </si>
  <si>
    <t>hr</t>
  </si>
  <si>
    <t>hr</t>
    <phoneticPr fontId="1" type="noConversion"/>
  </si>
  <si>
    <t>MOCOpTimeHour</t>
    <phoneticPr fontId="1" type="noConversion"/>
  </si>
  <si>
    <t>MOCOpTimeMin</t>
    <phoneticPr fontId="1" type="noConversion"/>
  </si>
  <si>
    <t>MOCOpTimeSec</t>
    <phoneticPr fontId="1" type="noConversion"/>
  </si>
  <si>
    <t>MOCOpTime</t>
    <phoneticPr fontId="1" type="noConversion"/>
  </si>
  <si>
    <t>StrapLftmFactor</t>
    <phoneticPr fontId="1" type="noConversion"/>
  </si>
  <si>
    <t>MOCS total operating timer(houurs)</t>
    <phoneticPr fontId="1" type="noConversion"/>
  </si>
  <si>
    <t>MOCS total operating timer(minutes)</t>
    <phoneticPr fontId="1" type="noConversion"/>
  </si>
  <si>
    <t>MOCS total operating timer(seconds)</t>
    <phoneticPr fontId="1" type="noConversion"/>
  </si>
  <si>
    <t>MOC operating timer(houurs)</t>
    <phoneticPr fontId="1" type="noConversion"/>
  </si>
  <si>
    <t>MOC operating timer(minutes)</t>
    <phoneticPr fontId="1" type="noConversion"/>
  </si>
  <si>
    <t>MOC operating timer(seconds)</t>
    <phoneticPr fontId="1" type="noConversion"/>
  </si>
  <si>
    <t>S-trap lifetime factor</t>
    <phoneticPr fontId="1" type="noConversion"/>
  </si>
  <si>
    <t>FOSPump1OpTimeHour</t>
    <phoneticPr fontId="1" type="noConversion"/>
  </si>
  <si>
    <t>FOSPump1OpTimeMin</t>
    <phoneticPr fontId="1" type="noConversion"/>
  </si>
  <si>
    <t>FOSPump1OpTimeSec</t>
    <phoneticPr fontId="1" type="noConversion"/>
  </si>
  <si>
    <t>F.O. supply pump total operating timer(houurs)</t>
    <phoneticPr fontId="1" type="noConversion"/>
  </si>
  <si>
    <t>F.O. supply pump total operating timer(minutes)</t>
    <phoneticPr fontId="1" type="noConversion"/>
  </si>
  <si>
    <t>F.O. supply pump total operating timer(seconds)</t>
    <phoneticPr fontId="1" type="noConversion"/>
  </si>
  <si>
    <t>No.1 F.O. supply pump operating timer(houurs)</t>
    <phoneticPr fontId="1" type="noConversion"/>
  </si>
  <si>
    <t>No.1 F.O. supply pump operating timer(minutes)</t>
    <phoneticPr fontId="1" type="noConversion"/>
  </si>
  <si>
    <t>No.1 F.O. supply pump operating timer(seconds)</t>
    <phoneticPr fontId="1" type="noConversion"/>
  </si>
  <si>
    <t>FOSPump2OpTimeHour</t>
    <phoneticPr fontId="1" type="noConversion"/>
  </si>
  <si>
    <t>FOSPump2OpTimeMin</t>
    <phoneticPr fontId="1" type="noConversion"/>
  </si>
  <si>
    <t>FOSPump2OpTimeSec</t>
    <phoneticPr fontId="1" type="noConversion"/>
  </si>
  <si>
    <t>IndvLftm</t>
  </si>
  <si>
    <t>IndvLftm</t>
    <phoneticPr fontId="1" type="noConversion"/>
  </si>
  <si>
    <t>FOSPump2OpTime</t>
  </si>
  <si>
    <t>FOSPump1OpTime</t>
    <phoneticPr fontId="1" type="noConversion"/>
  </si>
  <si>
    <t>FOSPumpTotOpTimeHour</t>
    <phoneticPr fontId="1" type="noConversion"/>
  </si>
  <si>
    <t>FOSPumpTotOpTime</t>
    <phoneticPr fontId="1" type="noConversion"/>
  </si>
  <si>
    <t>FOSPumpTotOpTimeMin</t>
    <phoneticPr fontId="1" type="noConversion"/>
  </si>
  <si>
    <t>FOSPumpTotOpTimeSec</t>
    <phoneticPr fontId="1" type="noConversion"/>
  </si>
  <si>
    <t>MOCSLftm</t>
  </si>
  <si>
    <t>MOCSLftm</t>
    <phoneticPr fontId="1" type="noConversion"/>
  </si>
  <si>
    <t>FOSPumpLftm</t>
    <phoneticPr fontId="1" type="noConversion"/>
  </si>
  <si>
    <t>Reset operating time after MOC replacement.
(Recommended service life: 8,000 hr)
Access level C allows reset only.</t>
    <phoneticPr fontId="1" type="noConversion"/>
  </si>
  <si>
    <t>Reset operating time after S-trap replacement.
(Recommended service life: 3E+7 hr)
Access level C allows reset only.</t>
    <phoneticPr fontId="1" type="noConversion"/>
  </si>
  <si>
    <t>Reset operating time after No.1 F.O. Supply Pump replacement.
Access level C allows reset only.</t>
    <phoneticPr fontId="1" type="noConversion"/>
  </si>
  <si>
    <t>E(C)</t>
    <phoneticPr fontId="1" type="noConversion"/>
  </si>
  <si>
    <r>
      <t xml:space="preserve">Exhaust gas flow rate at Engine load 0(StrapEGFlowrate </t>
    </r>
    <r>
      <rPr>
        <sz val="12"/>
        <rFont val="Arial Unicode MS"/>
        <family val="2"/>
        <charset val="129"/>
      </rPr>
      <t>과 다른값?)</t>
    </r>
    <phoneticPr fontId="1" type="noConversion"/>
  </si>
  <si>
    <t>26.04.06</t>
    <phoneticPr fontId="1" type="noConversion"/>
  </si>
  <si>
    <t>rpm</t>
    <phoneticPr fontId="1" type="noConversion"/>
  </si>
  <si>
    <t>D</t>
    <phoneticPr fontId="1" type="noConversion"/>
  </si>
  <si>
    <t>EGStartSpd</t>
    <phoneticPr fontId="1" type="noConversion"/>
  </si>
  <si>
    <t>EGSpdFlag</t>
    <phoneticPr fontId="1" type="noConversion"/>
  </si>
  <si>
    <t>Engine start detection speed</t>
    <phoneticPr fontId="1" type="noConversion"/>
  </si>
  <si>
    <t>EGRunSpd</t>
    <phoneticPr fontId="1" type="noConversion"/>
  </si>
  <si>
    <t>Engine running detection speed</t>
    <phoneticPr fontId="1" type="noConversion"/>
  </si>
  <si>
    <t>MSSNormalFallingHysteresis</t>
    <phoneticPr fontId="1" type="noConversion"/>
  </si>
  <si>
    <t>MSSNormalFallingDelay</t>
    <phoneticPr fontId="1" type="noConversion"/>
  </si>
  <si>
    <t>MovAvgPeriod</t>
    <phoneticPr fontId="1" type="noConversion"/>
  </si>
  <si>
    <t>ComparePoint</t>
    <phoneticPr fontId="1" type="noConversion"/>
  </si>
  <si>
    <t>LoadChangeThreshold</t>
    <phoneticPr fontId="1" type="noConversion"/>
  </si>
  <si>
    <t>TMBFlagFallingDelay</t>
    <phoneticPr fontId="1" type="noConversion"/>
  </si>
  <si>
    <t>HUActiveTemp</t>
    <phoneticPr fontId="1" type="noConversion"/>
  </si>
  <si>
    <t>FOCoolDuration</t>
    <phoneticPr fontId="1" type="noConversion"/>
  </si>
  <si>
    <t>SolVVDelay</t>
    <phoneticPr fontId="1" type="noConversion"/>
  </si>
  <si>
    <t>LowRefQFOTimeout</t>
    <phoneticPr fontId="1" type="noConversion"/>
  </si>
  <si>
    <t>QFOLowLimitTimeout</t>
    <phoneticPr fontId="1" type="noConversion"/>
  </si>
  <si>
    <t>SFFlowrateThHigh</t>
    <phoneticPr fontId="1" type="noConversion"/>
  </si>
  <si>
    <t>SFFlowrateThLow</t>
    <phoneticPr fontId="1" type="noConversion"/>
  </si>
  <si>
    <t>QFOHighLimitGain</t>
    <phoneticPr fontId="1" type="noConversion"/>
  </si>
  <si>
    <t>QFOHighLimitMin</t>
    <phoneticPr fontId="1" type="noConversion"/>
  </si>
  <si>
    <t>QFOLowLimitValue</t>
    <phoneticPr fontId="1" type="noConversion"/>
  </si>
  <si>
    <t>FOCValHighLimitValue</t>
    <phoneticPr fontId="1" type="noConversion"/>
  </si>
  <si>
    <t>FOCValLowLimitValue</t>
    <phoneticPr fontId="1" type="noConversion"/>
  </si>
  <si>
    <t>FOReturnDelay</t>
    <phoneticPr fontId="1" type="noConversion"/>
  </si>
  <si>
    <t>FOSPMaxOpTime</t>
    <phoneticPr fontId="1" type="noConversion"/>
  </si>
  <si>
    <t>FOSPChangeOverDelay</t>
    <phoneticPr fontId="1" type="noConversion"/>
  </si>
  <si>
    <t>ValveStatusCriteria</t>
    <phoneticPr fontId="1" type="noConversion"/>
  </si>
  <si>
    <t>m^3</t>
    <phoneticPr fontId="1" type="noConversion"/>
  </si>
  <si>
    <t>HeatLossTemp</t>
    <phoneticPr fontId="1" type="noConversion"/>
  </si>
  <si>
    <t>FeefEGLoad1</t>
    <phoneticPr fontId="1" type="noConversion"/>
  </si>
  <si>
    <t>FeefEGLoad2</t>
    <phoneticPr fontId="1" type="noConversion"/>
  </si>
  <si>
    <t>FeefEGLoad3</t>
    <phoneticPr fontId="1" type="noConversion"/>
  </si>
  <si>
    <t>FeefEGLoad4</t>
    <phoneticPr fontId="1" type="noConversion"/>
  </si>
  <si>
    <t>FeefEGLoad5</t>
    <phoneticPr fontId="1" type="noConversion"/>
  </si>
  <si>
    <t>FeefEGLoad6</t>
    <phoneticPr fontId="1" type="noConversion"/>
  </si>
  <si>
    <t>FeefEGLoad7</t>
    <phoneticPr fontId="1" type="noConversion"/>
  </si>
  <si>
    <t>FeefEGLoad8</t>
    <phoneticPr fontId="1" type="noConversion"/>
  </si>
  <si>
    <t>FeefEGLoad9</t>
    <phoneticPr fontId="1" type="noConversion"/>
  </si>
  <si>
    <t>FeefEGLoad10</t>
    <phoneticPr fontId="1" type="noConversion"/>
  </si>
  <si>
    <t>FeefEGLoad11</t>
    <phoneticPr fontId="1" type="noConversion"/>
  </si>
  <si>
    <t>FeefExhFlowrate1</t>
    <phoneticPr fontId="1" type="noConversion"/>
  </si>
  <si>
    <t>FeefExhFlowrate2</t>
    <phoneticPr fontId="1" type="noConversion"/>
  </si>
  <si>
    <t>FeefExhFlowrate3</t>
    <phoneticPr fontId="1" type="noConversion"/>
  </si>
  <si>
    <t>FeefExhFlowrate4</t>
    <phoneticPr fontId="1" type="noConversion"/>
  </si>
  <si>
    <t>FeefExhFlowrate5</t>
    <phoneticPr fontId="1" type="noConversion"/>
  </si>
  <si>
    <t>FeefExhFlowrate6</t>
    <phoneticPr fontId="1" type="noConversion"/>
  </si>
  <si>
    <t>FeefExhFlowrate7</t>
    <phoneticPr fontId="1" type="noConversion"/>
  </si>
  <si>
    <t>FeefExhFlowrate8</t>
    <phoneticPr fontId="1" type="noConversion"/>
  </si>
  <si>
    <t>FeefExhFlowrate9</t>
    <phoneticPr fontId="1" type="noConversion"/>
  </si>
  <si>
    <t>FeefExhFlowrate10</t>
    <phoneticPr fontId="1" type="noConversion"/>
  </si>
  <si>
    <t>FeefExhFlowrate11</t>
    <phoneticPr fontId="1" type="noConversion"/>
  </si>
  <si>
    <t>InjPipInletRefTemp1</t>
    <phoneticPr fontId="1" type="noConversion"/>
  </si>
  <si>
    <t>InjPipInletRefTemp2</t>
    <phoneticPr fontId="1" type="noConversion"/>
  </si>
  <si>
    <t>InjPipInletRefTemp3</t>
    <phoneticPr fontId="1" type="noConversion"/>
  </si>
  <si>
    <t>InjPipInletRefTemp4</t>
    <phoneticPr fontId="1" type="noConversion"/>
  </si>
  <si>
    <t>InjPipInletRefTemp5</t>
    <phoneticPr fontId="1" type="noConversion"/>
  </si>
  <si>
    <t>InjPipInletRefTemp6</t>
    <phoneticPr fontId="1" type="noConversion"/>
  </si>
  <si>
    <t>InjPipInletRefTemp7</t>
    <phoneticPr fontId="1" type="noConversion"/>
  </si>
  <si>
    <t>InjPipInletRefTemp8</t>
    <phoneticPr fontId="1" type="noConversion"/>
  </si>
  <si>
    <t>InjPipInletRefTemp9</t>
    <phoneticPr fontId="1" type="noConversion"/>
  </si>
  <si>
    <t>InjPipInletRefTemp10</t>
    <phoneticPr fontId="1" type="noConversion"/>
  </si>
  <si>
    <t>InjPipInletRefTemp11</t>
    <phoneticPr fontId="1" type="noConversion"/>
  </si>
  <si>
    <t>CorrFact1</t>
    <phoneticPr fontId="1" type="noConversion"/>
  </si>
  <si>
    <t>CorrFact2</t>
    <phoneticPr fontId="1" type="noConversion"/>
  </si>
  <si>
    <t>CorrFact3</t>
    <phoneticPr fontId="1" type="noConversion"/>
  </si>
  <si>
    <t>CorrFact4</t>
    <phoneticPr fontId="1" type="noConversion"/>
  </si>
  <si>
    <t>CorrFact5</t>
    <phoneticPr fontId="1" type="noConversion"/>
  </si>
  <si>
    <t>CorrFact6</t>
    <phoneticPr fontId="1" type="noConversion"/>
  </si>
  <si>
    <t>CorrFact7</t>
    <phoneticPr fontId="1" type="noConversion"/>
  </si>
  <si>
    <t>CorrFact8</t>
    <phoneticPr fontId="1" type="noConversion"/>
  </si>
  <si>
    <t>CorrFact9</t>
    <phoneticPr fontId="1" type="noConversion"/>
  </si>
  <si>
    <t>CorrFact10</t>
    <phoneticPr fontId="1" type="noConversion"/>
  </si>
  <si>
    <t>CorrFact11</t>
    <phoneticPr fontId="1" type="noConversion"/>
  </si>
  <si>
    <t>MOCSTempPgain1</t>
    <phoneticPr fontId="1" type="noConversion"/>
  </si>
  <si>
    <t>MOCSTempPgain2</t>
    <phoneticPr fontId="1" type="noConversion"/>
  </si>
  <si>
    <t>MOCSTempPgain3</t>
    <phoneticPr fontId="1" type="noConversion"/>
  </si>
  <si>
    <t>MOCSTempPgain4</t>
    <phoneticPr fontId="1" type="noConversion"/>
  </si>
  <si>
    <t>MOCSTempPgain5</t>
    <phoneticPr fontId="1" type="noConversion"/>
  </si>
  <si>
    <t>MOCSTempPgain6</t>
    <phoneticPr fontId="1" type="noConversion"/>
  </si>
  <si>
    <t>MOCSTempPgain7</t>
    <phoneticPr fontId="1" type="noConversion"/>
  </si>
  <si>
    <t>MOCSTempPgain8</t>
    <phoneticPr fontId="1" type="noConversion"/>
  </si>
  <si>
    <t>MOCSTempPgain9</t>
    <phoneticPr fontId="1" type="noConversion"/>
  </si>
  <si>
    <t>MOCSTempPgain10</t>
    <phoneticPr fontId="1" type="noConversion"/>
  </si>
  <si>
    <t>MOCSTempPgain11</t>
    <phoneticPr fontId="1" type="noConversion"/>
  </si>
  <si>
    <t>MOCSTempIgain</t>
    <phoneticPr fontId="1" type="noConversion"/>
  </si>
  <si>
    <t>MOCSTempDgain</t>
    <phoneticPr fontId="1" type="noConversion"/>
  </si>
  <si>
    <t>MOCSTempNoiseSup</t>
    <phoneticPr fontId="1" type="noConversion"/>
  </si>
  <si>
    <t>QFOPgain</t>
    <phoneticPr fontId="1" type="noConversion"/>
  </si>
  <si>
    <t>QFOIgain</t>
    <phoneticPr fontId="1" type="noConversion"/>
  </si>
  <si>
    <t>QFODgain</t>
    <phoneticPr fontId="1" type="noConversion"/>
  </si>
  <si>
    <t>QFONoiseSup</t>
    <phoneticPr fontId="1" type="noConversion"/>
  </si>
  <si>
    <t>StrapEGLoad1</t>
    <phoneticPr fontId="1" type="noConversion"/>
  </si>
  <si>
    <t>StrapEGLoad2</t>
    <phoneticPr fontId="1" type="noConversion"/>
  </si>
  <si>
    <t>StrapEGLoad3</t>
    <phoneticPr fontId="1" type="noConversion"/>
  </si>
  <si>
    <t>StrapEGLoad4</t>
    <phoneticPr fontId="1" type="noConversion"/>
  </si>
  <si>
    <t>StrapEGFlowrate1</t>
    <phoneticPr fontId="1" type="noConversion"/>
  </si>
  <si>
    <t>StrapEGFlowrate2</t>
    <phoneticPr fontId="1" type="noConversion"/>
  </si>
  <si>
    <t>StrapEGFlowrate3</t>
    <phoneticPr fontId="1" type="noConversion"/>
  </si>
  <si>
    <t>StrapEGFlowrate4</t>
    <phoneticPr fontId="1" type="noConversion"/>
  </si>
  <si>
    <t>EGMPCnsm1</t>
    <phoneticPr fontId="1" type="noConversion"/>
  </si>
  <si>
    <t>EGMPCnsm2</t>
    <phoneticPr fontId="1" type="noConversion"/>
  </si>
  <si>
    <t>EGMPCnsm3</t>
    <phoneticPr fontId="1" type="noConversion"/>
  </si>
  <si>
    <t>EGMPCnsm4</t>
    <phoneticPr fontId="1" type="noConversion"/>
  </si>
  <si>
    <t>MOCSMPCnsm1</t>
    <phoneticPr fontId="1" type="noConversion"/>
  </si>
  <si>
    <t>MOCSMPCnsm2</t>
    <phoneticPr fontId="1" type="noConversion"/>
  </si>
  <si>
    <t>MOCSMPCnsm3</t>
    <phoneticPr fontId="1" type="noConversion"/>
  </si>
  <si>
    <t>MOCSMPCnsm4</t>
    <phoneticPr fontId="1" type="noConversion"/>
  </si>
  <si>
    <t>NumGE</t>
    <phoneticPr fontId="1" type="noConversion"/>
  </si>
  <si>
    <t>1. Varaible Name 재검토, 검토 필요한 Variable 표시
2. Access Right, Access Level 정의 및 Parameter 별 권한 설정</t>
    <phoneticPr fontId="1" type="noConversion"/>
  </si>
  <si>
    <t>GasFuelFlag</t>
    <phoneticPr fontId="1" type="noConversion"/>
  </si>
  <si>
    <t>Diesel actuator rack position</t>
    <phoneticPr fontId="1" type="noConversion"/>
  </si>
  <si>
    <t>DieselActrRackPos</t>
    <phoneticPr fontId="1" type="noConversion"/>
  </si>
  <si>
    <t>MOCSMinEGLoad</t>
    <phoneticPr fontId="1" type="noConversion"/>
  </si>
  <si>
    <t>MOCSReadyEGLoad</t>
    <phoneticPr fontId="1" type="noConversion"/>
  </si>
  <si>
    <t>R0.03</t>
    <phoneticPr fontId="1" type="noConversion"/>
  </si>
  <si>
    <t>WrmUpInjPipTemp</t>
    <phoneticPr fontId="1" type="noConversion"/>
  </si>
  <si>
    <t>Injection pipe inlet Temp &gt; [WrmUpInjPipTemp]</t>
    <phoneticPr fontId="1" type="noConversion"/>
  </si>
  <si>
    <t>WrmUpChmbInlTemp</t>
    <phoneticPr fontId="1" type="noConversion"/>
  </si>
  <si>
    <t>WrmUpChmbOutlTemp</t>
    <phoneticPr fontId="1" type="noConversion"/>
  </si>
  <si>
    <t>WrmUpChmbMidTemp</t>
    <phoneticPr fontId="1" type="noConversion"/>
  </si>
  <si>
    <t>WrmUpDiffTemp</t>
    <phoneticPr fontId="1" type="noConversion"/>
  </si>
  <si>
    <t>Chamber Inlet01 Temp &gt; [WrmUpChmbInlTemp]</t>
    <phoneticPr fontId="1" type="noConversion"/>
  </si>
  <si>
    <t>Chamber Mid01 Temp &gt; [WrmUpChmbMidTemp]</t>
    <phoneticPr fontId="1" type="noConversion"/>
  </si>
  <si>
    <t>Chamber Outlet01 Temp &gt; [WrmUpChmbOutlTemp]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</si>
</sst>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2"/>
      <name val="Arial Unicode MS"/>
      <family val="2"/>
      <charset val="129"/>
    </font>
    <font>
      <sz val="12"/>
      <name val="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2" fillId="0" borderId="7"/>
  </cellStyleXfs>
  <cellXfs count="222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0" xfId="0" applyNumberFormat="1" applyFont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6" xfId="0" applyNumberFormat="1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7" xfId="0" applyFont="1" applyBorder="1" applyAlignment="1">
      <alignment vertical="center" shrinkToFit="1"/>
    </xf>
    <xf numFmtId="0" fontId="2" fillId="0" borderId="17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18" xfId="0" applyFont="1" applyBorder="1" applyAlignment="1">
      <alignment vertical="center" shrinkToFit="1"/>
    </xf>
    <xf numFmtId="0" fontId="2" fillId="0" borderId="18" xfId="0" applyNumberFormat="1" applyFont="1" applyBorder="1" applyAlignment="1">
      <alignment horizontal="center" vertical="center" shrinkToFit="1"/>
    </xf>
    <xf numFmtId="0" fontId="2" fillId="0" borderId="20" xfId="0" applyFont="1" applyBorder="1" applyAlignment="1">
      <alignment vertical="center" shrinkToFit="1"/>
    </xf>
    <xf numFmtId="0" fontId="2" fillId="0" borderId="20" xfId="0" applyNumberFormat="1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23" xfId="0" applyFont="1" applyBorder="1" applyAlignment="1">
      <alignment vertical="center" shrinkToFit="1"/>
    </xf>
    <xf numFmtId="0" fontId="2" fillId="0" borderId="23" xfId="0" applyNumberFormat="1" applyFont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7" xfId="0" applyFont="1" applyBorder="1">
      <alignment vertical="center"/>
    </xf>
    <xf numFmtId="0" fontId="2" fillId="0" borderId="6" xfId="0" applyFont="1" applyBorder="1" applyAlignment="1">
      <alignment vertical="center" shrinkToFit="1"/>
    </xf>
    <xf numFmtId="0" fontId="2" fillId="0" borderId="15" xfId="0" applyFont="1" applyFill="1" applyBorder="1" applyAlignment="1">
      <alignment horizontal="center" vertical="center" shrinkToFit="1"/>
    </xf>
    <xf numFmtId="0" fontId="2" fillId="0" borderId="15" xfId="0" applyFont="1" applyFill="1" applyBorder="1" applyAlignment="1">
      <alignment vertical="center" shrinkToFit="1"/>
    </xf>
    <xf numFmtId="0" fontId="2" fillId="0" borderId="15" xfId="0" applyNumberFormat="1" applyFont="1" applyFill="1" applyBorder="1" applyAlignment="1">
      <alignment horizontal="center" vertical="center" shrinkToFit="1"/>
    </xf>
    <xf numFmtId="0" fontId="2" fillId="0" borderId="48" xfId="0" applyFont="1" applyBorder="1" applyAlignment="1">
      <alignment vertical="center" shrinkToFit="1"/>
    </xf>
    <xf numFmtId="0" fontId="2" fillId="0" borderId="49" xfId="0" applyFont="1" applyBorder="1" applyAlignment="1">
      <alignment vertical="center" shrinkToFit="1"/>
    </xf>
    <xf numFmtId="0" fontId="2" fillId="0" borderId="50" xfId="0" applyFont="1" applyBorder="1" applyAlignment="1">
      <alignment vertical="center" shrinkToFit="1"/>
    </xf>
    <xf numFmtId="0" fontId="2" fillId="0" borderId="51" xfId="0" applyFont="1" applyFill="1" applyBorder="1" applyAlignment="1">
      <alignment vertical="center" shrinkToFit="1"/>
    </xf>
    <xf numFmtId="0" fontId="2" fillId="0" borderId="52" xfId="0" applyFont="1" applyBorder="1" applyAlignment="1">
      <alignment vertical="center" shrinkToFit="1"/>
    </xf>
    <xf numFmtId="0" fontId="2" fillId="0" borderId="53" xfId="0" applyFont="1" applyBorder="1" applyAlignment="1">
      <alignment vertical="center" shrinkToFit="1"/>
    </xf>
    <xf numFmtId="0" fontId="2" fillId="0" borderId="54" xfId="0" applyFont="1" applyBorder="1" applyAlignment="1">
      <alignment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33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vertical="center" shrinkToFit="1"/>
    </xf>
    <xf numFmtId="0" fontId="7" fillId="0" borderId="0" xfId="0" applyFont="1">
      <alignment vertical="center"/>
    </xf>
    <xf numFmtId="0" fontId="3" fillId="0" borderId="4" xfId="0" applyFont="1" applyFill="1" applyBorder="1" applyAlignment="1">
      <alignment horizontal="center" vertical="center" shrinkToFit="1"/>
    </xf>
    <xf numFmtId="0" fontId="2" fillId="0" borderId="34" xfId="0" applyFont="1" applyFill="1" applyBorder="1" applyAlignment="1">
      <alignment horizontal="center" vertical="center" shrinkToFit="1"/>
    </xf>
    <xf numFmtId="0" fontId="2" fillId="0" borderId="34" xfId="0" applyFont="1" applyFill="1" applyBorder="1" applyAlignment="1">
      <alignment horizontal="center" vertical="center" wrapText="1" shrinkToFit="1"/>
    </xf>
    <xf numFmtId="0" fontId="2" fillId="0" borderId="35" xfId="0" applyFont="1" applyFill="1" applyBorder="1" applyAlignment="1">
      <alignment horizontal="center" vertical="center" shrinkToFit="1"/>
    </xf>
    <xf numFmtId="0" fontId="2" fillId="0" borderId="35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shrinkToFit="1"/>
    </xf>
    <xf numFmtId="0" fontId="2" fillId="0" borderId="0" xfId="0" applyFont="1" applyFill="1" applyAlignment="1">
      <alignment horizontal="center" vertical="center" shrinkToFit="1"/>
    </xf>
    <xf numFmtId="0" fontId="2" fillId="0" borderId="0" xfId="0" applyNumberFormat="1" applyFont="1" applyFill="1" applyAlignment="1">
      <alignment horizontal="center" vertical="center" shrinkToFit="1"/>
    </xf>
    <xf numFmtId="0" fontId="2" fillId="0" borderId="22" xfId="0" applyFont="1" applyFill="1" applyBorder="1" applyAlignment="1">
      <alignment horizontal="center" vertical="center" shrinkToFit="1"/>
    </xf>
    <xf numFmtId="0" fontId="2" fillId="0" borderId="56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3" fillId="0" borderId="55" xfId="0" applyFont="1" applyFill="1" applyBorder="1" applyAlignment="1">
      <alignment horizontal="center" vertical="center" shrinkToFit="1"/>
    </xf>
    <xf numFmtId="0" fontId="2" fillId="0" borderId="37" xfId="0" applyFont="1" applyFill="1" applyBorder="1" applyAlignment="1">
      <alignment horizontal="center" vertical="center" shrinkToFit="1"/>
    </xf>
    <xf numFmtId="0" fontId="2" fillId="0" borderId="37" xfId="0" applyFont="1" applyFill="1" applyBorder="1" applyAlignment="1">
      <alignment horizontal="center" vertical="center" wrapText="1" shrinkToFit="1"/>
    </xf>
    <xf numFmtId="0" fontId="2" fillId="0" borderId="34" xfId="0" applyFont="1" applyFill="1" applyBorder="1" applyAlignment="1">
      <alignment vertical="center" wrapText="1" shrinkToFit="1"/>
    </xf>
    <xf numFmtId="0" fontId="2" fillId="0" borderId="35" xfId="0" applyFont="1" applyFill="1" applyBorder="1" applyAlignment="1">
      <alignment vertical="center" wrapText="1" shrinkToFit="1"/>
    </xf>
    <xf numFmtId="0" fontId="2" fillId="0" borderId="37" xfId="0" applyFont="1" applyFill="1" applyBorder="1" applyAlignment="1">
      <alignment vertical="center" wrapText="1" shrinkToFit="1"/>
    </xf>
    <xf numFmtId="0" fontId="2" fillId="0" borderId="35" xfId="0" applyFont="1" applyFill="1" applyBorder="1" applyAlignment="1">
      <alignment vertical="center" shrinkToFit="1"/>
    </xf>
    <xf numFmtId="0" fontId="3" fillId="0" borderId="0" xfId="0" applyFont="1" applyFill="1" applyAlignment="1">
      <alignment vertical="center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37" xfId="0" applyFont="1" applyFill="1" applyBorder="1" applyAlignment="1">
      <alignment vertical="center" shrinkToFit="1"/>
    </xf>
    <xf numFmtId="0" fontId="2" fillId="0" borderId="67" xfId="0" applyFont="1" applyFill="1" applyBorder="1" applyAlignment="1">
      <alignment vertical="center" shrinkToFit="1"/>
    </xf>
    <xf numFmtId="0" fontId="2" fillId="2" borderId="0" xfId="0" applyFont="1" applyFill="1" applyBorder="1" applyAlignment="1">
      <alignment vertical="center" shrinkToFit="1"/>
    </xf>
    <xf numFmtId="0" fontId="2" fillId="2" borderId="0" xfId="0" applyFont="1" applyFill="1" applyBorder="1" applyAlignment="1">
      <alignment horizontal="center" vertical="center" shrinkToFit="1"/>
    </xf>
    <xf numFmtId="0" fontId="2" fillId="2" borderId="0" xfId="0" applyNumberFormat="1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2" fillId="3" borderId="35" xfId="0" applyFont="1" applyFill="1" applyBorder="1" applyAlignment="1">
      <alignment horizontal="center" vertical="center" shrinkToFit="1"/>
    </xf>
    <xf numFmtId="0" fontId="2" fillId="3" borderId="56" xfId="0" applyFont="1" applyFill="1" applyBorder="1" applyAlignment="1">
      <alignment horizontal="center" vertical="center" shrinkToFit="1"/>
    </xf>
    <xf numFmtId="0" fontId="2" fillId="3" borderId="35" xfId="0" applyFont="1" applyFill="1" applyBorder="1" applyAlignment="1">
      <alignment horizontal="center" vertical="center" wrapText="1" shrinkToFit="1"/>
    </xf>
    <xf numFmtId="0" fontId="2" fillId="3" borderId="35" xfId="0" applyFont="1" applyFill="1" applyBorder="1" applyAlignment="1">
      <alignment vertical="center" wrapText="1" shrinkToFit="1"/>
    </xf>
    <xf numFmtId="0" fontId="2" fillId="3" borderId="0" xfId="0" applyFont="1" applyFill="1" applyAlignment="1">
      <alignment vertical="center" shrinkToFit="1"/>
    </xf>
    <xf numFmtId="0" fontId="2" fillId="3" borderId="35" xfId="0" applyFont="1" applyFill="1" applyBorder="1" applyAlignment="1">
      <alignment vertical="center" shrinkToFit="1"/>
    </xf>
    <xf numFmtId="0" fontId="2" fillId="0" borderId="68" xfId="0" applyFont="1" applyFill="1" applyBorder="1" applyAlignment="1">
      <alignment horizontal="center" vertical="center" shrinkToFit="1"/>
    </xf>
    <xf numFmtId="0" fontId="2" fillId="0" borderId="23" xfId="0" applyFont="1" applyFill="1" applyBorder="1" applyAlignment="1">
      <alignment horizontal="left" vertical="center" shrinkToFit="1"/>
    </xf>
    <xf numFmtId="0" fontId="2" fillId="0" borderId="23" xfId="0" applyFont="1" applyFill="1" applyBorder="1" applyAlignment="1">
      <alignment vertical="center" shrinkToFit="1"/>
    </xf>
    <xf numFmtId="0" fontId="2" fillId="0" borderId="23" xfId="0" applyNumberFormat="1" applyFont="1" applyFill="1" applyBorder="1" applyAlignment="1">
      <alignment horizontal="center" vertical="center" shrinkToFit="1"/>
    </xf>
    <xf numFmtId="0" fontId="2" fillId="0" borderId="23" xfId="0" applyFont="1" applyFill="1" applyBorder="1" applyAlignment="1">
      <alignment horizontal="center" vertical="center" shrinkToFit="1"/>
    </xf>
    <xf numFmtId="0" fontId="2" fillId="0" borderId="48" xfId="0" applyFont="1" applyFill="1" applyBorder="1" applyAlignment="1">
      <alignment horizontal="center" vertical="center" shrinkToFit="1"/>
    </xf>
    <xf numFmtId="0" fontId="2" fillId="3" borderId="70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left" vertical="center" shrinkToFit="1"/>
    </xf>
    <xf numFmtId="0" fontId="10" fillId="3" borderId="16" xfId="0" applyFont="1" applyFill="1" applyBorder="1" applyAlignment="1">
      <alignment vertical="center" shrinkToFit="1"/>
    </xf>
    <xf numFmtId="0" fontId="2" fillId="3" borderId="16" xfId="0" applyNumberFormat="1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 shrinkToFit="1"/>
    </xf>
    <xf numFmtId="0" fontId="2" fillId="3" borderId="52" xfId="0" applyFont="1" applyFill="1" applyBorder="1" applyAlignment="1">
      <alignment horizontal="center" vertical="center" shrinkToFit="1"/>
    </xf>
    <xf numFmtId="0" fontId="2" fillId="0" borderId="70" xfId="0" applyFont="1" applyFill="1" applyBorder="1" applyAlignment="1">
      <alignment horizontal="center" vertical="center" shrinkToFit="1"/>
    </xf>
    <xf numFmtId="0" fontId="2" fillId="0" borderId="16" xfId="0" applyFont="1" applyFill="1" applyBorder="1" applyAlignment="1">
      <alignment horizontal="left" vertical="center" shrinkToFit="1"/>
    </xf>
    <xf numFmtId="0" fontId="2" fillId="0" borderId="16" xfId="0" applyNumberFormat="1" applyFont="1" applyFill="1" applyBorder="1" applyAlignment="1">
      <alignment horizontal="center" vertical="center" shrinkToFit="1"/>
    </xf>
    <xf numFmtId="0" fontId="2" fillId="0" borderId="16" xfId="0" applyFont="1" applyFill="1" applyBorder="1" applyAlignment="1">
      <alignment horizontal="center" vertical="center" shrinkToFit="1"/>
    </xf>
    <xf numFmtId="0" fontId="2" fillId="0" borderId="52" xfId="0" applyFont="1" applyFill="1" applyBorder="1" applyAlignment="1">
      <alignment horizontal="center" vertical="center" shrinkToFit="1"/>
    </xf>
    <xf numFmtId="0" fontId="2" fillId="0" borderId="16" xfId="0" applyFont="1" applyFill="1" applyBorder="1" applyAlignment="1">
      <alignment vertical="center" shrinkToFit="1"/>
    </xf>
    <xf numFmtId="0" fontId="2" fillId="0" borderId="73" xfId="0" applyFont="1" applyFill="1" applyBorder="1" applyAlignment="1">
      <alignment horizontal="center" vertical="center" shrinkToFit="1"/>
    </xf>
    <xf numFmtId="0" fontId="2" fillId="0" borderId="19" xfId="0" applyFont="1" applyFill="1" applyBorder="1" applyAlignment="1">
      <alignment horizontal="left" vertical="center" shrinkToFit="1"/>
    </xf>
    <xf numFmtId="0" fontId="2" fillId="0" borderId="19" xfId="0" applyFont="1" applyFill="1" applyBorder="1" applyAlignment="1">
      <alignment vertical="center" shrinkToFit="1"/>
    </xf>
    <xf numFmtId="0" fontId="2" fillId="0" borderId="19" xfId="0" applyNumberFormat="1" applyFont="1" applyFill="1" applyBorder="1" applyAlignment="1">
      <alignment horizontal="center" vertical="center" shrinkToFit="1"/>
    </xf>
    <xf numFmtId="0" fontId="2" fillId="0" borderId="19" xfId="0" applyFont="1" applyFill="1" applyBorder="1" applyAlignment="1">
      <alignment horizontal="center" vertical="center" shrinkToFit="1"/>
    </xf>
    <xf numFmtId="0" fontId="2" fillId="0" borderId="75" xfId="0" applyFont="1" applyFill="1" applyBorder="1" applyAlignment="1">
      <alignment horizontal="center" vertical="center" shrinkToFit="1"/>
    </xf>
    <xf numFmtId="0" fontId="2" fillId="3" borderId="76" xfId="0" applyFont="1" applyFill="1" applyBorder="1" applyAlignment="1">
      <alignment horizontal="center" vertical="center" shrinkToFit="1"/>
    </xf>
    <xf numFmtId="0" fontId="2" fillId="0" borderId="76" xfId="0" applyFont="1" applyFill="1" applyBorder="1" applyAlignment="1">
      <alignment horizontal="center" vertical="center" shrinkToFit="1"/>
    </xf>
    <xf numFmtId="0" fontId="2" fillId="0" borderId="77" xfId="0" applyFont="1" applyFill="1" applyBorder="1" applyAlignment="1">
      <alignment horizontal="center" vertical="center" shrinkToFit="1"/>
    </xf>
    <xf numFmtId="0" fontId="2" fillId="0" borderId="23" xfId="0" applyFont="1" applyFill="1" applyBorder="1" applyAlignment="1">
      <alignment horizontal="left" vertical="center" wrapText="1" shrinkToFit="1"/>
    </xf>
    <xf numFmtId="0" fontId="2" fillId="0" borderId="69" xfId="0" applyFont="1" applyFill="1" applyBorder="1" applyAlignment="1">
      <alignment horizontal="center" vertical="center" shrinkToFit="1"/>
    </xf>
    <xf numFmtId="0" fontId="2" fillId="0" borderId="16" xfId="0" applyFont="1" applyFill="1" applyBorder="1" applyAlignment="1">
      <alignment horizontal="left" vertical="center" wrapText="1" shrinkToFit="1"/>
    </xf>
    <xf numFmtId="0" fontId="2" fillId="0" borderId="71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left" vertical="center" wrapText="1" shrinkToFit="1"/>
    </xf>
    <xf numFmtId="0" fontId="2" fillId="3" borderId="71" xfId="0" applyFont="1" applyFill="1" applyBorder="1" applyAlignment="1">
      <alignment horizontal="center" vertical="center" shrinkToFit="1"/>
    </xf>
    <xf numFmtId="0" fontId="2" fillId="0" borderId="71" xfId="0" applyFont="1" applyFill="1" applyBorder="1" applyAlignment="1">
      <alignment horizontal="center" vertical="center" wrapText="1" shrinkToFit="1"/>
    </xf>
    <xf numFmtId="0" fontId="2" fillId="0" borderId="16" xfId="0" applyFont="1" applyFill="1" applyBorder="1" applyAlignment="1">
      <alignment vertical="center" wrapText="1" shrinkToFit="1"/>
    </xf>
    <xf numFmtId="0" fontId="2" fillId="0" borderId="28" xfId="0" applyNumberFormat="1" applyFont="1" applyFill="1" applyBorder="1" applyAlignment="1">
      <alignment horizontal="center" vertical="center" shrinkToFit="1"/>
    </xf>
    <xf numFmtId="0" fontId="4" fillId="0" borderId="71" xfId="0" applyFont="1" applyFill="1" applyBorder="1" applyAlignment="1">
      <alignment horizontal="center" vertical="center" shrinkToFit="1"/>
    </xf>
    <xf numFmtId="0" fontId="5" fillId="0" borderId="71" xfId="0" applyFont="1" applyFill="1" applyBorder="1" applyAlignment="1">
      <alignment horizontal="center" vertical="center" shrinkToFit="1"/>
    </xf>
    <xf numFmtId="0" fontId="2" fillId="0" borderId="74" xfId="0" applyFont="1" applyFill="1" applyBorder="1" applyAlignment="1">
      <alignment horizontal="center" vertical="center" shrinkToFit="1"/>
    </xf>
    <xf numFmtId="0" fontId="2" fillId="0" borderId="75" xfId="0" applyFont="1" applyFill="1" applyBorder="1" applyAlignment="1">
      <alignment vertical="center" shrinkToFit="1"/>
    </xf>
    <xf numFmtId="0" fontId="2" fillId="3" borderId="76" xfId="0" applyFont="1" applyFill="1" applyBorder="1" applyAlignment="1">
      <alignment vertical="center" shrinkToFit="1"/>
    </xf>
    <xf numFmtId="0" fontId="2" fillId="0" borderId="76" xfId="0" applyFont="1" applyFill="1" applyBorder="1" applyAlignment="1">
      <alignment vertical="center" shrinkToFit="1"/>
    </xf>
    <xf numFmtId="0" fontId="2" fillId="0" borderId="76" xfId="0" applyFont="1" applyFill="1" applyBorder="1" applyAlignment="1">
      <alignment vertical="center" wrapText="1" shrinkToFit="1"/>
    </xf>
    <xf numFmtId="0" fontId="3" fillId="0" borderId="78" xfId="0" applyFont="1" applyFill="1" applyBorder="1" applyAlignment="1">
      <alignment horizontal="center" vertical="center" shrinkToFit="1"/>
    </xf>
    <xf numFmtId="0" fontId="3" fillId="0" borderId="79" xfId="0" applyFont="1" applyFill="1" applyBorder="1" applyAlignment="1">
      <alignment horizontal="center" vertical="center" shrinkToFit="1"/>
    </xf>
    <xf numFmtId="0" fontId="2" fillId="0" borderId="25" xfId="0" applyFont="1" applyFill="1" applyBorder="1" applyAlignment="1">
      <alignment horizontal="center" vertical="center" shrinkToFit="1"/>
    </xf>
    <xf numFmtId="0" fontId="2" fillId="0" borderId="80" xfId="0" applyFont="1" applyFill="1" applyBorder="1" applyAlignment="1">
      <alignment horizontal="center" vertical="center" shrinkToFit="1"/>
    </xf>
    <xf numFmtId="0" fontId="2" fillId="0" borderId="72" xfId="0" applyFont="1" applyFill="1" applyBorder="1" applyAlignment="1">
      <alignment horizontal="center" vertical="center" shrinkToFit="1"/>
    </xf>
    <xf numFmtId="0" fontId="3" fillId="0" borderId="76" xfId="0" applyFont="1" applyFill="1" applyBorder="1" applyAlignment="1">
      <alignment horizontal="center" vertical="center" shrinkToFit="1"/>
    </xf>
    <xf numFmtId="0" fontId="3" fillId="0" borderId="76" xfId="0" applyFont="1" applyFill="1" applyBorder="1" applyAlignment="1">
      <alignment vertical="center" shrinkToFit="1"/>
    </xf>
    <xf numFmtId="0" fontId="3" fillId="0" borderId="77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horizontal="center" vertical="center" shrinkToFit="1"/>
    </xf>
    <xf numFmtId="0" fontId="2" fillId="0" borderId="0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vertical="center" shrinkToFit="1"/>
    </xf>
    <xf numFmtId="0" fontId="2" fillId="0" borderId="76" xfId="0" applyFont="1" applyFill="1" applyBorder="1" applyAlignment="1">
      <alignment horizontal="center" vertical="center" wrapText="1" shrinkToFit="1"/>
    </xf>
    <xf numFmtId="0" fontId="2" fillId="3" borderId="75" xfId="0" applyFont="1" applyFill="1" applyBorder="1" applyAlignment="1">
      <alignment horizontal="center" vertical="center" shrinkToFit="1"/>
    </xf>
    <xf numFmtId="0" fontId="2" fillId="3" borderId="68" xfId="0" applyFont="1" applyFill="1" applyBorder="1" applyAlignment="1">
      <alignment horizontal="center" vertical="center" shrinkToFit="1"/>
    </xf>
    <xf numFmtId="0" fontId="2" fillId="3" borderId="23" xfId="0" applyFont="1" applyFill="1" applyBorder="1" applyAlignment="1">
      <alignment horizontal="left" vertical="center" shrinkToFit="1"/>
    </xf>
    <xf numFmtId="0" fontId="2" fillId="3" borderId="23" xfId="0" applyFont="1" applyFill="1" applyBorder="1" applyAlignment="1">
      <alignment vertical="center" shrinkToFit="1"/>
    </xf>
    <xf numFmtId="0" fontId="2" fillId="3" borderId="23" xfId="0" applyNumberFormat="1" applyFont="1" applyFill="1" applyBorder="1" applyAlignment="1">
      <alignment horizontal="center" vertical="center" shrinkToFit="1"/>
    </xf>
    <xf numFmtId="0" fontId="2" fillId="3" borderId="23" xfId="0" applyFont="1" applyFill="1" applyBorder="1" applyAlignment="1">
      <alignment horizontal="center" vertical="center" shrinkToFit="1"/>
    </xf>
    <xf numFmtId="0" fontId="2" fillId="3" borderId="48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vertical="center" shrinkToFit="1"/>
    </xf>
    <xf numFmtId="0" fontId="2" fillId="3" borderId="16" xfId="0" applyFont="1" applyFill="1" applyBorder="1" applyAlignment="1">
      <alignment vertical="center" wrapText="1" shrinkToFit="1"/>
    </xf>
    <xf numFmtId="0" fontId="2" fillId="0" borderId="16" xfId="0" applyFont="1" applyFill="1" applyBorder="1" applyAlignment="1">
      <alignment horizontal="left" vertical="center" shrinkToFit="1"/>
    </xf>
    <xf numFmtId="0" fontId="2" fillId="0" borderId="81" xfId="0" applyFont="1" applyFill="1" applyBorder="1" applyAlignment="1">
      <alignment horizontal="center" vertical="center" shrinkToFit="1"/>
    </xf>
    <xf numFmtId="0" fontId="2" fillId="0" borderId="62" xfId="0" applyFont="1" applyFill="1" applyBorder="1" applyAlignment="1">
      <alignment horizontal="center" vertical="center" shrinkToFit="1"/>
    </xf>
    <xf numFmtId="0" fontId="2" fillId="3" borderId="69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2" borderId="64" xfId="0" applyFont="1" applyFill="1" applyBorder="1" applyAlignment="1">
      <alignment horizontal="center" vertical="center" wrapText="1"/>
    </xf>
    <xf numFmtId="0" fontId="7" fillId="2" borderId="65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 shrinkToFit="1"/>
    </xf>
    <xf numFmtId="0" fontId="3" fillId="0" borderId="36" xfId="0" applyFont="1" applyFill="1" applyBorder="1" applyAlignment="1">
      <alignment horizontal="center" vertical="center" shrinkToFit="1"/>
    </xf>
    <xf numFmtId="0" fontId="3" fillId="0" borderId="57" xfId="0" applyFont="1" applyFill="1" applyBorder="1" applyAlignment="1">
      <alignment horizontal="center" vertical="center" shrinkToFit="1"/>
    </xf>
    <xf numFmtId="0" fontId="3" fillId="0" borderId="58" xfId="0" applyFont="1" applyFill="1" applyBorder="1" applyAlignment="1">
      <alignment horizontal="center" vertical="center" shrinkToFit="1"/>
    </xf>
    <xf numFmtId="0" fontId="3" fillId="0" borderId="34" xfId="0" applyFont="1" applyFill="1" applyBorder="1" applyAlignment="1">
      <alignment horizontal="center" vertical="center" shrinkToFit="1"/>
    </xf>
    <xf numFmtId="0" fontId="3" fillId="0" borderId="59" xfId="0" applyFont="1" applyFill="1" applyBorder="1" applyAlignment="1">
      <alignment horizontal="center" vertical="center" shrinkToFit="1"/>
    </xf>
    <xf numFmtId="0" fontId="3" fillId="0" borderId="60" xfId="0" applyFont="1" applyFill="1" applyBorder="1" applyAlignment="1">
      <alignment horizontal="center" vertical="center" shrinkToFit="1"/>
    </xf>
    <xf numFmtId="0" fontId="3" fillId="0" borderId="61" xfId="0" applyFont="1" applyFill="1" applyBorder="1" applyAlignment="1">
      <alignment horizontal="center" vertical="center" shrinkToFit="1"/>
    </xf>
    <xf numFmtId="0" fontId="3" fillId="0" borderId="32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center" vertical="center" shrinkToFit="1"/>
    </xf>
    <xf numFmtId="0" fontId="3" fillId="0" borderId="62" xfId="0" applyFont="1" applyFill="1" applyBorder="1" applyAlignment="1">
      <alignment horizontal="center" vertical="center" wrapText="1" shrinkToFit="1"/>
    </xf>
    <xf numFmtId="0" fontId="3" fillId="0" borderId="63" xfId="0" applyFont="1" applyFill="1" applyBorder="1" applyAlignment="1">
      <alignment horizontal="center" vertical="center" shrinkToFit="1"/>
    </xf>
    <xf numFmtId="0" fontId="3" fillId="0" borderId="32" xfId="0" applyNumberFormat="1" applyFont="1" applyFill="1" applyBorder="1" applyAlignment="1">
      <alignment horizontal="center" vertical="center" wrapText="1" shrinkToFit="1"/>
    </xf>
    <xf numFmtId="0" fontId="3" fillId="0" borderId="14" xfId="0" applyNumberFormat="1" applyFont="1" applyFill="1" applyBorder="1" applyAlignment="1">
      <alignment horizontal="center" vertical="center" shrinkToFit="1"/>
    </xf>
    <xf numFmtId="0" fontId="3" fillId="0" borderId="32" xfId="0" applyNumberFormat="1" applyFont="1" applyFill="1" applyBorder="1" applyAlignment="1">
      <alignment horizontal="center" vertical="center" shrinkToFit="1"/>
    </xf>
    <xf numFmtId="0" fontId="2" fillId="0" borderId="16" xfId="0" applyFont="1" applyFill="1" applyBorder="1" applyAlignment="1">
      <alignment horizontal="left" vertical="center" shrinkToFit="1"/>
    </xf>
    <xf numFmtId="0" fontId="2" fillId="3" borderId="16" xfId="0" applyFont="1" applyFill="1" applyBorder="1" applyAlignment="1">
      <alignment vertical="center" shrinkToFit="1"/>
    </xf>
    <xf numFmtId="0" fontId="3" fillId="0" borderId="62" xfId="0" applyFont="1" applyFill="1" applyBorder="1" applyAlignment="1">
      <alignment horizontal="center" vertical="center" shrinkToFit="1"/>
    </xf>
    <xf numFmtId="0" fontId="2" fillId="3" borderId="19" xfId="0" applyFont="1" applyFill="1" applyBorder="1" applyAlignment="1">
      <alignment vertical="center" wrapText="1" shrinkToFit="1"/>
    </xf>
    <xf numFmtId="0" fontId="2" fillId="3" borderId="5" xfId="0" applyFont="1" applyFill="1" applyBorder="1" applyAlignment="1">
      <alignment vertical="center" shrinkToFit="1"/>
    </xf>
    <xf numFmtId="0" fontId="2" fillId="3" borderId="20" xfId="0" applyFont="1" applyFill="1" applyBorder="1" applyAlignment="1">
      <alignment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8" xfId="0" applyNumberFormat="1" applyFont="1" applyBorder="1" applyAlignment="1">
      <alignment horizontal="center" vertical="center" shrinkToFit="1"/>
    </xf>
    <xf numFmtId="0" fontId="2" fillId="0" borderId="11" xfId="0" applyNumberFormat="1" applyFont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top" wrapText="1" shrinkToFit="1"/>
    </xf>
    <xf numFmtId="0" fontId="3" fillId="0" borderId="40" xfId="0" applyFont="1" applyBorder="1" applyAlignment="1">
      <alignment horizontal="center" vertical="top" wrapText="1" shrinkToFit="1"/>
    </xf>
    <xf numFmtId="0" fontId="3" fillId="0" borderId="45" xfId="0" applyFont="1" applyBorder="1" applyAlignment="1">
      <alignment horizontal="center" vertical="top" wrapText="1" shrinkToFit="1"/>
    </xf>
    <xf numFmtId="0" fontId="3" fillId="0" borderId="24" xfId="0" applyFont="1" applyBorder="1" applyAlignment="1">
      <alignment horizontal="center" vertical="top" shrinkToFit="1"/>
    </xf>
    <xf numFmtId="0" fontId="3" fillId="0" borderId="41" xfId="0" applyFont="1" applyBorder="1" applyAlignment="1">
      <alignment horizontal="center" vertical="top" shrinkToFit="1"/>
    </xf>
    <xf numFmtId="0" fontId="3" fillId="0" borderId="25" xfId="0" applyFont="1" applyBorder="1" applyAlignment="1">
      <alignment horizontal="center" vertical="top" shrinkToFit="1"/>
    </xf>
    <xf numFmtId="0" fontId="3" fillId="0" borderId="26" xfId="0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shrinkToFit="1"/>
    </xf>
    <xf numFmtId="0" fontId="3" fillId="0" borderId="21" xfId="0" applyFont="1" applyBorder="1" applyAlignment="1">
      <alignment horizontal="center" vertical="top" shrinkToFit="1"/>
    </xf>
    <xf numFmtId="0" fontId="3" fillId="0" borderId="39" xfId="0" applyFont="1" applyBorder="1" applyAlignment="1">
      <alignment horizontal="center" vertical="top" wrapText="1" shrinkToFit="1"/>
    </xf>
    <xf numFmtId="0" fontId="3" fillId="0" borderId="42" xfId="0" applyFont="1" applyBorder="1" applyAlignment="1">
      <alignment horizontal="center" vertical="top" wrapText="1" shrinkToFit="1"/>
    </xf>
    <xf numFmtId="0" fontId="3" fillId="0" borderId="43" xfId="0" applyFont="1" applyBorder="1" applyAlignment="1">
      <alignment horizontal="center" vertical="top" wrapText="1" shrinkToFit="1"/>
    </xf>
    <xf numFmtId="0" fontId="3" fillId="0" borderId="47" xfId="0" applyFont="1" applyBorder="1" applyAlignment="1">
      <alignment horizontal="center" vertical="top" wrapText="1" shrinkToFit="1"/>
    </xf>
    <xf numFmtId="0" fontId="3" fillId="0" borderId="40" xfId="0" applyFont="1" applyBorder="1" applyAlignment="1">
      <alignment horizontal="center" vertical="top" shrinkToFit="1"/>
    </xf>
    <xf numFmtId="0" fontId="3" fillId="0" borderId="45" xfId="0" applyFont="1" applyBorder="1" applyAlignment="1">
      <alignment horizontal="center" vertical="top" shrinkToFit="1"/>
    </xf>
    <xf numFmtId="0" fontId="3" fillId="0" borderId="27" xfId="0" applyFont="1" applyBorder="1" applyAlignment="1">
      <alignment horizontal="center" vertical="top" shrinkToFit="1"/>
    </xf>
    <xf numFmtId="0" fontId="3" fillId="0" borderId="28" xfId="0" applyFont="1" applyBorder="1" applyAlignment="1">
      <alignment horizontal="center" vertical="top" shrinkToFit="1"/>
    </xf>
    <xf numFmtId="0" fontId="3" fillId="0" borderId="31" xfId="0" applyFont="1" applyBorder="1" applyAlignment="1">
      <alignment horizontal="center" vertical="top" shrinkToFit="1"/>
    </xf>
    <xf numFmtId="0" fontId="3" fillId="0" borderId="30" xfId="0" applyFont="1" applyBorder="1" applyAlignment="1">
      <alignment horizontal="center" vertical="top" shrinkToFit="1"/>
    </xf>
    <xf numFmtId="0" fontId="3" fillId="0" borderId="29" xfId="0" applyFont="1" applyBorder="1" applyAlignment="1">
      <alignment horizontal="center" vertical="top" shrinkToFit="1"/>
    </xf>
    <xf numFmtId="0" fontId="3" fillId="0" borderId="42" xfId="0" applyFont="1" applyBorder="1" applyAlignment="1">
      <alignment horizontal="center" vertical="top" shrinkToFit="1"/>
    </xf>
    <xf numFmtId="0" fontId="3" fillId="0" borderId="46" xfId="0" applyFont="1" applyBorder="1" applyAlignment="1">
      <alignment horizontal="center" vertical="top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3" fillId="0" borderId="43" xfId="0" applyFont="1" applyBorder="1" applyAlignment="1">
      <alignment horizontal="center" vertical="top" shrinkToFit="1"/>
    </xf>
    <xf numFmtId="0" fontId="3" fillId="0" borderId="44" xfId="0" applyFont="1" applyBorder="1" applyAlignment="1">
      <alignment horizontal="center" vertical="top" shrinkToFit="1"/>
    </xf>
    <xf numFmtId="0" fontId="2" fillId="0" borderId="19" xfId="0" applyNumberFormat="1" applyFont="1" applyBorder="1" applyAlignment="1">
      <alignment horizontal="center" vertical="center" shrinkToFit="1"/>
    </xf>
    <xf numFmtId="0" fontId="2" fillId="0" borderId="5" xfId="0" applyNumberFormat="1" applyFont="1" applyBorder="1" applyAlignment="1">
      <alignment horizontal="center" vertical="center" shrinkToFit="1"/>
    </xf>
    <xf numFmtId="0" fontId="2" fillId="0" borderId="6" xfId="0" applyNumberFormat="1" applyFont="1" applyBorder="1" applyAlignment="1">
      <alignment horizontal="center" vertical="center" shrinkToFit="1"/>
    </xf>
  </cellXfs>
  <cellStyles count="2">
    <cellStyle name="EplDataRWStyle" xfId="1" xr:uid="{00000000-0005-0000-0000-000000000000}"/>
    <cellStyle name="표준" xfId="0" builtinId="0"/>
  </cellStyles>
  <dxfs count="12">
    <dxf>
      <font>
        <b val="0"/>
        <i/>
        <color rgb="FF00B050"/>
      </font>
    </dxf>
    <dxf>
      <font>
        <b val="0"/>
        <i/>
        <color rgb="FF7030A0"/>
      </font>
    </dxf>
    <dxf>
      <font>
        <b val="0"/>
        <i/>
        <color rgb="FF00B050"/>
      </font>
    </dxf>
    <dxf>
      <font>
        <b val="0"/>
        <i/>
        <color rgb="FF7030A0"/>
      </font>
    </dxf>
    <dxf>
      <font>
        <b val="0"/>
        <i/>
        <color rgb="FF00B050"/>
      </font>
    </dxf>
    <dxf>
      <font>
        <b val="0"/>
        <i/>
        <color rgb="FF7030A0"/>
      </font>
    </dxf>
    <dxf>
      <font>
        <b val="0"/>
        <i/>
        <color rgb="FF00B050"/>
      </font>
    </dxf>
    <dxf>
      <font>
        <b val="0"/>
        <i/>
        <color rgb="FF7030A0"/>
      </font>
    </dxf>
    <dxf>
      <font>
        <b val="0"/>
        <i/>
        <color rgb="FF7030A0"/>
      </font>
    </dxf>
    <dxf>
      <font>
        <b val="0"/>
        <i/>
        <color rgb="FF00B050"/>
      </font>
    </dxf>
    <dxf>
      <font>
        <b val="0"/>
        <i/>
        <color rgb="FF00B050"/>
      </font>
    </dxf>
    <dxf>
      <font>
        <b val="0"/>
        <i/>
        <color rgb="FF7030A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63401</xdr:colOff>
      <xdr:row>30</xdr:row>
      <xdr:rowOff>169432</xdr:rowOff>
    </xdr:from>
    <xdr:to>
      <xdr:col>8</xdr:col>
      <xdr:colOff>936813</xdr:colOff>
      <xdr:row>32</xdr:row>
      <xdr:rowOff>169433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F07C0A-7854-4861-80C0-0C23DE0995CA}"/>
                </a:ext>
              </a:extLst>
            </xdr:cNvPr>
            <xdr:cNvSpPr txBox="1"/>
          </xdr:nvSpPr>
          <xdr:spPr>
            <a:xfrm>
              <a:off x="12499241" y="5945392"/>
              <a:ext cx="873412" cy="381001"/>
            </a:xfrm>
            <a:prstGeom prst="rect">
              <a:avLst/>
            </a:prstGeom>
            <a:solidFill>
              <a:schemeClr val="bg1">
                <a:alpha val="50000"/>
              </a:schemeClr>
            </a:solidFill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ko-KR" sz="12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𝐹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.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𝑂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.</m:t>
                      </m:r>
                    </m:sub>
                  </m:sSub>
                  <m:r>
                    <a:rPr lang="en-US" altLang="ko-KR" sz="12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altLang="ko-KR" sz="1200" b="0" i="1">
                      <a:solidFill>
                        <a:srgbClr val="0000FF"/>
                      </a:solidFill>
                      <a:latin typeface="Cambria Math" panose="02040503050406030204" pitchFamily="18" charset="0"/>
                    </a:rPr>
                    <m:t>𝐶𝐹</m:t>
                  </m:r>
                  <m:f>
                    <m:fPr>
                      <m:ctrlPr>
                        <a:rPr lang="en-US" altLang="ko-KR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altLang="ko-KR" sz="1200" b="0" i="1">
                              <a:solidFill>
                                <a:srgbClr val="0000FF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altLang="ko-KR" sz="1200" b="0" i="1">
                                  <a:solidFill>
                                    <a:srgbClr val="0000FF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altLang="ko-KR" sz="1200" b="0" i="1">
                                  <a:solidFill>
                                    <a:srgbClr val="0000FF"/>
                                  </a:solidFill>
                                  <a:latin typeface="Cambria Math" panose="02040503050406030204" pitchFamily="18" charset="0"/>
                                </a:rPr>
                                <m:t>𝑚</m:t>
                              </m:r>
                            </m:e>
                          </m:acc>
                        </m:e>
                        <m:sub>
                          <m:r>
                            <a:rPr lang="en-US" altLang="ko-KR" sz="1200" b="0" i="1">
                              <a:solidFill>
                                <a:srgbClr val="0000FF"/>
                              </a:solidFill>
                              <a:latin typeface="Cambria Math" panose="02040503050406030204" pitchFamily="18" charset="0"/>
                            </a:rPr>
                            <m:t>𝐸𝑥h</m:t>
                          </m:r>
                          <m:r>
                            <a:rPr lang="en-US" altLang="ko-KR" sz="1200" b="0" i="1">
                              <a:solidFill>
                                <a:srgbClr val="0000FF"/>
                              </a:solidFill>
                              <a:latin typeface="Cambria Math" panose="02040503050406030204" pitchFamily="18" charset="0"/>
                            </a:rPr>
                            <m:t>. </m:t>
                          </m:r>
                          <m:r>
                            <a:rPr lang="en-US" altLang="ko-KR" sz="1200" b="0" i="1">
                              <a:solidFill>
                                <a:srgbClr val="0000FF"/>
                              </a:solidFill>
                              <a:latin typeface="Cambria Math" panose="02040503050406030204" pitchFamily="18" charset="0"/>
                            </a:rPr>
                            <m:t>𝑔𝑎𝑠</m:t>
                          </m:r>
                        </m:sub>
                      </m:sSub>
                      <m:r>
                        <a:rPr lang="en-US" altLang="ko-KR" sz="1200" b="0" i="1">
                          <a:solidFill>
                            <a:srgbClr val="0000FF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∙</m:t>
                      </m:r>
                      <m:sSub>
                        <m:sSubPr>
                          <m:ctrlPr>
                            <a:rPr lang="en-US" altLang="ko-KR" sz="12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ko-KR" sz="1200" b="0" i="1">
                              <a:latin typeface="Cambria Math" panose="02040503050406030204" pitchFamily="18" charset="0"/>
                            </a:rPr>
                            <m:t>𝐶</m:t>
                          </m:r>
                        </m:e>
                        <m:sub>
                          <m:r>
                            <a:rPr lang="en-US" altLang="ko-KR" sz="12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altLang="ko-KR" sz="1200" b="0" i="1">
                          <a:solidFill>
                            <a:srgbClr val="0000FF"/>
                          </a:solidFill>
                          <a:latin typeface="Cambria Math" panose="02040503050406030204" pitchFamily="18" charset="0"/>
                        </a:rPr>
                        <m:t>𝑀𝑂𝐶𝑆𝑇𝑒𝑚𝑝𝑆𝑒𝑡𝑃𝑜𝑖𝑛𝑡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−(</m:t>
                      </m:r>
                      <m:sSub>
                        <m:sSubPr>
                          <m:ctrlPr>
                            <a:rPr lang="en-US" altLang="ko-KR" sz="12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ko-KR" sz="12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𝑇</m:t>
                          </m:r>
                        </m:e>
                        <m:sub>
                          <m:r>
                            <a:rPr lang="en-US" altLang="ko-KR" sz="12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𝐸𝑥h</m:t>
                          </m:r>
                        </m:sub>
                      </m:sSub>
                      <m:r>
                        <a:rPr lang="en-US" altLang="ko-K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altLang="ko-KR" sz="1200" b="0" i="1">
                          <a:solidFill>
                            <a:srgbClr val="0000FF"/>
                          </a:solidFill>
                          <a:latin typeface="Cambria Math" panose="02040503050406030204" pitchFamily="18" charset="0"/>
                        </a:rPr>
                        <m:t>𝐻𝑒𝑎𝑡𝐿𝑜𝑠𝑠𝑇𝑒𝑚𝑝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))</m:t>
                      </m:r>
                    </m:num>
                    <m:den>
                      <m:r>
                        <a:rPr lang="en-US" altLang="ko-K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𝐿𝐻</m:t>
                      </m:r>
                      <m:sSub>
                        <m:sSubPr>
                          <m:ctrlP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𝐹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.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𝑂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.</m:t>
                          </m:r>
                        </m:sub>
                      </m:sSub>
                      <m:r>
                        <a:rPr lang="en-US" altLang="ko-K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×</m:t>
                      </m:r>
                      <m:sSub>
                        <m:sSubPr>
                          <m:ctrlP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𝜌</m:t>
                          </m:r>
                        </m:e>
                        <m:sub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𝐹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.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𝑂</m:t>
                          </m:r>
                        </m:sub>
                      </m:sSub>
                      <m:r>
                        <a:rPr lang="en-US" altLang="ko-K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</m:oMath>
              </a14:m>
              <a:r>
                <a:rPr lang="en-US" altLang="ko-KR"/>
                <a:t> 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F07C0A-7854-4861-80C0-0C23DE0995CA}"/>
                </a:ext>
              </a:extLst>
            </xdr:cNvPr>
            <xdr:cNvSpPr txBox="1"/>
          </xdr:nvSpPr>
          <xdr:spPr>
            <a:xfrm>
              <a:off x="12499241" y="5945392"/>
              <a:ext cx="873412" cy="381001"/>
            </a:xfrm>
            <a:prstGeom prst="rect">
              <a:avLst/>
            </a:prstGeom>
            <a:solidFill>
              <a:schemeClr val="bg1">
                <a:alpha val="50000"/>
              </a:schemeClr>
            </a:solidFill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200" b="0" i="0">
                  <a:latin typeface="Cambria Math" panose="02040503050406030204" pitchFamily="18" charset="0"/>
                </a:rPr>
                <a:t>𝑄_(𝐹.𝑂.)=</a:t>
              </a:r>
              <a:r>
                <a:rPr lang="en-US" altLang="ko-KR" sz="1200" b="0" i="0">
                  <a:solidFill>
                    <a:srgbClr val="0000FF"/>
                  </a:solidFill>
                  <a:latin typeface="Cambria Math" panose="02040503050406030204" pitchFamily="18" charset="0"/>
                </a:rPr>
                <a:t>𝐶𝐹 (𝑚 ̇_(𝐸𝑥ℎ. 𝑔𝑎𝑠)</a:t>
              </a:r>
              <a:r>
                <a:rPr lang="en-US" altLang="ko-KR" sz="1200" b="0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ko-KR" sz="1200" b="0" i="0">
                  <a:latin typeface="Cambria Math" panose="02040503050406030204" pitchFamily="18" charset="0"/>
                </a:rPr>
                <a:t>𝐶_𝑝 (</a:t>
              </a:r>
              <a:r>
                <a:rPr lang="en-US" altLang="ko-KR" sz="1200" b="0" i="0">
                  <a:solidFill>
                    <a:srgbClr val="0000FF"/>
                  </a:solidFill>
                  <a:latin typeface="Cambria Math" panose="02040503050406030204" pitchFamily="18" charset="0"/>
                </a:rPr>
                <a:t>𝑀𝑂𝐶𝑆𝑇𝑒𝑚𝑝𝑆𝑒𝑡𝑃𝑜𝑖𝑛𝑡</a:t>
              </a:r>
              <a:r>
                <a:rPr lang="en-US" altLang="ko-KR" sz="1200" b="0" i="0">
                  <a:latin typeface="Cambria Math" panose="02040503050406030204" pitchFamily="18" charset="0"/>
                </a:rPr>
                <a:t>−(</a:t>
              </a:r>
              <a:r>
                <a:rPr lang="en-US" altLang="ko-KR" sz="12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𝑇_𝐸𝑥ℎ</a:t>
              </a:r>
              <a:r>
                <a:rPr lang="en-US" altLang="ko-KR" sz="12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−</a:t>
              </a:r>
              <a:r>
                <a:rPr lang="en-US" altLang="ko-KR" sz="1200" b="0" i="0">
                  <a:solidFill>
                    <a:srgbClr val="0000FF"/>
                  </a:solidFill>
                  <a:latin typeface="Cambria Math" panose="02040503050406030204" pitchFamily="18" charset="0"/>
                </a:rPr>
                <a:t>𝐻𝑒𝑎𝑡𝐿𝑜𝑠𝑠𝑇𝑒𝑚𝑝</a:t>
              </a:r>
              <a:r>
                <a:rPr lang="en-US" altLang="ko-KR" sz="1200" b="0" i="0">
                  <a:latin typeface="Cambria Math" panose="02040503050406030204" pitchFamily="18" charset="0"/>
                </a:rPr>
                <a:t>)))/(</a:t>
              </a:r>
              <a:r>
                <a:rPr lang="en-US" altLang="ko-KR" sz="12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𝐿𝐻𝑉_(𝐹.𝑂.)×𝜌_(𝐹.𝑂)  )</a:t>
              </a:r>
              <a:r>
                <a:rPr lang="en-US" altLang="ko-KR"/>
                <a:t> 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EDC0-E71F-4A83-AF07-DB445D377BBC}">
  <sheetPr>
    <tabColor rgb="FFFF0000"/>
  </sheetPr>
  <dimension ref="A1:O4"/>
  <sheetViews>
    <sheetView workbookViewId="0">
      <selection activeCell="A3" sqref="A3"/>
    </sheetView>
  </sheetViews>
  <sheetFormatPr defaultRowHeight="17.399999999999999" x14ac:dyDescent="0.4"/>
  <cols>
    <col min="2" max="2" width="9.19921875" bestFit="1" customWidth="1"/>
    <col min="3" max="3" width="130.3984375" customWidth="1"/>
  </cols>
  <sheetData>
    <row r="1" spans="1:15" x14ac:dyDescent="0.4">
      <c r="A1" s="38" t="s">
        <v>308</v>
      </c>
      <c r="B1" s="38" t="s">
        <v>309</v>
      </c>
      <c r="C1" s="38" t="s">
        <v>310</v>
      </c>
    </row>
    <row r="2" spans="1:15" s="1" customFormat="1" ht="34.799999999999997" x14ac:dyDescent="0.4">
      <c r="A2" t="s">
        <v>669</v>
      </c>
      <c r="B2" t="s">
        <v>552</v>
      </c>
      <c r="C2" s="59" t="s">
        <v>663</v>
      </c>
      <c r="D2"/>
      <c r="E2"/>
      <c r="F2"/>
      <c r="G2"/>
      <c r="H2"/>
      <c r="I2"/>
      <c r="J2"/>
      <c r="K2" s="2"/>
      <c r="L2" s="2"/>
      <c r="M2" s="2"/>
      <c r="O2" s="2"/>
    </row>
    <row r="3" spans="1:15" s="1" customFormat="1" x14ac:dyDescent="0.4">
      <c r="A3" t="s">
        <v>312</v>
      </c>
      <c r="B3" t="s">
        <v>313</v>
      </c>
      <c r="C3" t="s">
        <v>314</v>
      </c>
      <c r="D3"/>
      <c r="E3"/>
      <c r="F3"/>
      <c r="G3"/>
      <c r="H3"/>
      <c r="I3"/>
      <c r="J3"/>
      <c r="K3" s="2"/>
      <c r="L3" s="2"/>
      <c r="M3" s="2"/>
      <c r="O3" s="2"/>
    </row>
    <row r="4" spans="1:15" x14ac:dyDescent="0.4">
      <c r="A4" t="s">
        <v>293</v>
      </c>
      <c r="B4" t="s">
        <v>291</v>
      </c>
      <c r="C4" t="s">
        <v>311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30ED-C99C-4A36-8FCE-D077681811FD}">
  <sheetPr>
    <tabColor rgb="FFFF0000"/>
  </sheetPr>
  <dimension ref="A1:J25"/>
  <sheetViews>
    <sheetView topLeftCell="A10" zoomScaleNormal="100" workbookViewId="0">
      <selection activeCell="G25" sqref="G25"/>
    </sheetView>
  </sheetViews>
  <sheetFormatPr defaultRowHeight="17.399999999999999" x14ac:dyDescent="0.4"/>
  <cols>
    <col min="1" max="1" width="8.796875" style="59"/>
    <col min="2" max="2" width="20" style="59" bestFit="1" customWidth="1"/>
    <col min="3" max="9" width="20" style="59" customWidth="1"/>
    <col min="10" max="11" width="8.796875" style="59"/>
    <col min="12" max="12" width="11.5" style="59" bestFit="1" customWidth="1"/>
    <col min="13" max="16384" width="8.796875" style="59"/>
  </cols>
  <sheetData>
    <row r="1" spans="1:10" hidden="1" x14ac:dyDescent="0.4">
      <c r="A1" s="66" t="s">
        <v>375</v>
      </c>
    </row>
    <row r="2" spans="1:10" hidden="1" x14ac:dyDescent="0.4">
      <c r="A2" s="149" t="s">
        <v>362</v>
      </c>
      <c r="B2" s="149"/>
      <c r="C2" s="149" t="s">
        <v>336</v>
      </c>
      <c r="D2" s="149"/>
      <c r="E2" s="149"/>
      <c r="F2" s="149"/>
      <c r="G2" s="149" t="s">
        <v>357</v>
      </c>
      <c r="H2" s="149"/>
      <c r="I2" s="149"/>
      <c r="J2" s="58"/>
    </row>
    <row r="3" spans="1:10" hidden="1" x14ac:dyDescent="0.4">
      <c r="A3" s="149" t="s">
        <v>323</v>
      </c>
      <c r="B3" s="149"/>
      <c r="C3" s="62" t="s">
        <v>366</v>
      </c>
      <c r="D3" s="62" t="s">
        <v>360</v>
      </c>
      <c r="E3" s="62" t="s">
        <v>358</v>
      </c>
      <c r="F3" s="62" t="s">
        <v>359</v>
      </c>
      <c r="G3" s="62" t="s">
        <v>360</v>
      </c>
      <c r="H3" s="62" t="s">
        <v>365</v>
      </c>
      <c r="I3" s="62" t="s">
        <v>364</v>
      </c>
      <c r="J3" s="58"/>
    </row>
    <row r="4" spans="1:10" ht="34.799999999999997" hidden="1" x14ac:dyDescent="0.4">
      <c r="A4" s="150" t="s">
        <v>363</v>
      </c>
      <c r="B4" s="60" t="s">
        <v>377</v>
      </c>
      <c r="C4" s="61" t="s">
        <v>337</v>
      </c>
      <c r="D4" s="61" t="s">
        <v>337</v>
      </c>
      <c r="E4" s="61" t="s">
        <v>337</v>
      </c>
      <c r="F4" s="61" t="s">
        <v>337</v>
      </c>
      <c r="G4" s="151" t="s">
        <v>337</v>
      </c>
      <c r="H4" s="151" t="s">
        <v>337</v>
      </c>
      <c r="I4" s="151" t="s">
        <v>337</v>
      </c>
      <c r="J4" s="58"/>
    </row>
    <row r="5" spans="1:10" ht="52.2" hidden="1" x14ac:dyDescent="0.4">
      <c r="A5" s="150"/>
      <c r="B5" s="60" t="s">
        <v>378</v>
      </c>
      <c r="C5" s="61" t="s">
        <v>339</v>
      </c>
      <c r="D5" s="61" t="s">
        <v>337</v>
      </c>
      <c r="E5" s="61" t="s">
        <v>337</v>
      </c>
      <c r="F5" s="61" t="s">
        <v>337</v>
      </c>
      <c r="G5" s="152"/>
      <c r="H5" s="152"/>
      <c r="I5" s="152"/>
      <c r="J5" s="58"/>
    </row>
    <row r="6" spans="1:10" ht="52.2" hidden="1" x14ac:dyDescent="0.4">
      <c r="A6" s="150"/>
      <c r="B6" s="60" t="s">
        <v>376</v>
      </c>
      <c r="C6" s="61" t="s">
        <v>339</v>
      </c>
      <c r="D6" s="61" t="s">
        <v>337</v>
      </c>
      <c r="E6" s="64" t="s">
        <v>367</v>
      </c>
      <c r="F6" s="61" t="s">
        <v>339</v>
      </c>
      <c r="G6" s="61" t="s">
        <v>337</v>
      </c>
      <c r="H6" s="61" t="s">
        <v>337</v>
      </c>
      <c r="I6" s="61" t="s">
        <v>339</v>
      </c>
      <c r="J6" s="58"/>
    </row>
    <row r="7" spans="1:10" ht="69.599999999999994" hidden="1" x14ac:dyDescent="0.4">
      <c r="A7" s="150" t="s">
        <v>310</v>
      </c>
      <c r="B7" s="150"/>
      <c r="C7" s="63" t="s">
        <v>373</v>
      </c>
      <c r="D7" s="63" t="s">
        <v>370</v>
      </c>
      <c r="E7" s="61" t="s">
        <v>361</v>
      </c>
      <c r="F7" s="61" t="s">
        <v>369</v>
      </c>
      <c r="G7" s="61" t="s">
        <v>371</v>
      </c>
      <c r="H7" s="61" t="s">
        <v>368</v>
      </c>
      <c r="I7" s="61" t="s">
        <v>372</v>
      </c>
      <c r="J7" s="58"/>
    </row>
    <row r="8" spans="1:10" hidden="1" x14ac:dyDescent="0.4">
      <c r="A8" s="58"/>
      <c r="B8" s="58"/>
      <c r="C8" s="58"/>
      <c r="D8" s="58"/>
      <c r="E8" s="58"/>
      <c r="F8" s="58"/>
      <c r="G8" s="58"/>
      <c r="H8" s="58"/>
      <c r="I8" s="58"/>
      <c r="J8" s="58"/>
    </row>
    <row r="9" spans="1:10" hidden="1" x14ac:dyDescent="0.4">
      <c r="A9" s="67" t="s">
        <v>374</v>
      </c>
      <c r="B9" s="58"/>
      <c r="C9" s="58"/>
      <c r="D9" s="58"/>
      <c r="E9" s="58"/>
      <c r="F9" s="58"/>
      <c r="G9" s="58"/>
      <c r="H9" s="58"/>
      <c r="I9" s="58"/>
      <c r="J9" s="58"/>
    </row>
    <row r="10" spans="1:10" x14ac:dyDescent="0.4">
      <c r="A10" s="149" t="s">
        <v>362</v>
      </c>
      <c r="B10" s="149"/>
      <c r="C10" s="153" t="s">
        <v>336</v>
      </c>
      <c r="D10" s="154"/>
      <c r="E10" s="155"/>
      <c r="F10" s="153" t="s">
        <v>357</v>
      </c>
      <c r="G10" s="154"/>
      <c r="H10" s="155"/>
      <c r="J10" s="58"/>
    </row>
    <row r="11" spans="1:10" x14ac:dyDescent="0.4">
      <c r="A11" s="149" t="s">
        <v>323</v>
      </c>
      <c r="B11" s="149"/>
      <c r="C11" s="62" t="s">
        <v>360</v>
      </c>
      <c r="D11" s="62" t="s">
        <v>358</v>
      </c>
      <c r="E11" s="62" t="s">
        <v>359</v>
      </c>
      <c r="F11" s="62" t="s">
        <v>360</v>
      </c>
      <c r="G11" s="62" t="s">
        <v>365</v>
      </c>
      <c r="H11" s="62" t="s">
        <v>364</v>
      </c>
      <c r="J11" s="58"/>
    </row>
    <row r="12" spans="1:10" ht="52.2" x14ac:dyDescent="0.4">
      <c r="A12" s="150" t="s">
        <v>363</v>
      </c>
      <c r="B12" s="60" t="s">
        <v>378</v>
      </c>
      <c r="C12" s="61" t="s">
        <v>337</v>
      </c>
      <c r="D12" s="61" t="s">
        <v>337</v>
      </c>
      <c r="E12" s="61" t="s">
        <v>337</v>
      </c>
      <c r="F12" s="65" t="s">
        <v>337</v>
      </c>
      <c r="G12" s="65" t="s">
        <v>337</v>
      </c>
      <c r="H12" s="65" t="s">
        <v>337</v>
      </c>
      <c r="J12" s="58"/>
    </row>
    <row r="13" spans="1:10" ht="52.2" x14ac:dyDescent="0.4">
      <c r="A13" s="150"/>
      <c r="B13" s="60" t="s">
        <v>376</v>
      </c>
      <c r="C13" s="61" t="s">
        <v>337</v>
      </c>
      <c r="D13" s="64" t="s">
        <v>367</v>
      </c>
      <c r="E13" s="61" t="s">
        <v>339</v>
      </c>
      <c r="F13" s="61" t="s">
        <v>337</v>
      </c>
      <c r="G13" s="61" t="s">
        <v>337</v>
      </c>
      <c r="H13" s="61" t="s">
        <v>339</v>
      </c>
      <c r="J13" s="58"/>
    </row>
    <row r="14" spans="1:10" ht="69.599999999999994" x14ac:dyDescent="0.4">
      <c r="A14" s="150" t="s">
        <v>310</v>
      </c>
      <c r="B14" s="150"/>
      <c r="C14" s="63" t="s">
        <v>370</v>
      </c>
      <c r="D14" s="61" t="s">
        <v>361</v>
      </c>
      <c r="E14" s="61" t="s">
        <v>369</v>
      </c>
      <c r="F14" s="61" t="s">
        <v>371</v>
      </c>
      <c r="G14" s="61" t="s">
        <v>368</v>
      </c>
      <c r="H14" s="61" t="s">
        <v>372</v>
      </c>
      <c r="J14" s="58"/>
    </row>
    <row r="15" spans="1:10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</row>
    <row r="16" spans="1:10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</row>
    <row r="17" spans="1:10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</row>
    <row r="18" spans="1:10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</row>
    <row r="19" spans="1:10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</row>
    <row r="20" spans="1:10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</row>
    <row r="21" spans="1:10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</row>
    <row r="22" spans="1:10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</row>
    <row r="23" spans="1:10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</row>
    <row r="24" spans="1:10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</row>
    <row r="25" spans="1:10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</row>
  </sheetData>
  <mergeCells count="15">
    <mergeCell ref="A14:B14"/>
    <mergeCell ref="C10:E10"/>
    <mergeCell ref="F10:H10"/>
    <mergeCell ref="I4:I5"/>
    <mergeCell ref="A10:B10"/>
    <mergeCell ref="A11:B11"/>
    <mergeCell ref="A12:A13"/>
    <mergeCell ref="A7:B7"/>
    <mergeCell ref="C2:F2"/>
    <mergeCell ref="G2:I2"/>
    <mergeCell ref="A4:A6"/>
    <mergeCell ref="A3:B3"/>
    <mergeCell ref="A2:B2"/>
    <mergeCell ref="G4:G5"/>
    <mergeCell ref="H4:H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A1:T204"/>
  <sheetViews>
    <sheetView tabSelected="1" topLeftCell="A25" zoomScale="85" zoomScaleNormal="85" workbookViewId="0">
      <selection activeCell="A40" sqref="A40:XFD40"/>
    </sheetView>
  </sheetViews>
  <sheetFormatPr defaultColWidth="9" defaultRowHeight="15.6" x14ac:dyDescent="0.4"/>
  <cols>
    <col min="1" max="1" width="11.19921875" style="57" bestFit="1" customWidth="1"/>
    <col min="2" max="2" width="6" style="57" customWidth="1"/>
    <col min="3" max="3" width="11.19921875" style="44" customWidth="1"/>
    <col min="4" max="4" width="6" style="44" customWidth="1"/>
    <col min="5" max="5" width="24.09765625" style="44" customWidth="1"/>
    <col min="6" max="6" width="6" style="57" customWidth="1"/>
    <col min="7" max="7" width="28.19921875" style="45" bestFit="1" customWidth="1"/>
    <col min="8" max="9" width="60" style="37" customWidth="1"/>
    <col min="10" max="10" width="9" style="46"/>
    <col min="11" max="14" width="9" style="45"/>
    <col min="15" max="19" width="9" style="45" customWidth="1"/>
    <col min="20" max="20" width="20" style="45" customWidth="1"/>
    <col min="21" max="16384" width="9" style="37"/>
  </cols>
  <sheetData>
    <row r="1" spans="1:20" s="70" customFormat="1" ht="15" x14ac:dyDescent="0.4">
      <c r="A1" s="71" t="s">
        <v>380</v>
      </c>
      <c r="B1" s="71" t="s">
        <v>347</v>
      </c>
      <c r="C1" s="71" t="s">
        <v>381</v>
      </c>
      <c r="D1" s="71" t="s">
        <v>383</v>
      </c>
      <c r="E1" s="71" t="s">
        <v>382</v>
      </c>
      <c r="F1" s="71" t="s">
        <v>384</v>
      </c>
      <c r="G1" s="71" t="s">
        <v>13</v>
      </c>
      <c r="H1" s="71" t="s">
        <v>407</v>
      </c>
      <c r="I1" s="71" t="s">
        <v>408</v>
      </c>
      <c r="J1" s="72" t="s">
        <v>413</v>
      </c>
      <c r="K1" s="71" t="s">
        <v>409</v>
      </c>
      <c r="L1" s="71" t="s">
        <v>410</v>
      </c>
      <c r="M1" s="71" t="s">
        <v>411</v>
      </c>
      <c r="N1" s="71" t="s">
        <v>288</v>
      </c>
      <c r="O1" s="71" t="s">
        <v>414</v>
      </c>
      <c r="P1" s="71" t="s">
        <v>416</v>
      </c>
      <c r="Q1" s="71" t="s">
        <v>415</v>
      </c>
      <c r="R1" s="71" t="s">
        <v>334</v>
      </c>
      <c r="S1" s="71" t="s">
        <v>335</v>
      </c>
      <c r="T1" s="71"/>
    </row>
    <row r="2" spans="1:20" s="70" customFormat="1" thickBot="1" x14ac:dyDescent="0.45">
      <c r="A2" s="71" t="s">
        <v>404</v>
      </c>
      <c r="B2" s="71" t="s">
        <v>405</v>
      </c>
      <c r="C2" s="71" t="s">
        <v>404</v>
      </c>
      <c r="D2" s="71" t="s">
        <v>405</v>
      </c>
      <c r="E2" s="71" t="s">
        <v>404</v>
      </c>
      <c r="F2" s="71" t="s">
        <v>405</v>
      </c>
      <c r="G2" s="71" t="s">
        <v>406</v>
      </c>
      <c r="H2" s="71" t="s">
        <v>406</v>
      </c>
      <c r="I2" s="71" t="s">
        <v>406</v>
      </c>
      <c r="J2" s="71" t="s">
        <v>405</v>
      </c>
      <c r="K2" s="71" t="s">
        <v>405</v>
      </c>
      <c r="L2" s="71" t="s">
        <v>405</v>
      </c>
      <c r="M2" s="71" t="s">
        <v>406</v>
      </c>
      <c r="N2" s="71" t="s">
        <v>405</v>
      </c>
      <c r="O2" s="71" t="s">
        <v>406</v>
      </c>
      <c r="P2" s="71" t="s">
        <v>406</v>
      </c>
      <c r="Q2" s="71" t="s">
        <v>405</v>
      </c>
      <c r="R2" s="71" t="s">
        <v>405</v>
      </c>
      <c r="S2" s="71" t="s">
        <v>405</v>
      </c>
      <c r="T2" s="71"/>
    </row>
    <row r="3" spans="1:20" x14ac:dyDescent="0.4">
      <c r="A3" s="160" t="s">
        <v>14</v>
      </c>
      <c r="B3" s="156" t="s">
        <v>345</v>
      </c>
      <c r="C3" s="160" t="s">
        <v>343</v>
      </c>
      <c r="D3" s="156" t="s">
        <v>344</v>
      </c>
      <c r="E3" s="160" t="s">
        <v>295</v>
      </c>
      <c r="F3" s="156" t="s">
        <v>346</v>
      </c>
      <c r="G3" s="164" t="s">
        <v>13</v>
      </c>
      <c r="H3" s="164" t="s">
        <v>11</v>
      </c>
      <c r="I3" s="164" t="s">
        <v>12</v>
      </c>
      <c r="J3" s="168" t="s">
        <v>412</v>
      </c>
      <c r="K3" s="161" t="s">
        <v>2</v>
      </c>
      <c r="L3" s="162"/>
      <c r="M3" s="163"/>
      <c r="N3" s="164" t="s">
        <v>288</v>
      </c>
      <c r="O3" s="166" t="s">
        <v>348</v>
      </c>
      <c r="P3" s="156" t="s">
        <v>340</v>
      </c>
      <c r="Q3" s="49" t="s">
        <v>320</v>
      </c>
      <c r="R3" s="158" t="s">
        <v>322</v>
      </c>
      <c r="S3" s="159"/>
      <c r="T3" s="49" t="s">
        <v>292</v>
      </c>
    </row>
    <row r="4" spans="1:20" ht="18" customHeight="1" thickBot="1" x14ac:dyDescent="0.45">
      <c r="A4" s="157"/>
      <c r="B4" s="157"/>
      <c r="C4" s="157"/>
      <c r="D4" s="157"/>
      <c r="E4" s="157"/>
      <c r="F4" s="157"/>
      <c r="G4" s="165"/>
      <c r="H4" s="165"/>
      <c r="I4" s="165"/>
      <c r="J4" s="169"/>
      <c r="K4" s="39" t="s">
        <v>3</v>
      </c>
      <c r="L4" s="39" t="s">
        <v>4</v>
      </c>
      <c r="M4" s="39" t="s">
        <v>1</v>
      </c>
      <c r="N4" s="165"/>
      <c r="O4" s="167"/>
      <c r="P4" s="157"/>
      <c r="Q4" s="50" t="s">
        <v>290</v>
      </c>
      <c r="R4" s="50" t="s">
        <v>323</v>
      </c>
      <c r="S4" s="50" t="s">
        <v>290</v>
      </c>
      <c r="T4" s="50"/>
    </row>
    <row r="5" spans="1:20" ht="15" x14ac:dyDescent="0.4">
      <c r="A5" s="40" t="s">
        <v>318</v>
      </c>
      <c r="B5" s="40">
        <v>0</v>
      </c>
      <c r="C5" s="41" t="s">
        <v>385</v>
      </c>
      <c r="D5" s="47">
        <v>0</v>
      </c>
      <c r="E5" s="53" t="s">
        <v>389</v>
      </c>
      <c r="F5" s="40">
        <v>0</v>
      </c>
      <c r="G5" s="47" t="s">
        <v>662</v>
      </c>
      <c r="H5" s="108" t="s">
        <v>333</v>
      </c>
      <c r="I5" s="82"/>
      <c r="J5" s="84">
        <v>1</v>
      </c>
      <c r="K5" s="85">
        <v>1</v>
      </c>
      <c r="L5" s="85">
        <v>8</v>
      </c>
      <c r="M5" s="85" t="s">
        <v>328</v>
      </c>
      <c r="N5" s="86">
        <v>1</v>
      </c>
      <c r="O5" s="147" t="s">
        <v>379</v>
      </c>
      <c r="P5" s="146" t="s">
        <v>339</v>
      </c>
      <c r="Q5" s="109"/>
      <c r="R5" s="109"/>
      <c r="S5" s="109"/>
      <c r="T5" s="109"/>
    </row>
    <row r="6" spans="1:20" ht="61.8" x14ac:dyDescent="0.4">
      <c r="A6" s="42" t="s">
        <v>318</v>
      </c>
      <c r="B6" s="42">
        <v>1</v>
      </c>
      <c r="C6" s="43" t="s">
        <v>385</v>
      </c>
      <c r="D6" s="48">
        <v>1</v>
      </c>
      <c r="E6" s="54" t="s">
        <v>389</v>
      </c>
      <c r="F6" s="42">
        <v>1</v>
      </c>
      <c r="G6" s="93" t="s">
        <v>401</v>
      </c>
      <c r="H6" s="110" t="s">
        <v>332</v>
      </c>
      <c r="I6" s="110" t="s">
        <v>388</v>
      </c>
      <c r="J6" s="95">
        <v>0</v>
      </c>
      <c r="K6" s="96">
        <v>0</v>
      </c>
      <c r="L6" s="96">
        <v>3</v>
      </c>
      <c r="M6" s="96" t="s">
        <v>43</v>
      </c>
      <c r="N6" s="97">
        <v>1</v>
      </c>
      <c r="O6" s="111" t="s">
        <v>379</v>
      </c>
      <c r="P6" s="128" t="s">
        <v>339</v>
      </c>
      <c r="Q6" s="111"/>
      <c r="R6" s="111"/>
      <c r="S6" s="111"/>
      <c r="T6" s="111"/>
    </row>
    <row r="7" spans="1:20" ht="30" x14ac:dyDescent="0.4">
      <c r="A7" s="42" t="s">
        <v>318</v>
      </c>
      <c r="B7" s="48">
        <v>2</v>
      </c>
      <c r="C7" s="43" t="s">
        <v>385</v>
      </c>
      <c r="D7" s="48">
        <v>2</v>
      </c>
      <c r="E7" s="54" t="s">
        <v>389</v>
      </c>
      <c r="F7" s="42">
        <v>2</v>
      </c>
      <c r="G7" s="93" t="s">
        <v>316</v>
      </c>
      <c r="H7" s="110" t="s">
        <v>331</v>
      </c>
      <c r="I7" s="110" t="s">
        <v>324</v>
      </c>
      <c r="J7" s="95">
        <v>0</v>
      </c>
      <c r="K7" s="96">
        <v>0</v>
      </c>
      <c r="L7" s="96">
        <v>1</v>
      </c>
      <c r="M7" s="96" t="s">
        <v>43</v>
      </c>
      <c r="N7" s="96">
        <v>1</v>
      </c>
      <c r="O7" s="111" t="s">
        <v>379</v>
      </c>
      <c r="P7" s="111" t="s">
        <v>339</v>
      </c>
      <c r="Q7" s="111"/>
      <c r="R7" s="111"/>
      <c r="S7" s="111"/>
      <c r="T7" s="111"/>
    </row>
    <row r="8" spans="1:20" ht="30" x14ac:dyDescent="0.4">
      <c r="A8" s="42" t="s">
        <v>318</v>
      </c>
      <c r="B8" s="48">
        <v>3</v>
      </c>
      <c r="C8" s="43" t="s">
        <v>385</v>
      </c>
      <c r="D8" s="48">
        <v>3</v>
      </c>
      <c r="E8" s="54" t="s">
        <v>389</v>
      </c>
      <c r="F8" s="42">
        <v>3</v>
      </c>
      <c r="G8" s="93" t="s">
        <v>317</v>
      </c>
      <c r="H8" s="110" t="s">
        <v>330</v>
      </c>
      <c r="I8" s="110" t="s">
        <v>329</v>
      </c>
      <c r="J8" s="95">
        <v>0</v>
      </c>
      <c r="K8" s="96">
        <v>0</v>
      </c>
      <c r="L8" s="96">
        <v>1</v>
      </c>
      <c r="M8" s="96" t="s">
        <v>43</v>
      </c>
      <c r="N8" s="96">
        <v>1</v>
      </c>
      <c r="O8" s="111" t="s">
        <v>379</v>
      </c>
      <c r="P8" s="111" t="s">
        <v>339</v>
      </c>
      <c r="Q8" s="111"/>
      <c r="R8" s="111"/>
      <c r="S8" s="111"/>
      <c r="T8" s="111"/>
    </row>
    <row r="9" spans="1:20" s="79" customFormat="1" ht="15" x14ac:dyDescent="0.4">
      <c r="A9" s="75" t="s">
        <v>318</v>
      </c>
      <c r="B9" s="76">
        <v>4</v>
      </c>
      <c r="C9" s="77" t="s">
        <v>385</v>
      </c>
      <c r="D9" s="76">
        <v>4</v>
      </c>
      <c r="E9" s="78" t="s">
        <v>424</v>
      </c>
      <c r="F9" s="75">
        <v>0</v>
      </c>
      <c r="G9" s="87" t="s">
        <v>426</v>
      </c>
      <c r="H9" s="112" t="s">
        <v>425</v>
      </c>
      <c r="I9" s="112" t="s">
        <v>430</v>
      </c>
      <c r="J9" s="90">
        <v>0.45</v>
      </c>
      <c r="K9" s="91">
        <v>0</v>
      </c>
      <c r="L9" s="91">
        <v>100</v>
      </c>
      <c r="M9" s="91" t="s">
        <v>582</v>
      </c>
      <c r="N9" s="91">
        <v>100</v>
      </c>
      <c r="O9" s="113" t="s">
        <v>379</v>
      </c>
      <c r="P9" s="113" t="s">
        <v>339</v>
      </c>
      <c r="Q9" s="113"/>
      <c r="R9" s="113"/>
      <c r="S9" s="113"/>
      <c r="T9" s="113"/>
    </row>
    <row r="10" spans="1:20" s="79" customFormat="1" ht="15" x14ac:dyDescent="0.4">
      <c r="A10" s="75" t="s">
        <v>318</v>
      </c>
      <c r="B10" s="76">
        <v>5</v>
      </c>
      <c r="C10" s="77" t="s">
        <v>385</v>
      </c>
      <c r="D10" s="76">
        <v>5</v>
      </c>
      <c r="E10" s="78" t="s">
        <v>424</v>
      </c>
      <c r="F10" s="75">
        <v>1</v>
      </c>
      <c r="G10" s="87" t="s">
        <v>428</v>
      </c>
      <c r="H10" s="112" t="s">
        <v>427</v>
      </c>
      <c r="I10" s="112"/>
      <c r="J10" s="90">
        <v>8.1999999999999993</v>
      </c>
      <c r="K10" s="91">
        <v>0</v>
      </c>
      <c r="L10" s="91">
        <v>100</v>
      </c>
      <c r="M10" s="91" t="s">
        <v>8</v>
      </c>
      <c r="N10" s="91">
        <v>100</v>
      </c>
      <c r="O10" s="113" t="s">
        <v>501</v>
      </c>
      <c r="P10" s="113" t="s">
        <v>337</v>
      </c>
      <c r="Q10" s="113"/>
      <c r="R10" s="113"/>
      <c r="S10" s="113"/>
      <c r="T10" s="113"/>
    </row>
    <row r="11" spans="1:20" ht="15" x14ac:dyDescent="0.4">
      <c r="A11" s="42" t="s">
        <v>318</v>
      </c>
      <c r="B11" s="48">
        <v>6</v>
      </c>
      <c r="C11" s="43" t="s">
        <v>385</v>
      </c>
      <c r="D11" s="48">
        <v>6</v>
      </c>
      <c r="E11" s="54"/>
      <c r="F11" s="42"/>
      <c r="G11" s="93"/>
      <c r="H11" s="110"/>
      <c r="I11" s="94"/>
      <c r="J11" s="95">
        <v>0</v>
      </c>
      <c r="K11" s="96">
        <v>0</v>
      </c>
      <c r="L11" s="96">
        <v>1</v>
      </c>
      <c r="M11" s="96" t="s">
        <v>43</v>
      </c>
      <c r="N11" s="96">
        <v>1</v>
      </c>
      <c r="O11" s="111" t="s">
        <v>6</v>
      </c>
      <c r="P11" s="111" t="s">
        <v>339</v>
      </c>
      <c r="Q11" s="111"/>
      <c r="R11" s="111"/>
      <c r="S11" s="111"/>
      <c r="T11" s="111"/>
    </row>
    <row r="12" spans="1:20" ht="15" x14ac:dyDescent="0.4">
      <c r="A12" s="42" t="s">
        <v>318</v>
      </c>
      <c r="B12" s="48">
        <v>7</v>
      </c>
      <c r="C12" s="43" t="s">
        <v>385</v>
      </c>
      <c r="D12" s="48">
        <v>7</v>
      </c>
      <c r="E12" s="54"/>
      <c r="F12" s="42"/>
      <c r="G12" s="93"/>
      <c r="H12" s="110"/>
      <c r="I12" s="94"/>
      <c r="J12" s="95">
        <v>0</v>
      </c>
      <c r="K12" s="96">
        <v>0</v>
      </c>
      <c r="L12" s="96">
        <v>1</v>
      </c>
      <c r="M12" s="96" t="s">
        <v>43</v>
      </c>
      <c r="N12" s="96">
        <v>1</v>
      </c>
      <c r="O12" s="111" t="s">
        <v>6</v>
      </c>
      <c r="P12" s="111" t="s">
        <v>339</v>
      </c>
      <c r="Q12" s="111"/>
      <c r="R12" s="111"/>
      <c r="S12" s="111"/>
      <c r="T12" s="111"/>
    </row>
    <row r="13" spans="1:20" ht="15" x14ac:dyDescent="0.4">
      <c r="A13" s="42" t="s">
        <v>318</v>
      </c>
      <c r="B13" s="48">
        <v>8</v>
      </c>
      <c r="C13" s="43" t="s">
        <v>385</v>
      </c>
      <c r="D13" s="48">
        <v>8</v>
      </c>
      <c r="E13" s="54"/>
      <c r="F13" s="42"/>
      <c r="G13" s="93"/>
      <c r="H13" s="110"/>
      <c r="I13" s="94"/>
      <c r="J13" s="95">
        <v>0</v>
      </c>
      <c r="K13" s="96">
        <v>0</v>
      </c>
      <c r="L13" s="96">
        <v>1</v>
      </c>
      <c r="M13" s="96" t="s">
        <v>43</v>
      </c>
      <c r="N13" s="96">
        <v>1</v>
      </c>
      <c r="O13" s="111" t="s">
        <v>6</v>
      </c>
      <c r="P13" s="111" t="s">
        <v>339</v>
      </c>
      <c r="Q13" s="111"/>
      <c r="R13" s="111"/>
      <c r="S13" s="111"/>
      <c r="T13" s="111"/>
    </row>
    <row r="14" spans="1:20" ht="15" x14ac:dyDescent="0.4">
      <c r="A14" s="42" t="s">
        <v>318</v>
      </c>
      <c r="B14" s="48">
        <v>9</v>
      </c>
      <c r="C14" s="43" t="s">
        <v>385</v>
      </c>
      <c r="D14" s="48">
        <v>9</v>
      </c>
      <c r="E14" s="54"/>
      <c r="F14" s="42"/>
      <c r="G14" s="93"/>
      <c r="H14" s="110"/>
      <c r="I14" s="110"/>
      <c r="J14" s="95">
        <v>0</v>
      </c>
      <c r="K14" s="96">
        <v>0</v>
      </c>
      <c r="L14" s="96">
        <v>1</v>
      </c>
      <c r="M14" s="96" t="s">
        <v>43</v>
      </c>
      <c r="N14" s="96">
        <v>1</v>
      </c>
      <c r="O14" s="111" t="s">
        <v>6</v>
      </c>
      <c r="P14" s="111" t="s">
        <v>339</v>
      </c>
      <c r="Q14" s="111"/>
      <c r="R14" s="111"/>
      <c r="S14" s="111"/>
      <c r="T14" s="111"/>
    </row>
    <row r="15" spans="1:20" ht="15" hidden="1" x14ac:dyDescent="0.4">
      <c r="A15" s="42" t="s">
        <v>318</v>
      </c>
      <c r="B15" s="48">
        <v>10</v>
      </c>
      <c r="C15" s="43" t="s">
        <v>385</v>
      </c>
      <c r="D15" s="48">
        <v>10</v>
      </c>
      <c r="E15" s="54"/>
      <c r="F15" s="42"/>
      <c r="G15" s="93"/>
      <c r="H15" s="110"/>
      <c r="I15" s="110"/>
      <c r="J15" s="95">
        <v>0</v>
      </c>
      <c r="K15" s="96">
        <v>0</v>
      </c>
      <c r="L15" s="96">
        <v>1</v>
      </c>
      <c r="M15" s="96" t="s">
        <v>43</v>
      </c>
      <c r="N15" s="96">
        <v>1</v>
      </c>
      <c r="O15" s="111" t="s">
        <v>6</v>
      </c>
      <c r="P15" s="111" t="s">
        <v>339</v>
      </c>
      <c r="Q15" s="111"/>
      <c r="R15" s="111"/>
      <c r="S15" s="111"/>
      <c r="T15" s="111"/>
    </row>
    <row r="16" spans="1:20" ht="15" hidden="1" x14ac:dyDescent="0.4">
      <c r="A16" s="42" t="s">
        <v>318</v>
      </c>
      <c r="B16" s="48">
        <v>11</v>
      </c>
      <c r="C16" s="43" t="s">
        <v>385</v>
      </c>
      <c r="D16" s="48">
        <v>11</v>
      </c>
      <c r="E16" s="54"/>
      <c r="F16" s="42"/>
      <c r="G16" s="93"/>
      <c r="H16" s="110"/>
      <c r="I16" s="110"/>
      <c r="J16" s="95">
        <v>0</v>
      </c>
      <c r="K16" s="96">
        <v>0</v>
      </c>
      <c r="L16" s="96">
        <v>1</v>
      </c>
      <c r="M16" s="96" t="s">
        <v>43</v>
      </c>
      <c r="N16" s="96">
        <v>1</v>
      </c>
      <c r="O16" s="111" t="s">
        <v>6</v>
      </c>
      <c r="P16" s="111" t="s">
        <v>339</v>
      </c>
      <c r="Q16" s="111"/>
      <c r="R16" s="111"/>
      <c r="S16" s="111"/>
      <c r="T16" s="111"/>
    </row>
    <row r="17" spans="1:20" ht="15" hidden="1" x14ac:dyDescent="0.4">
      <c r="A17" s="42" t="s">
        <v>318</v>
      </c>
      <c r="B17" s="48">
        <v>12</v>
      </c>
      <c r="C17" s="43" t="s">
        <v>385</v>
      </c>
      <c r="D17" s="48">
        <v>12</v>
      </c>
      <c r="E17" s="54"/>
      <c r="F17" s="42"/>
      <c r="G17" s="93"/>
      <c r="H17" s="110"/>
      <c r="I17" s="110"/>
      <c r="J17" s="95">
        <v>0</v>
      </c>
      <c r="K17" s="96">
        <v>0</v>
      </c>
      <c r="L17" s="96">
        <v>1</v>
      </c>
      <c r="M17" s="96" t="s">
        <v>43</v>
      </c>
      <c r="N17" s="96">
        <v>1</v>
      </c>
      <c r="O17" s="111" t="s">
        <v>6</v>
      </c>
      <c r="P17" s="111" t="s">
        <v>339</v>
      </c>
      <c r="Q17" s="111"/>
      <c r="R17" s="111"/>
      <c r="S17" s="111"/>
      <c r="T17" s="111"/>
    </row>
    <row r="18" spans="1:20" ht="15" hidden="1" x14ac:dyDescent="0.4">
      <c r="A18" s="42" t="s">
        <v>318</v>
      </c>
      <c r="B18" s="48">
        <v>13</v>
      </c>
      <c r="C18" s="43" t="s">
        <v>385</v>
      </c>
      <c r="D18" s="48">
        <v>13</v>
      </c>
      <c r="E18" s="54"/>
      <c r="F18" s="42"/>
      <c r="G18" s="93"/>
      <c r="H18" s="110"/>
      <c r="I18" s="110"/>
      <c r="J18" s="95">
        <v>0</v>
      </c>
      <c r="K18" s="96">
        <v>0</v>
      </c>
      <c r="L18" s="96">
        <v>1</v>
      </c>
      <c r="M18" s="96" t="s">
        <v>43</v>
      </c>
      <c r="N18" s="96">
        <v>1</v>
      </c>
      <c r="O18" s="111" t="s">
        <v>6</v>
      </c>
      <c r="P18" s="111" t="s">
        <v>339</v>
      </c>
      <c r="Q18" s="111"/>
      <c r="R18" s="111"/>
      <c r="S18" s="111"/>
      <c r="T18" s="111"/>
    </row>
    <row r="19" spans="1:20" ht="15" hidden="1" x14ac:dyDescent="0.4">
      <c r="A19" s="42" t="s">
        <v>318</v>
      </c>
      <c r="B19" s="48">
        <v>14</v>
      </c>
      <c r="C19" s="43" t="s">
        <v>385</v>
      </c>
      <c r="D19" s="48">
        <v>14</v>
      </c>
      <c r="E19" s="54"/>
      <c r="F19" s="42"/>
      <c r="G19" s="93"/>
      <c r="H19" s="110"/>
      <c r="I19" s="110"/>
      <c r="J19" s="95">
        <v>0</v>
      </c>
      <c r="K19" s="96">
        <v>0</v>
      </c>
      <c r="L19" s="96">
        <v>1</v>
      </c>
      <c r="M19" s="96" t="s">
        <v>43</v>
      </c>
      <c r="N19" s="96">
        <v>1</v>
      </c>
      <c r="O19" s="111" t="s">
        <v>6</v>
      </c>
      <c r="P19" s="111" t="s">
        <v>339</v>
      </c>
      <c r="Q19" s="111"/>
      <c r="R19" s="111"/>
      <c r="S19" s="111"/>
      <c r="T19" s="111"/>
    </row>
    <row r="20" spans="1:20" ht="15" hidden="1" x14ac:dyDescent="0.4">
      <c r="A20" s="42" t="s">
        <v>318</v>
      </c>
      <c r="B20" s="48">
        <v>15</v>
      </c>
      <c r="C20" s="43" t="s">
        <v>385</v>
      </c>
      <c r="D20" s="48">
        <v>15</v>
      </c>
      <c r="E20" s="54"/>
      <c r="F20" s="42"/>
      <c r="G20" s="93"/>
      <c r="H20" s="110"/>
      <c r="I20" s="110"/>
      <c r="J20" s="95">
        <v>0</v>
      </c>
      <c r="K20" s="96">
        <v>0</v>
      </c>
      <c r="L20" s="96">
        <v>1</v>
      </c>
      <c r="M20" s="96" t="s">
        <v>43</v>
      </c>
      <c r="N20" s="96">
        <v>1</v>
      </c>
      <c r="O20" s="111" t="s">
        <v>6</v>
      </c>
      <c r="P20" s="111" t="s">
        <v>339</v>
      </c>
      <c r="Q20" s="111"/>
      <c r="R20" s="111"/>
      <c r="S20" s="111"/>
      <c r="T20" s="111"/>
    </row>
    <row r="21" spans="1:20" ht="15" hidden="1" x14ac:dyDescent="0.4">
      <c r="A21" s="42" t="s">
        <v>318</v>
      </c>
      <c r="B21" s="48">
        <v>16</v>
      </c>
      <c r="C21" s="43" t="s">
        <v>385</v>
      </c>
      <c r="D21" s="48">
        <v>16</v>
      </c>
      <c r="E21" s="54"/>
      <c r="F21" s="42"/>
      <c r="G21" s="93"/>
      <c r="H21" s="110"/>
      <c r="I21" s="110"/>
      <c r="J21" s="95">
        <v>0</v>
      </c>
      <c r="K21" s="96">
        <v>0</v>
      </c>
      <c r="L21" s="96">
        <v>1</v>
      </c>
      <c r="M21" s="96" t="s">
        <v>43</v>
      </c>
      <c r="N21" s="96">
        <v>1</v>
      </c>
      <c r="O21" s="111" t="s">
        <v>6</v>
      </c>
      <c r="P21" s="111" t="s">
        <v>339</v>
      </c>
      <c r="Q21" s="111"/>
      <c r="R21" s="111"/>
      <c r="S21" s="111"/>
      <c r="T21" s="111"/>
    </row>
    <row r="22" spans="1:20" ht="15" hidden="1" x14ac:dyDescent="0.4">
      <c r="A22" s="42" t="s">
        <v>318</v>
      </c>
      <c r="B22" s="48">
        <v>17</v>
      </c>
      <c r="C22" s="43" t="s">
        <v>385</v>
      </c>
      <c r="D22" s="48">
        <v>17</v>
      </c>
      <c r="E22" s="54"/>
      <c r="F22" s="42"/>
      <c r="G22" s="93"/>
      <c r="H22" s="110"/>
      <c r="I22" s="110"/>
      <c r="J22" s="95">
        <v>0</v>
      </c>
      <c r="K22" s="96">
        <v>0</v>
      </c>
      <c r="L22" s="96">
        <v>1</v>
      </c>
      <c r="M22" s="96" t="s">
        <v>43</v>
      </c>
      <c r="N22" s="96">
        <v>1</v>
      </c>
      <c r="O22" s="111" t="s">
        <v>6</v>
      </c>
      <c r="P22" s="111" t="s">
        <v>339</v>
      </c>
      <c r="Q22" s="111"/>
      <c r="R22" s="111"/>
      <c r="S22" s="111"/>
      <c r="T22" s="111"/>
    </row>
    <row r="23" spans="1:20" ht="15" hidden="1" x14ac:dyDescent="0.4">
      <c r="A23" s="42" t="s">
        <v>318</v>
      </c>
      <c r="B23" s="48">
        <v>18</v>
      </c>
      <c r="C23" s="43" t="s">
        <v>385</v>
      </c>
      <c r="D23" s="48">
        <v>18</v>
      </c>
      <c r="E23" s="54"/>
      <c r="F23" s="42"/>
      <c r="G23" s="93"/>
      <c r="H23" s="110"/>
      <c r="I23" s="110"/>
      <c r="J23" s="95">
        <v>0</v>
      </c>
      <c r="K23" s="96">
        <v>0</v>
      </c>
      <c r="L23" s="96">
        <v>1</v>
      </c>
      <c r="M23" s="96" t="s">
        <v>43</v>
      </c>
      <c r="N23" s="96">
        <v>1</v>
      </c>
      <c r="O23" s="111" t="s">
        <v>6</v>
      </c>
      <c r="P23" s="111" t="s">
        <v>339</v>
      </c>
      <c r="Q23" s="111"/>
      <c r="R23" s="111"/>
      <c r="S23" s="111"/>
      <c r="T23" s="111"/>
    </row>
    <row r="24" spans="1:20" ht="15" hidden="1" x14ac:dyDescent="0.4">
      <c r="A24" s="42" t="s">
        <v>318</v>
      </c>
      <c r="B24" s="42">
        <v>19</v>
      </c>
      <c r="C24" s="52" t="s">
        <v>385</v>
      </c>
      <c r="D24" s="51">
        <v>19</v>
      </c>
      <c r="E24" s="55"/>
      <c r="F24" s="51"/>
      <c r="G24" s="93"/>
      <c r="H24" s="110"/>
      <c r="I24" s="110"/>
      <c r="J24" s="95">
        <v>0</v>
      </c>
      <c r="K24" s="96">
        <v>0</v>
      </c>
      <c r="L24" s="96">
        <v>1</v>
      </c>
      <c r="M24" s="96" t="s">
        <v>43</v>
      </c>
      <c r="N24" s="96">
        <v>1</v>
      </c>
      <c r="O24" s="111" t="s">
        <v>6</v>
      </c>
      <c r="P24" s="111" t="s">
        <v>339</v>
      </c>
      <c r="Q24" s="111"/>
      <c r="R24" s="111"/>
      <c r="S24" s="111"/>
      <c r="T24" s="111"/>
    </row>
    <row r="25" spans="1:20" ht="15" x14ac:dyDescent="0.4">
      <c r="A25" s="42" t="s">
        <v>318</v>
      </c>
      <c r="B25" s="42">
        <v>20</v>
      </c>
      <c r="C25" s="43" t="s">
        <v>386</v>
      </c>
      <c r="D25" s="48">
        <v>0</v>
      </c>
      <c r="E25" s="54" t="s">
        <v>556</v>
      </c>
      <c r="F25" s="42">
        <v>0</v>
      </c>
      <c r="G25" s="93" t="s">
        <v>555</v>
      </c>
      <c r="H25" s="110" t="s">
        <v>557</v>
      </c>
      <c r="I25" s="110"/>
      <c r="J25" s="95">
        <v>30</v>
      </c>
      <c r="K25" s="96">
        <v>0</v>
      </c>
      <c r="L25" s="96">
        <v>1000</v>
      </c>
      <c r="M25" s="96" t="s">
        <v>553</v>
      </c>
      <c r="N25" s="96">
        <v>10</v>
      </c>
      <c r="O25" s="111" t="s">
        <v>554</v>
      </c>
      <c r="P25" s="111" t="s">
        <v>338</v>
      </c>
      <c r="Q25" s="111"/>
      <c r="R25" s="111"/>
      <c r="S25" s="111"/>
      <c r="T25" s="111"/>
    </row>
    <row r="26" spans="1:20" ht="15" x14ac:dyDescent="0.4">
      <c r="A26" s="42" t="s">
        <v>318</v>
      </c>
      <c r="B26" s="42">
        <v>21</v>
      </c>
      <c r="C26" s="43" t="s">
        <v>386</v>
      </c>
      <c r="D26" s="48">
        <v>1</v>
      </c>
      <c r="E26" s="54" t="s">
        <v>556</v>
      </c>
      <c r="F26" s="42">
        <v>1</v>
      </c>
      <c r="G26" s="93" t="s">
        <v>558</v>
      </c>
      <c r="H26" s="110" t="s">
        <v>559</v>
      </c>
      <c r="I26" s="110"/>
      <c r="J26" s="95">
        <v>850</v>
      </c>
      <c r="K26" s="96">
        <v>0</v>
      </c>
      <c r="L26" s="96">
        <v>1000</v>
      </c>
      <c r="M26" s="96" t="s">
        <v>553</v>
      </c>
      <c r="N26" s="96">
        <v>10</v>
      </c>
      <c r="O26" s="111" t="s">
        <v>554</v>
      </c>
      <c r="P26" s="111" t="s">
        <v>338</v>
      </c>
      <c r="Q26" s="111"/>
      <c r="R26" s="111"/>
      <c r="S26" s="111"/>
      <c r="T26" s="111"/>
    </row>
    <row r="27" spans="1:20" ht="15" x14ac:dyDescent="0.4">
      <c r="A27" s="42" t="s">
        <v>318</v>
      </c>
      <c r="B27" s="48">
        <v>22</v>
      </c>
      <c r="C27" s="43" t="s">
        <v>386</v>
      </c>
      <c r="D27" s="48">
        <v>2</v>
      </c>
      <c r="E27" s="54" t="s">
        <v>664</v>
      </c>
      <c r="F27" s="42">
        <v>0</v>
      </c>
      <c r="G27" s="93" t="s">
        <v>666</v>
      </c>
      <c r="H27" s="110" t="s">
        <v>665</v>
      </c>
      <c r="I27" s="110"/>
      <c r="J27" s="95">
        <v>2</v>
      </c>
      <c r="K27" s="96">
        <v>0</v>
      </c>
      <c r="L27" s="96">
        <v>100</v>
      </c>
      <c r="M27" s="96" t="s">
        <v>8</v>
      </c>
      <c r="N27" s="96">
        <v>10</v>
      </c>
      <c r="O27" s="111" t="s">
        <v>554</v>
      </c>
      <c r="P27" s="111" t="s">
        <v>338</v>
      </c>
      <c r="Q27" s="111"/>
      <c r="R27" s="111"/>
      <c r="S27" s="111"/>
      <c r="T27" s="111"/>
    </row>
    <row r="28" spans="1:20" ht="15" x14ac:dyDescent="0.4">
      <c r="A28" s="42" t="s">
        <v>318</v>
      </c>
      <c r="B28" s="48">
        <v>23</v>
      </c>
      <c r="C28" s="43" t="s">
        <v>386</v>
      </c>
      <c r="D28" s="48">
        <v>3</v>
      </c>
      <c r="E28" s="54" t="s">
        <v>390</v>
      </c>
      <c r="F28" s="42">
        <v>0</v>
      </c>
      <c r="G28" s="93" t="s">
        <v>667</v>
      </c>
      <c r="H28" s="110" t="s">
        <v>349</v>
      </c>
      <c r="I28" s="110"/>
      <c r="J28" s="95">
        <v>20</v>
      </c>
      <c r="K28" s="96">
        <v>0</v>
      </c>
      <c r="L28" s="96">
        <v>120</v>
      </c>
      <c r="M28" s="96" t="s">
        <v>8</v>
      </c>
      <c r="N28" s="96">
        <v>100</v>
      </c>
      <c r="O28" s="111" t="s">
        <v>379</v>
      </c>
      <c r="P28" s="111" t="s">
        <v>338</v>
      </c>
      <c r="Q28" s="111"/>
      <c r="R28" s="111"/>
      <c r="S28" s="111"/>
      <c r="T28" s="111"/>
    </row>
    <row r="29" spans="1:20" ht="15" x14ac:dyDescent="0.4">
      <c r="A29" s="42" t="s">
        <v>318</v>
      </c>
      <c r="B29" s="48">
        <v>24</v>
      </c>
      <c r="C29" s="43" t="s">
        <v>386</v>
      </c>
      <c r="D29" s="48">
        <v>4</v>
      </c>
      <c r="E29" s="54" t="s">
        <v>390</v>
      </c>
      <c r="F29" s="42">
        <v>1</v>
      </c>
      <c r="G29" s="93" t="s">
        <v>668</v>
      </c>
      <c r="H29" s="110" t="s">
        <v>350</v>
      </c>
      <c r="I29" s="110"/>
      <c r="J29" s="95">
        <v>50</v>
      </c>
      <c r="K29" s="96">
        <v>0</v>
      </c>
      <c r="L29" s="96">
        <v>120</v>
      </c>
      <c r="M29" s="96" t="s">
        <v>10</v>
      </c>
      <c r="N29" s="96">
        <v>100</v>
      </c>
      <c r="O29" s="111" t="s">
        <v>379</v>
      </c>
      <c r="P29" s="111" t="s">
        <v>338</v>
      </c>
      <c r="Q29" s="111"/>
      <c r="R29" s="111"/>
      <c r="S29" s="111"/>
      <c r="T29" s="111"/>
    </row>
    <row r="30" spans="1:20" ht="30" x14ac:dyDescent="0.4">
      <c r="A30" s="42" t="s">
        <v>318</v>
      </c>
      <c r="B30" s="48">
        <v>25</v>
      </c>
      <c r="C30" s="43" t="s">
        <v>386</v>
      </c>
      <c r="D30" s="48">
        <v>5</v>
      </c>
      <c r="E30" s="54" t="s">
        <v>390</v>
      </c>
      <c r="F30" s="42">
        <v>2</v>
      </c>
      <c r="G30" s="93" t="s">
        <v>560</v>
      </c>
      <c r="H30" s="110" t="s">
        <v>269</v>
      </c>
      <c r="I30" s="110"/>
      <c r="J30" s="95">
        <v>5</v>
      </c>
      <c r="K30" s="96">
        <v>0</v>
      </c>
      <c r="L30" s="96">
        <v>120</v>
      </c>
      <c r="M30" s="96" t="s">
        <v>10</v>
      </c>
      <c r="N30" s="96">
        <v>100</v>
      </c>
      <c r="O30" s="111" t="s">
        <v>379</v>
      </c>
      <c r="P30" s="111" t="s">
        <v>338</v>
      </c>
      <c r="Q30" s="111"/>
      <c r="R30" s="111"/>
      <c r="S30" s="111"/>
      <c r="T30" s="111"/>
    </row>
    <row r="31" spans="1:20" ht="30" x14ac:dyDescent="0.4">
      <c r="A31" s="42" t="s">
        <v>318</v>
      </c>
      <c r="B31" s="48">
        <v>26</v>
      </c>
      <c r="C31" s="43" t="s">
        <v>386</v>
      </c>
      <c r="D31" s="48">
        <v>6</v>
      </c>
      <c r="E31" s="54" t="s">
        <v>390</v>
      </c>
      <c r="F31" s="42">
        <v>3</v>
      </c>
      <c r="G31" s="93" t="s">
        <v>561</v>
      </c>
      <c r="H31" s="110" t="s">
        <v>270</v>
      </c>
      <c r="I31" s="110"/>
      <c r="J31" s="95">
        <v>10</v>
      </c>
      <c r="K31" s="96">
        <v>0</v>
      </c>
      <c r="L31" s="96">
        <v>100</v>
      </c>
      <c r="M31" s="96" t="s">
        <v>21</v>
      </c>
      <c r="N31" s="96">
        <v>10</v>
      </c>
      <c r="O31" s="111" t="s">
        <v>379</v>
      </c>
      <c r="P31" s="111" t="s">
        <v>338</v>
      </c>
      <c r="Q31" s="111"/>
      <c r="R31" s="111"/>
      <c r="S31" s="111"/>
      <c r="T31" s="111"/>
    </row>
    <row r="32" spans="1:20" ht="15" x14ac:dyDescent="0.4">
      <c r="A32" s="42" t="s">
        <v>318</v>
      </c>
      <c r="B32" s="48">
        <v>27</v>
      </c>
      <c r="C32" s="43" t="s">
        <v>386</v>
      </c>
      <c r="D32" s="48">
        <v>7</v>
      </c>
      <c r="E32" s="54" t="s">
        <v>326</v>
      </c>
      <c r="F32" s="42">
        <v>0</v>
      </c>
      <c r="G32" s="93" t="s">
        <v>562</v>
      </c>
      <c r="H32" s="110" t="s">
        <v>351</v>
      </c>
      <c r="I32" s="110"/>
      <c r="J32" s="95">
        <v>1</v>
      </c>
      <c r="K32" s="96">
        <v>0</v>
      </c>
      <c r="L32" s="96">
        <v>10</v>
      </c>
      <c r="M32" s="96" t="s">
        <v>21</v>
      </c>
      <c r="N32" s="96">
        <v>10</v>
      </c>
      <c r="O32" s="111" t="s">
        <v>379</v>
      </c>
      <c r="P32" s="111" t="s">
        <v>338</v>
      </c>
      <c r="Q32" s="111"/>
      <c r="R32" s="111"/>
      <c r="S32" s="111"/>
      <c r="T32" s="111"/>
    </row>
    <row r="33" spans="1:20" ht="15" x14ac:dyDescent="0.4">
      <c r="A33" s="42" t="s">
        <v>318</v>
      </c>
      <c r="B33" s="48">
        <v>28</v>
      </c>
      <c r="C33" s="43" t="s">
        <v>386</v>
      </c>
      <c r="D33" s="48">
        <v>8</v>
      </c>
      <c r="E33" s="54" t="s">
        <v>326</v>
      </c>
      <c r="F33" s="42">
        <v>1</v>
      </c>
      <c r="G33" s="93" t="s">
        <v>563</v>
      </c>
      <c r="H33" s="110" t="s">
        <v>352</v>
      </c>
      <c r="I33" s="110"/>
      <c r="J33" s="95">
        <v>1</v>
      </c>
      <c r="K33" s="96">
        <v>0</v>
      </c>
      <c r="L33" s="96">
        <v>10</v>
      </c>
      <c r="M33" s="96" t="s">
        <v>21</v>
      </c>
      <c r="N33" s="96">
        <v>10</v>
      </c>
      <c r="O33" s="111" t="s">
        <v>379</v>
      </c>
      <c r="P33" s="111" t="s">
        <v>338</v>
      </c>
      <c r="Q33" s="111"/>
      <c r="R33" s="111"/>
      <c r="S33" s="111"/>
      <c r="T33" s="111"/>
    </row>
    <row r="34" spans="1:20" ht="15" x14ac:dyDescent="0.4">
      <c r="A34" s="42" t="s">
        <v>318</v>
      </c>
      <c r="B34" s="48">
        <v>29</v>
      </c>
      <c r="C34" s="43" t="s">
        <v>386</v>
      </c>
      <c r="D34" s="48">
        <v>9</v>
      </c>
      <c r="E34" s="54" t="s">
        <v>326</v>
      </c>
      <c r="F34" s="42">
        <v>2</v>
      </c>
      <c r="G34" s="93" t="s">
        <v>564</v>
      </c>
      <c r="H34" s="110" t="s">
        <v>353</v>
      </c>
      <c r="I34" s="110"/>
      <c r="J34" s="95">
        <v>5</v>
      </c>
      <c r="K34" s="96">
        <v>0</v>
      </c>
      <c r="L34" s="96">
        <v>100</v>
      </c>
      <c r="M34" s="96" t="s">
        <v>354</v>
      </c>
      <c r="N34" s="96">
        <v>10</v>
      </c>
      <c r="O34" s="111" t="s">
        <v>379</v>
      </c>
      <c r="P34" s="111" t="s">
        <v>338</v>
      </c>
      <c r="Q34" s="111"/>
      <c r="R34" s="111"/>
      <c r="S34" s="111"/>
      <c r="T34" s="111"/>
    </row>
    <row r="35" spans="1:20" ht="15" x14ac:dyDescent="0.4">
      <c r="A35" s="42" t="s">
        <v>318</v>
      </c>
      <c r="B35" s="48">
        <v>30</v>
      </c>
      <c r="C35" s="43" t="s">
        <v>386</v>
      </c>
      <c r="D35" s="48">
        <v>10</v>
      </c>
      <c r="E35" s="54" t="s">
        <v>327</v>
      </c>
      <c r="F35" s="42">
        <v>0</v>
      </c>
      <c r="G35" s="93" t="s">
        <v>565</v>
      </c>
      <c r="H35" s="110" t="s">
        <v>355</v>
      </c>
      <c r="I35" s="110"/>
      <c r="J35" s="95">
        <v>180</v>
      </c>
      <c r="K35" s="96">
        <v>0</v>
      </c>
      <c r="L35" s="96">
        <v>3600</v>
      </c>
      <c r="M35" s="96" t="s">
        <v>21</v>
      </c>
      <c r="N35" s="96">
        <v>100</v>
      </c>
      <c r="O35" s="111" t="s">
        <v>379</v>
      </c>
      <c r="P35" s="111" t="s">
        <v>338</v>
      </c>
      <c r="Q35" s="111"/>
      <c r="R35" s="111"/>
      <c r="S35" s="111"/>
      <c r="T35" s="111"/>
    </row>
    <row r="36" spans="1:20" ht="30" x14ac:dyDescent="0.4">
      <c r="A36" s="42" t="s">
        <v>318</v>
      </c>
      <c r="B36" s="48">
        <v>31</v>
      </c>
      <c r="C36" s="43" t="s">
        <v>386</v>
      </c>
      <c r="D36" s="48">
        <v>11</v>
      </c>
      <c r="E36" s="54" t="s">
        <v>387</v>
      </c>
      <c r="F36" s="42">
        <v>0</v>
      </c>
      <c r="G36" s="93" t="s">
        <v>675</v>
      </c>
      <c r="H36" s="110" t="s">
        <v>356</v>
      </c>
      <c r="I36" s="110"/>
      <c r="J36" s="95">
        <v>50</v>
      </c>
      <c r="K36" s="96">
        <v>0</v>
      </c>
      <c r="L36" s="96">
        <v>800</v>
      </c>
      <c r="M36" s="96" t="s">
        <v>9</v>
      </c>
      <c r="N36" s="96">
        <v>10</v>
      </c>
      <c r="O36" s="111" t="s">
        <v>379</v>
      </c>
      <c r="P36" s="111" t="s">
        <v>338</v>
      </c>
      <c r="Q36" s="111"/>
      <c r="R36" s="111"/>
      <c r="S36" s="111"/>
      <c r="T36" s="111"/>
    </row>
    <row r="37" spans="1:20" ht="15" x14ac:dyDescent="0.4">
      <c r="A37" s="42" t="s">
        <v>318</v>
      </c>
      <c r="B37" s="48">
        <v>32</v>
      </c>
      <c r="C37" s="43" t="s">
        <v>386</v>
      </c>
      <c r="D37" s="48">
        <v>12</v>
      </c>
      <c r="E37" s="54" t="s">
        <v>387</v>
      </c>
      <c r="F37" s="42">
        <v>1</v>
      </c>
      <c r="G37" s="93" t="s">
        <v>670</v>
      </c>
      <c r="H37" s="110" t="s">
        <v>671</v>
      </c>
      <c r="I37" s="110"/>
      <c r="J37" s="95">
        <v>300</v>
      </c>
      <c r="K37" s="96">
        <v>0</v>
      </c>
      <c r="L37" s="96">
        <v>800</v>
      </c>
      <c r="M37" s="96" t="s">
        <v>9</v>
      </c>
      <c r="N37" s="96">
        <v>10</v>
      </c>
      <c r="O37" s="111" t="s">
        <v>379</v>
      </c>
      <c r="P37" s="111" t="s">
        <v>338</v>
      </c>
      <c r="Q37" s="111"/>
      <c r="R37" s="111"/>
      <c r="S37" s="111"/>
      <c r="T37" s="111"/>
    </row>
    <row r="38" spans="1:20" ht="15" x14ac:dyDescent="0.4">
      <c r="A38" s="42" t="s">
        <v>318</v>
      </c>
      <c r="B38" s="48">
        <v>33</v>
      </c>
      <c r="C38" s="43" t="s">
        <v>386</v>
      </c>
      <c r="D38" s="48">
        <v>13</v>
      </c>
      <c r="E38" s="54" t="s">
        <v>387</v>
      </c>
      <c r="F38" s="42">
        <v>2</v>
      </c>
      <c r="G38" s="93" t="s">
        <v>672</v>
      </c>
      <c r="H38" s="110" t="s">
        <v>676</v>
      </c>
      <c r="I38" s="110"/>
      <c r="J38" s="95">
        <v>300</v>
      </c>
      <c r="K38" s="96">
        <v>0</v>
      </c>
      <c r="L38" s="96">
        <v>800</v>
      </c>
      <c r="M38" s="96" t="s">
        <v>9</v>
      </c>
      <c r="N38" s="96">
        <v>10</v>
      </c>
      <c r="O38" s="111" t="s">
        <v>379</v>
      </c>
      <c r="P38" s="111" t="s">
        <v>338</v>
      </c>
      <c r="Q38" s="111"/>
      <c r="R38" s="111"/>
      <c r="S38" s="111"/>
      <c r="T38" s="111"/>
    </row>
    <row r="39" spans="1:20" ht="15" x14ac:dyDescent="0.4">
      <c r="A39" s="42" t="s">
        <v>318</v>
      </c>
      <c r="B39" s="48">
        <v>34</v>
      </c>
      <c r="C39" s="43" t="s">
        <v>386</v>
      </c>
      <c r="D39" s="48">
        <v>14</v>
      </c>
      <c r="E39" s="54" t="s">
        <v>387</v>
      </c>
      <c r="F39" s="42">
        <v>3</v>
      </c>
      <c r="G39" s="93" t="s">
        <v>674</v>
      </c>
      <c r="H39" s="110" t="s">
        <v>677</v>
      </c>
      <c r="I39" s="110"/>
      <c r="J39" s="95">
        <v>300</v>
      </c>
      <c r="K39" s="96">
        <v>0</v>
      </c>
      <c r="L39" s="96">
        <v>800</v>
      </c>
      <c r="M39" s="96" t="s">
        <v>9</v>
      </c>
      <c r="N39" s="96">
        <v>10</v>
      </c>
      <c r="O39" s="111" t="s">
        <v>379</v>
      </c>
      <c r="P39" s="111" t="s">
        <v>338</v>
      </c>
      <c r="Q39" s="111"/>
      <c r="R39" s="111"/>
      <c r="S39" s="111"/>
      <c r="T39" s="111"/>
    </row>
    <row r="40" spans="1:20" ht="15" x14ac:dyDescent="0.4">
      <c r="A40" s="42" t="s">
        <v>318</v>
      </c>
      <c r="B40" s="48">
        <v>35</v>
      </c>
      <c r="C40" s="43" t="s">
        <v>386</v>
      </c>
      <c r="D40" s="48">
        <v>15</v>
      </c>
      <c r="E40" s="54" t="s">
        <v>387</v>
      </c>
      <c r="F40" s="42">
        <v>4</v>
      </c>
      <c r="G40" s="93" t="s">
        <v>673</v>
      </c>
      <c r="H40" s="110" t="s">
        <v>678</v>
      </c>
      <c r="I40" s="110"/>
      <c r="J40" s="95">
        <v>300</v>
      </c>
      <c r="K40" s="96">
        <v>0</v>
      </c>
      <c r="L40" s="96">
        <v>800</v>
      </c>
      <c r="M40" s="96" t="s">
        <v>9</v>
      </c>
      <c r="N40" s="96">
        <v>10</v>
      </c>
      <c r="O40" s="111" t="s">
        <v>379</v>
      </c>
      <c r="P40" s="111" t="s">
        <v>338</v>
      </c>
      <c r="Q40" s="111"/>
      <c r="R40" s="111"/>
      <c r="S40" s="111"/>
      <c r="T40" s="111"/>
    </row>
    <row r="41" spans="1:20" ht="30" x14ac:dyDescent="0.4">
      <c r="A41" s="42" t="s">
        <v>318</v>
      </c>
      <c r="B41" s="48">
        <v>36</v>
      </c>
      <c r="C41" s="43" t="s">
        <v>386</v>
      </c>
      <c r="D41" s="48">
        <v>16</v>
      </c>
      <c r="E41" s="54" t="s">
        <v>341</v>
      </c>
      <c r="F41" s="42">
        <v>0</v>
      </c>
      <c r="G41" s="93" t="s">
        <v>579</v>
      </c>
      <c r="H41" s="110" t="s">
        <v>402</v>
      </c>
      <c r="I41" s="110"/>
      <c r="J41" s="95">
        <v>36000</v>
      </c>
      <c r="K41" s="96">
        <v>0</v>
      </c>
      <c r="L41" s="96">
        <v>65000</v>
      </c>
      <c r="M41" s="96" t="s">
        <v>21</v>
      </c>
      <c r="N41" s="96">
        <v>1</v>
      </c>
      <c r="O41" s="111" t="s">
        <v>379</v>
      </c>
      <c r="P41" s="111" t="s">
        <v>338</v>
      </c>
      <c r="Q41" s="111"/>
      <c r="R41" s="111"/>
      <c r="S41" s="111"/>
      <c r="T41" s="111"/>
    </row>
    <row r="42" spans="1:20" ht="30" x14ac:dyDescent="0.4">
      <c r="A42" s="42" t="s">
        <v>318</v>
      </c>
      <c r="B42" s="48">
        <v>37</v>
      </c>
      <c r="C42" s="43" t="s">
        <v>386</v>
      </c>
      <c r="D42" s="48">
        <v>17</v>
      </c>
      <c r="E42" s="54" t="s">
        <v>341</v>
      </c>
      <c r="F42" s="42">
        <v>1</v>
      </c>
      <c r="G42" s="93" t="s">
        <v>580</v>
      </c>
      <c r="H42" s="110" t="s">
        <v>403</v>
      </c>
      <c r="I42" s="110"/>
      <c r="J42" s="95">
        <v>10</v>
      </c>
      <c r="K42" s="96">
        <v>0</v>
      </c>
      <c r="L42" s="96">
        <v>100</v>
      </c>
      <c r="M42" s="96" t="s">
        <v>21</v>
      </c>
      <c r="N42" s="96">
        <v>1</v>
      </c>
      <c r="O42" s="111" t="s">
        <v>379</v>
      </c>
      <c r="P42" s="111" t="s">
        <v>338</v>
      </c>
      <c r="Q42" s="111"/>
      <c r="R42" s="111"/>
      <c r="S42" s="111"/>
      <c r="T42" s="111"/>
    </row>
    <row r="43" spans="1:20" ht="15" x14ac:dyDescent="0.4">
      <c r="A43" s="42" t="s">
        <v>318</v>
      </c>
      <c r="B43" s="48">
        <v>38</v>
      </c>
      <c r="C43" s="43" t="s">
        <v>386</v>
      </c>
      <c r="D43" s="48">
        <v>18</v>
      </c>
      <c r="E43" s="54" t="s">
        <v>342</v>
      </c>
      <c r="F43" s="42">
        <v>0</v>
      </c>
      <c r="G43" s="93" t="s">
        <v>581</v>
      </c>
      <c r="H43" s="110" t="s">
        <v>325</v>
      </c>
      <c r="I43" s="110"/>
      <c r="J43" s="95">
        <v>5</v>
      </c>
      <c r="K43" s="96">
        <v>0</v>
      </c>
      <c r="L43" s="96">
        <v>100</v>
      </c>
      <c r="M43" s="96" t="s">
        <v>10</v>
      </c>
      <c r="N43" s="96">
        <v>100</v>
      </c>
      <c r="O43" s="111" t="s">
        <v>379</v>
      </c>
      <c r="P43" s="111" t="s">
        <v>338</v>
      </c>
      <c r="Q43" s="111"/>
      <c r="R43" s="111"/>
      <c r="S43" s="111"/>
      <c r="T43" s="111"/>
    </row>
    <row r="44" spans="1:20" ht="15" x14ac:dyDescent="0.4">
      <c r="A44" s="42" t="s">
        <v>318</v>
      </c>
      <c r="B44" s="48">
        <v>39</v>
      </c>
      <c r="C44" s="43" t="s">
        <v>386</v>
      </c>
      <c r="D44" s="48">
        <v>19</v>
      </c>
      <c r="E44" s="54"/>
      <c r="F44" s="42"/>
      <c r="G44" s="93"/>
      <c r="H44" s="98"/>
      <c r="I44" s="110"/>
      <c r="J44" s="95">
        <v>0</v>
      </c>
      <c r="K44" s="96">
        <v>0</v>
      </c>
      <c r="L44" s="96">
        <v>1</v>
      </c>
      <c r="M44" s="96" t="s">
        <v>43</v>
      </c>
      <c r="N44" s="96">
        <v>1</v>
      </c>
      <c r="O44" s="111" t="s">
        <v>6</v>
      </c>
      <c r="P44" s="111" t="s">
        <v>339</v>
      </c>
      <c r="Q44" s="111"/>
      <c r="R44" s="111"/>
      <c r="S44" s="111"/>
      <c r="T44" s="111"/>
    </row>
    <row r="45" spans="1:20" ht="15" hidden="1" x14ac:dyDescent="0.4">
      <c r="A45" s="42" t="s">
        <v>318</v>
      </c>
      <c r="B45" s="48">
        <v>40</v>
      </c>
      <c r="C45" s="43" t="s">
        <v>386</v>
      </c>
      <c r="D45" s="48">
        <v>20</v>
      </c>
      <c r="E45" s="54"/>
      <c r="F45" s="42"/>
      <c r="G45" s="93"/>
      <c r="H45" s="110"/>
      <c r="I45" s="110"/>
      <c r="J45" s="95">
        <v>0</v>
      </c>
      <c r="K45" s="96">
        <v>0</v>
      </c>
      <c r="L45" s="96">
        <v>1</v>
      </c>
      <c r="M45" s="96" t="s">
        <v>43</v>
      </c>
      <c r="N45" s="96">
        <v>1</v>
      </c>
      <c r="O45" s="111" t="s">
        <v>6</v>
      </c>
      <c r="P45" s="111" t="s">
        <v>339</v>
      </c>
      <c r="Q45" s="111"/>
      <c r="R45" s="111"/>
      <c r="S45" s="111"/>
      <c r="T45" s="111"/>
    </row>
    <row r="46" spans="1:20" ht="15" hidden="1" x14ac:dyDescent="0.4">
      <c r="A46" s="42" t="s">
        <v>318</v>
      </c>
      <c r="B46" s="48">
        <v>41</v>
      </c>
      <c r="C46" s="43" t="s">
        <v>386</v>
      </c>
      <c r="D46" s="48">
        <v>21</v>
      </c>
      <c r="E46" s="54"/>
      <c r="F46" s="42"/>
      <c r="G46" s="93"/>
      <c r="H46" s="145"/>
      <c r="I46" s="145"/>
      <c r="J46" s="95">
        <v>0</v>
      </c>
      <c r="K46" s="96">
        <v>0</v>
      </c>
      <c r="L46" s="96">
        <v>1</v>
      </c>
      <c r="M46" s="96" t="s">
        <v>43</v>
      </c>
      <c r="N46" s="96">
        <v>1</v>
      </c>
      <c r="O46" s="111" t="s">
        <v>6</v>
      </c>
      <c r="P46" s="111" t="s">
        <v>339</v>
      </c>
      <c r="Q46" s="111"/>
      <c r="R46" s="111"/>
      <c r="S46" s="111"/>
      <c r="T46" s="111"/>
    </row>
    <row r="47" spans="1:20" ht="15" hidden="1" x14ac:dyDescent="0.4">
      <c r="A47" s="42" t="s">
        <v>318</v>
      </c>
      <c r="B47" s="48">
        <v>42</v>
      </c>
      <c r="C47" s="43" t="s">
        <v>386</v>
      </c>
      <c r="D47" s="48">
        <v>22</v>
      </c>
      <c r="E47" s="54"/>
      <c r="F47" s="42"/>
      <c r="G47" s="93"/>
      <c r="H47" s="145"/>
      <c r="I47" s="145"/>
      <c r="J47" s="95">
        <v>0</v>
      </c>
      <c r="K47" s="96">
        <v>0</v>
      </c>
      <c r="L47" s="96">
        <v>1</v>
      </c>
      <c r="M47" s="96" t="s">
        <v>43</v>
      </c>
      <c r="N47" s="96">
        <v>1</v>
      </c>
      <c r="O47" s="111" t="s">
        <v>6</v>
      </c>
      <c r="P47" s="111" t="s">
        <v>339</v>
      </c>
      <c r="Q47" s="111"/>
      <c r="R47" s="111"/>
      <c r="S47" s="111"/>
      <c r="T47" s="111"/>
    </row>
    <row r="48" spans="1:20" ht="15" hidden="1" x14ac:dyDescent="0.4">
      <c r="A48" s="42" t="s">
        <v>318</v>
      </c>
      <c r="B48" s="48">
        <v>43</v>
      </c>
      <c r="C48" s="43" t="s">
        <v>386</v>
      </c>
      <c r="D48" s="48">
        <v>23</v>
      </c>
      <c r="E48" s="54"/>
      <c r="F48" s="42"/>
      <c r="G48" s="93"/>
      <c r="H48" s="145"/>
      <c r="I48" s="145"/>
      <c r="J48" s="95">
        <v>0</v>
      </c>
      <c r="K48" s="96">
        <v>0</v>
      </c>
      <c r="L48" s="96">
        <v>1</v>
      </c>
      <c r="M48" s="96" t="s">
        <v>43</v>
      </c>
      <c r="N48" s="96">
        <v>1</v>
      </c>
      <c r="O48" s="111" t="s">
        <v>6</v>
      </c>
      <c r="P48" s="111" t="s">
        <v>339</v>
      </c>
      <c r="Q48" s="111"/>
      <c r="R48" s="111"/>
      <c r="S48" s="111"/>
      <c r="T48" s="111"/>
    </row>
    <row r="49" spans="1:20" ht="15" hidden="1" x14ac:dyDescent="0.4">
      <c r="A49" s="42" t="s">
        <v>318</v>
      </c>
      <c r="B49" s="48">
        <v>44</v>
      </c>
      <c r="C49" s="43" t="s">
        <v>386</v>
      </c>
      <c r="D49" s="48">
        <v>24</v>
      </c>
      <c r="E49" s="54"/>
      <c r="F49" s="42"/>
      <c r="G49" s="93"/>
      <c r="H49" s="145"/>
      <c r="I49" s="145"/>
      <c r="J49" s="95">
        <v>0</v>
      </c>
      <c r="K49" s="96">
        <v>0</v>
      </c>
      <c r="L49" s="96">
        <v>1</v>
      </c>
      <c r="M49" s="96" t="s">
        <v>43</v>
      </c>
      <c r="N49" s="96">
        <v>1</v>
      </c>
      <c r="O49" s="111" t="s">
        <v>6</v>
      </c>
      <c r="P49" s="111" t="s">
        <v>339</v>
      </c>
      <c r="Q49" s="111"/>
      <c r="R49" s="111"/>
      <c r="S49" s="111"/>
      <c r="T49" s="111"/>
    </row>
    <row r="50" spans="1:20" ht="15" hidden="1" x14ac:dyDescent="0.4">
      <c r="A50" s="42" t="s">
        <v>318</v>
      </c>
      <c r="B50" s="48">
        <v>45</v>
      </c>
      <c r="C50" s="43" t="s">
        <v>386</v>
      </c>
      <c r="D50" s="48">
        <v>25</v>
      </c>
      <c r="E50" s="54"/>
      <c r="F50" s="42"/>
      <c r="G50" s="93"/>
      <c r="H50" s="110"/>
      <c r="I50" s="110"/>
      <c r="J50" s="95">
        <v>0</v>
      </c>
      <c r="K50" s="96">
        <v>0</v>
      </c>
      <c r="L50" s="96">
        <v>1</v>
      </c>
      <c r="M50" s="96" t="s">
        <v>43</v>
      </c>
      <c r="N50" s="96">
        <v>1</v>
      </c>
      <c r="O50" s="111" t="s">
        <v>6</v>
      </c>
      <c r="P50" s="111" t="s">
        <v>339</v>
      </c>
      <c r="Q50" s="111"/>
      <c r="R50" s="111"/>
      <c r="S50" s="111"/>
      <c r="T50" s="111"/>
    </row>
    <row r="51" spans="1:20" ht="15" hidden="1" x14ac:dyDescent="0.4">
      <c r="A51" s="42" t="s">
        <v>318</v>
      </c>
      <c r="B51" s="48">
        <v>46</v>
      </c>
      <c r="C51" s="43" t="s">
        <v>386</v>
      </c>
      <c r="D51" s="48">
        <v>26</v>
      </c>
      <c r="E51" s="54"/>
      <c r="F51" s="42"/>
      <c r="G51" s="93"/>
      <c r="H51" s="98"/>
      <c r="I51" s="98"/>
      <c r="J51" s="95">
        <v>0</v>
      </c>
      <c r="K51" s="96">
        <v>0</v>
      </c>
      <c r="L51" s="96">
        <v>1</v>
      </c>
      <c r="M51" s="96" t="s">
        <v>43</v>
      </c>
      <c r="N51" s="96">
        <v>1</v>
      </c>
      <c r="O51" s="111" t="s">
        <v>6</v>
      </c>
      <c r="P51" s="111" t="s">
        <v>339</v>
      </c>
      <c r="Q51" s="111"/>
      <c r="R51" s="111"/>
      <c r="S51" s="111"/>
      <c r="T51" s="111"/>
    </row>
    <row r="52" spans="1:20" ht="15" hidden="1" x14ac:dyDescent="0.4">
      <c r="A52" s="42" t="s">
        <v>318</v>
      </c>
      <c r="B52" s="48">
        <v>47</v>
      </c>
      <c r="C52" s="43" t="s">
        <v>386</v>
      </c>
      <c r="D52" s="48">
        <v>27</v>
      </c>
      <c r="E52" s="54"/>
      <c r="F52" s="42"/>
      <c r="G52" s="93"/>
      <c r="H52" s="145"/>
      <c r="I52" s="145"/>
      <c r="J52" s="95">
        <v>0</v>
      </c>
      <c r="K52" s="96">
        <v>0</v>
      </c>
      <c r="L52" s="96">
        <v>1</v>
      </c>
      <c r="M52" s="96" t="s">
        <v>43</v>
      </c>
      <c r="N52" s="96">
        <v>1</v>
      </c>
      <c r="O52" s="111" t="s">
        <v>6</v>
      </c>
      <c r="P52" s="111" t="s">
        <v>339</v>
      </c>
      <c r="Q52" s="111"/>
      <c r="R52" s="111"/>
      <c r="S52" s="111"/>
      <c r="T52" s="111"/>
    </row>
    <row r="53" spans="1:20" ht="15" hidden="1" x14ac:dyDescent="0.4">
      <c r="A53" s="42" t="s">
        <v>318</v>
      </c>
      <c r="B53" s="48">
        <v>48</v>
      </c>
      <c r="C53" s="43" t="s">
        <v>386</v>
      </c>
      <c r="D53" s="48">
        <v>28</v>
      </c>
      <c r="E53" s="54"/>
      <c r="F53" s="42"/>
      <c r="G53" s="93"/>
      <c r="H53" s="145"/>
      <c r="I53" s="145"/>
      <c r="J53" s="95">
        <v>0</v>
      </c>
      <c r="K53" s="96">
        <v>0</v>
      </c>
      <c r="L53" s="96">
        <v>1</v>
      </c>
      <c r="M53" s="96" t="s">
        <v>43</v>
      </c>
      <c r="N53" s="96">
        <v>1</v>
      </c>
      <c r="O53" s="111" t="s">
        <v>6</v>
      </c>
      <c r="P53" s="111" t="s">
        <v>339</v>
      </c>
      <c r="Q53" s="111"/>
      <c r="R53" s="111"/>
      <c r="S53" s="111"/>
      <c r="T53" s="111"/>
    </row>
    <row r="54" spans="1:20" ht="15" hidden="1" x14ac:dyDescent="0.4">
      <c r="A54" s="42" t="s">
        <v>318</v>
      </c>
      <c r="B54" s="48">
        <v>49</v>
      </c>
      <c r="C54" s="43" t="s">
        <v>386</v>
      </c>
      <c r="D54" s="48">
        <v>29</v>
      </c>
      <c r="E54" s="54"/>
      <c r="F54" s="42"/>
      <c r="G54" s="93"/>
      <c r="H54" s="145"/>
      <c r="I54" s="145"/>
      <c r="J54" s="95">
        <v>0</v>
      </c>
      <c r="K54" s="96">
        <v>0</v>
      </c>
      <c r="L54" s="96">
        <v>1</v>
      </c>
      <c r="M54" s="96" t="s">
        <v>43</v>
      </c>
      <c r="N54" s="96">
        <v>1</v>
      </c>
      <c r="O54" s="111" t="s">
        <v>6</v>
      </c>
      <c r="P54" s="111" t="s">
        <v>339</v>
      </c>
      <c r="Q54" s="111"/>
      <c r="R54" s="111"/>
      <c r="S54" s="111"/>
      <c r="T54" s="111"/>
    </row>
    <row r="55" spans="1:20" ht="15" hidden="1" x14ac:dyDescent="0.4">
      <c r="A55" s="42" t="s">
        <v>318</v>
      </c>
      <c r="B55" s="48">
        <v>50</v>
      </c>
      <c r="C55" s="43" t="s">
        <v>386</v>
      </c>
      <c r="D55" s="48">
        <v>30</v>
      </c>
      <c r="E55" s="54"/>
      <c r="F55" s="42"/>
      <c r="G55" s="93"/>
      <c r="H55" s="145"/>
      <c r="I55" s="145"/>
      <c r="J55" s="95">
        <v>0</v>
      </c>
      <c r="K55" s="96">
        <v>0</v>
      </c>
      <c r="L55" s="96">
        <v>1</v>
      </c>
      <c r="M55" s="96" t="s">
        <v>43</v>
      </c>
      <c r="N55" s="96">
        <v>1</v>
      </c>
      <c r="O55" s="111" t="s">
        <v>6</v>
      </c>
      <c r="P55" s="111" t="s">
        <v>339</v>
      </c>
      <c r="Q55" s="111"/>
      <c r="R55" s="111"/>
      <c r="S55" s="111"/>
      <c r="T55" s="111"/>
    </row>
    <row r="56" spans="1:20" ht="15" hidden="1" x14ac:dyDescent="0.4">
      <c r="A56" s="42" t="s">
        <v>318</v>
      </c>
      <c r="B56" s="48">
        <v>51</v>
      </c>
      <c r="C56" s="43" t="s">
        <v>386</v>
      </c>
      <c r="D56" s="48">
        <v>31</v>
      </c>
      <c r="E56" s="54"/>
      <c r="F56" s="42"/>
      <c r="G56" s="93"/>
      <c r="H56" s="145"/>
      <c r="I56" s="145"/>
      <c r="J56" s="95">
        <v>0</v>
      </c>
      <c r="K56" s="96">
        <v>0</v>
      </c>
      <c r="L56" s="96">
        <v>1</v>
      </c>
      <c r="M56" s="96" t="s">
        <v>43</v>
      </c>
      <c r="N56" s="96">
        <v>1</v>
      </c>
      <c r="O56" s="111" t="s">
        <v>6</v>
      </c>
      <c r="P56" s="111" t="s">
        <v>339</v>
      </c>
      <c r="Q56" s="111"/>
      <c r="R56" s="111"/>
      <c r="S56" s="111"/>
      <c r="T56" s="111"/>
    </row>
    <row r="57" spans="1:20" ht="15" hidden="1" x14ac:dyDescent="0.4">
      <c r="A57" s="42" t="s">
        <v>318</v>
      </c>
      <c r="B57" s="48">
        <v>52</v>
      </c>
      <c r="C57" s="43" t="s">
        <v>386</v>
      </c>
      <c r="D57" s="48">
        <v>32</v>
      </c>
      <c r="E57" s="54"/>
      <c r="F57" s="42"/>
      <c r="G57" s="93"/>
      <c r="H57" s="145"/>
      <c r="I57" s="145"/>
      <c r="J57" s="95">
        <v>0</v>
      </c>
      <c r="K57" s="96">
        <v>0</v>
      </c>
      <c r="L57" s="96">
        <v>1</v>
      </c>
      <c r="M57" s="96" t="s">
        <v>43</v>
      </c>
      <c r="N57" s="96">
        <v>1</v>
      </c>
      <c r="O57" s="111" t="s">
        <v>6</v>
      </c>
      <c r="P57" s="111" t="s">
        <v>339</v>
      </c>
      <c r="Q57" s="111"/>
      <c r="R57" s="111"/>
      <c r="S57" s="111"/>
      <c r="T57" s="111"/>
    </row>
    <row r="58" spans="1:20" ht="15" hidden="1" x14ac:dyDescent="0.4">
      <c r="A58" s="42" t="s">
        <v>318</v>
      </c>
      <c r="B58" s="48">
        <v>53</v>
      </c>
      <c r="C58" s="43" t="s">
        <v>386</v>
      </c>
      <c r="D58" s="48">
        <v>33</v>
      </c>
      <c r="E58" s="54"/>
      <c r="F58" s="42"/>
      <c r="G58" s="93"/>
      <c r="H58" s="145"/>
      <c r="I58" s="145"/>
      <c r="J58" s="95">
        <v>0</v>
      </c>
      <c r="K58" s="96">
        <v>0</v>
      </c>
      <c r="L58" s="96">
        <v>1</v>
      </c>
      <c r="M58" s="96" t="s">
        <v>43</v>
      </c>
      <c r="N58" s="96">
        <v>1</v>
      </c>
      <c r="O58" s="111" t="s">
        <v>6</v>
      </c>
      <c r="P58" s="111" t="s">
        <v>339</v>
      </c>
      <c r="Q58" s="111"/>
      <c r="R58" s="111"/>
      <c r="S58" s="111"/>
      <c r="T58" s="111"/>
    </row>
    <row r="59" spans="1:20" ht="15" hidden="1" x14ac:dyDescent="0.4">
      <c r="A59" s="42" t="s">
        <v>318</v>
      </c>
      <c r="B59" s="48">
        <v>54</v>
      </c>
      <c r="C59" s="43" t="s">
        <v>386</v>
      </c>
      <c r="D59" s="48">
        <v>34</v>
      </c>
      <c r="E59" s="54"/>
      <c r="F59" s="42"/>
      <c r="G59" s="93"/>
      <c r="H59" s="145"/>
      <c r="I59" s="145"/>
      <c r="J59" s="95">
        <v>0</v>
      </c>
      <c r="K59" s="96">
        <v>0</v>
      </c>
      <c r="L59" s="96">
        <v>1</v>
      </c>
      <c r="M59" s="96" t="s">
        <v>43</v>
      </c>
      <c r="N59" s="96">
        <v>1</v>
      </c>
      <c r="O59" s="111" t="s">
        <v>6</v>
      </c>
      <c r="P59" s="111" t="s">
        <v>339</v>
      </c>
      <c r="Q59" s="111"/>
      <c r="R59" s="111"/>
      <c r="S59" s="111"/>
      <c r="T59" s="111"/>
    </row>
    <row r="60" spans="1:20" ht="15" hidden="1" x14ac:dyDescent="0.4">
      <c r="A60" s="42" t="s">
        <v>318</v>
      </c>
      <c r="B60" s="48">
        <v>55</v>
      </c>
      <c r="C60" s="43" t="s">
        <v>386</v>
      </c>
      <c r="D60" s="48">
        <v>35</v>
      </c>
      <c r="E60" s="54"/>
      <c r="F60" s="42"/>
      <c r="G60" s="93"/>
      <c r="H60" s="145"/>
      <c r="I60" s="145"/>
      <c r="J60" s="95">
        <v>0</v>
      </c>
      <c r="K60" s="96">
        <v>0</v>
      </c>
      <c r="L60" s="96">
        <v>1</v>
      </c>
      <c r="M60" s="96" t="s">
        <v>43</v>
      </c>
      <c r="N60" s="96">
        <v>1</v>
      </c>
      <c r="O60" s="111" t="s">
        <v>6</v>
      </c>
      <c r="P60" s="111" t="s">
        <v>339</v>
      </c>
      <c r="Q60" s="111"/>
      <c r="R60" s="111"/>
      <c r="S60" s="111"/>
      <c r="T60" s="111"/>
    </row>
    <row r="61" spans="1:20" ht="15" hidden="1" x14ac:dyDescent="0.4">
      <c r="A61" s="42" t="s">
        <v>318</v>
      </c>
      <c r="B61" s="48">
        <v>56</v>
      </c>
      <c r="C61" s="43" t="s">
        <v>386</v>
      </c>
      <c r="D61" s="48">
        <v>36</v>
      </c>
      <c r="E61" s="54"/>
      <c r="F61" s="42"/>
      <c r="G61" s="93"/>
      <c r="H61" s="98"/>
      <c r="I61" s="98"/>
      <c r="J61" s="95">
        <v>0</v>
      </c>
      <c r="K61" s="96">
        <v>0</v>
      </c>
      <c r="L61" s="96">
        <v>1</v>
      </c>
      <c r="M61" s="96" t="s">
        <v>43</v>
      </c>
      <c r="N61" s="96">
        <v>1</v>
      </c>
      <c r="O61" s="111" t="s">
        <v>6</v>
      </c>
      <c r="P61" s="111" t="s">
        <v>339</v>
      </c>
      <c r="Q61" s="111"/>
      <c r="R61" s="111"/>
      <c r="S61" s="111"/>
      <c r="T61" s="111"/>
    </row>
    <row r="62" spans="1:20" ht="15" hidden="1" x14ac:dyDescent="0.4">
      <c r="A62" s="42" t="s">
        <v>318</v>
      </c>
      <c r="B62" s="48">
        <v>57</v>
      </c>
      <c r="C62" s="43" t="s">
        <v>386</v>
      </c>
      <c r="D62" s="48">
        <v>37</v>
      </c>
      <c r="E62" s="54"/>
      <c r="F62" s="42"/>
      <c r="G62" s="93"/>
      <c r="H62" s="145"/>
      <c r="I62" s="145"/>
      <c r="J62" s="95">
        <v>0</v>
      </c>
      <c r="K62" s="96">
        <v>0</v>
      </c>
      <c r="L62" s="96">
        <v>1</v>
      </c>
      <c r="M62" s="96" t="s">
        <v>43</v>
      </c>
      <c r="N62" s="96">
        <v>1</v>
      </c>
      <c r="O62" s="111" t="s">
        <v>6</v>
      </c>
      <c r="P62" s="111" t="s">
        <v>339</v>
      </c>
      <c r="Q62" s="111"/>
      <c r="R62" s="111"/>
      <c r="S62" s="111"/>
      <c r="T62" s="111"/>
    </row>
    <row r="63" spans="1:20" ht="15" hidden="1" x14ac:dyDescent="0.4">
      <c r="A63" s="42" t="s">
        <v>318</v>
      </c>
      <c r="B63" s="48">
        <v>58</v>
      </c>
      <c r="C63" s="43" t="s">
        <v>386</v>
      </c>
      <c r="D63" s="48">
        <v>38</v>
      </c>
      <c r="E63" s="54"/>
      <c r="F63" s="42"/>
      <c r="G63" s="93"/>
      <c r="H63" s="145"/>
      <c r="I63" s="145"/>
      <c r="J63" s="95">
        <v>0</v>
      </c>
      <c r="K63" s="96">
        <v>0</v>
      </c>
      <c r="L63" s="96">
        <v>1</v>
      </c>
      <c r="M63" s="96" t="s">
        <v>43</v>
      </c>
      <c r="N63" s="96">
        <v>1</v>
      </c>
      <c r="O63" s="111" t="s">
        <v>6</v>
      </c>
      <c r="P63" s="111" t="s">
        <v>339</v>
      </c>
      <c r="Q63" s="111"/>
      <c r="R63" s="111"/>
      <c r="S63" s="111"/>
      <c r="T63" s="111"/>
    </row>
    <row r="64" spans="1:20" ht="15" hidden="1" x14ac:dyDescent="0.4">
      <c r="A64" s="42" t="s">
        <v>318</v>
      </c>
      <c r="B64" s="48">
        <v>59</v>
      </c>
      <c r="C64" s="43" t="s">
        <v>386</v>
      </c>
      <c r="D64" s="48">
        <v>39</v>
      </c>
      <c r="E64" s="54"/>
      <c r="F64" s="42"/>
      <c r="G64" s="93"/>
      <c r="H64" s="145"/>
      <c r="I64" s="145"/>
      <c r="J64" s="95">
        <v>0</v>
      </c>
      <c r="K64" s="96">
        <v>0</v>
      </c>
      <c r="L64" s="96">
        <v>1</v>
      </c>
      <c r="M64" s="96" t="s">
        <v>43</v>
      </c>
      <c r="N64" s="96">
        <v>1</v>
      </c>
      <c r="O64" s="111" t="s">
        <v>6</v>
      </c>
      <c r="P64" s="111" t="s">
        <v>339</v>
      </c>
      <c r="Q64" s="111"/>
      <c r="R64" s="111"/>
      <c r="S64" s="111"/>
      <c r="T64" s="111"/>
    </row>
    <row r="65" spans="1:20" ht="15" hidden="1" x14ac:dyDescent="0.4">
      <c r="A65" s="42" t="s">
        <v>318</v>
      </c>
      <c r="B65" s="48">
        <v>60</v>
      </c>
      <c r="C65" s="43" t="s">
        <v>386</v>
      </c>
      <c r="D65" s="48">
        <v>40</v>
      </c>
      <c r="E65" s="54"/>
      <c r="F65" s="42"/>
      <c r="G65" s="93"/>
      <c r="H65" s="145"/>
      <c r="I65" s="145"/>
      <c r="J65" s="95">
        <v>0</v>
      </c>
      <c r="K65" s="96">
        <v>0</v>
      </c>
      <c r="L65" s="96">
        <v>1</v>
      </c>
      <c r="M65" s="96" t="s">
        <v>43</v>
      </c>
      <c r="N65" s="96">
        <v>1</v>
      </c>
      <c r="O65" s="111" t="s">
        <v>6</v>
      </c>
      <c r="P65" s="111" t="s">
        <v>339</v>
      </c>
      <c r="Q65" s="111"/>
      <c r="R65" s="111"/>
      <c r="S65" s="111"/>
      <c r="T65" s="111"/>
    </row>
    <row r="66" spans="1:20" ht="15" hidden="1" x14ac:dyDescent="0.4">
      <c r="A66" s="42" t="s">
        <v>318</v>
      </c>
      <c r="B66" s="48">
        <v>61</v>
      </c>
      <c r="C66" s="43" t="s">
        <v>386</v>
      </c>
      <c r="D66" s="48">
        <v>41</v>
      </c>
      <c r="E66" s="54"/>
      <c r="F66" s="42"/>
      <c r="G66" s="93"/>
      <c r="H66" s="145"/>
      <c r="I66" s="145"/>
      <c r="J66" s="95">
        <v>0</v>
      </c>
      <c r="K66" s="96">
        <v>0</v>
      </c>
      <c r="L66" s="96">
        <v>1</v>
      </c>
      <c r="M66" s="96" t="s">
        <v>43</v>
      </c>
      <c r="N66" s="96">
        <v>1</v>
      </c>
      <c r="O66" s="111" t="s">
        <v>6</v>
      </c>
      <c r="P66" s="111" t="s">
        <v>339</v>
      </c>
      <c r="Q66" s="111"/>
      <c r="R66" s="111"/>
      <c r="S66" s="111"/>
      <c r="T66" s="111"/>
    </row>
    <row r="67" spans="1:20" ht="15" hidden="1" x14ac:dyDescent="0.4">
      <c r="A67" s="42" t="s">
        <v>318</v>
      </c>
      <c r="B67" s="48">
        <v>62</v>
      </c>
      <c r="C67" s="43" t="s">
        <v>386</v>
      </c>
      <c r="D67" s="48">
        <v>42</v>
      </c>
      <c r="E67" s="54"/>
      <c r="F67" s="42"/>
      <c r="G67" s="93"/>
      <c r="H67" s="145"/>
      <c r="I67" s="145"/>
      <c r="J67" s="95">
        <v>0</v>
      </c>
      <c r="K67" s="96">
        <v>0</v>
      </c>
      <c r="L67" s="96">
        <v>1</v>
      </c>
      <c r="M67" s="96" t="s">
        <v>43</v>
      </c>
      <c r="N67" s="96">
        <v>1</v>
      </c>
      <c r="O67" s="111" t="s">
        <v>6</v>
      </c>
      <c r="P67" s="111" t="s">
        <v>339</v>
      </c>
      <c r="Q67" s="111"/>
      <c r="R67" s="111"/>
      <c r="S67" s="111"/>
      <c r="T67" s="111"/>
    </row>
    <row r="68" spans="1:20" ht="15" hidden="1" x14ac:dyDescent="0.4">
      <c r="A68" s="42" t="s">
        <v>318</v>
      </c>
      <c r="B68" s="48">
        <v>63</v>
      </c>
      <c r="C68" s="43" t="s">
        <v>386</v>
      </c>
      <c r="D68" s="48">
        <v>43</v>
      </c>
      <c r="E68" s="54"/>
      <c r="F68" s="42"/>
      <c r="G68" s="93"/>
      <c r="H68" s="98"/>
      <c r="I68" s="98"/>
      <c r="J68" s="95">
        <v>0</v>
      </c>
      <c r="K68" s="96">
        <v>0</v>
      </c>
      <c r="L68" s="96">
        <v>1</v>
      </c>
      <c r="M68" s="96" t="s">
        <v>43</v>
      </c>
      <c r="N68" s="96">
        <v>1</v>
      </c>
      <c r="O68" s="111" t="s">
        <v>6</v>
      </c>
      <c r="P68" s="111" t="s">
        <v>339</v>
      </c>
      <c r="Q68" s="111"/>
      <c r="R68" s="111"/>
      <c r="S68" s="111"/>
      <c r="T68" s="111"/>
    </row>
    <row r="69" spans="1:20" ht="15" hidden="1" x14ac:dyDescent="0.4">
      <c r="A69" s="42" t="s">
        <v>318</v>
      </c>
      <c r="B69" s="48">
        <v>64</v>
      </c>
      <c r="C69" s="43" t="s">
        <v>386</v>
      </c>
      <c r="D69" s="48">
        <v>44</v>
      </c>
      <c r="E69" s="54"/>
      <c r="F69" s="42"/>
      <c r="G69" s="93"/>
      <c r="H69" s="110"/>
      <c r="I69" s="145"/>
      <c r="J69" s="95">
        <v>0</v>
      </c>
      <c r="K69" s="96">
        <v>0</v>
      </c>
      <c r="L69" s="96">
        <v>1</v>
      </c>
      <c r="M69" s="96" t="s">
        <v>43</v>
      </c>
      <c r="N69" s="96">
        <v>1</v>
      </c>
      <c r="O69" s="111" t="s">
        <v>6</v>
      </c>
      <c r="P69" s="111" t="s">
        <v>339</v>
      </c>
      <c r="Q69" s="111"/>
      <c r="R69" s="111"/>
      <c r="S69" s="111"/>
      <c r="T69" s="111"/>
    </row>
    <row r="70" spans="1:20" ht="15" hidden="1" x14ac:dyDescent="0.4">
      <c r="A70" s="42" t="s">
        <v>318</v>
      </c>
      <c r="B70" s="48">
        <v>65</v>
      </c>
      <c r="C70" s="43" t="s">
        <v>386</v>
      </c>
      <c r="D70" s="48">
        <v>45</v>
      </c>
      <c r="E70" s="54"/>
      <c r="F70" s="42"/>
      <c r="G70" s="93"/>
      <c r="H70" s="145"/>
      <c r="I70" s="145"/>
      <c r="J70" s="95">
        <v>0</v>
      </c>
      <c r="K70" s="96">
        <v>0</v>
      </c>
      <c r="L70" s="96">
        <v>1</v>
      </c>
      <c r="M70" s="96" t="s">
        <v>43</v>
      </c>
      <c r="N70" s="96">
        <v>1</v>
      </c>
      <c r="O70" s="111" t="s">
        <v>6</v>
      </c>
      <c r="P70" s="111" t="s">
        <v>339</v>
      </c>
      <c r="Q70" s="111"/>
      <c r="R70" s="111"/>
      <c r="S70" s="111"/>
      <c r="T70" s="111"/>
    </row>
    <row r="71" spans="1:20" ht="15" hidden="1" x14ac:dyDescent="0.4">
      <c r="A71" s="42" t="s">
        <v>318</v>
      </c>
      <c r="B71" s="48">
        <v>66</v>
      </c>
      <c r="C71" s="43" t="s">
        <v>386</v>
      </c>
      <c r="D71" s="48">
        <v>46</v>
      </c>
      <c r="E71" s="54"/>
      <c r="F71" s="42"/>
      <c r="G71" s="93"/>
      <c r="H71" s="145"/>
      <c r="I71" s="145"/>
      <c r="J71" s="95">
        <v>0</v>
      </c>
      <c r="K71" s="96">
        <v>0</v>
      </c>
      <c r="L71" s="96">
        <v>1</v>
      </c>
      <c r="M71" s="96" t="s">
        <v>43</v>
      </c>
      <c r="N71" s="96">
        <v>1</v>
      </c>
      <c r="O71" s="111" t="s">
        <v>6</v>
      </c>
      <c r="P71" s="111" t="s">
        <v>339</v>
      </c>
      <c r="Q71" s="111"/>
      <c r="R71" s="111"/>
      <c r="S71" s="111"/>
      <c r="T71" s="111"/>
    </row>
    <row r="72" spans="1:20" ht="15" hidden="1" x14ac:dyDescent="0.4">
      <c r="A72" s="42" t="s">
        <v>318</v>
      </c>
      <c r="B72" s="48">
        <v>67</v>
      </c>
      <c r="C72" s="43" t="s">
        <v>386</v>
      </c>
      <c r="D72" s="48">
        <v>47</v>
      </c>
      <c r="E72" s="54"/>
      <c r="F72" s="42"/>
      <c r="G72" s="93"/>
      <c r="H72" s="145"/>
      <c r="I72" s="145"/>
      <c r="J72" s="95">
        <v>0</v>
      </c>
      <c r="K72" s="96">
        <v>0</v>
      </c>
      <c r="L72" s="96">
        <v>1</v>
      </c>
      <c r="M72" s="96" t="s">
        <v>43</v>
      </c>
      <c r="N72" s="96">
        <v>1</v>
      </c>
      <c r="O72" s="111" t="s">
        <v>6</v>
      </c>
      <c r="P72" s="111" t="s">
        <v>339</v>
      </c>
      <c r="Q72" s="111"/>
      <c r="R72" s="111"/>
      <c r="S72" s="111"/>
      <c r="T72" s="111"/>
    </row>
    <row r="73" spans="1:20" ht="15" hidden="1" x14ac:dyDescent="0.4">
      <c r="A73" s="42" t="s">
        <v>318</v>
      </c>
      <c r="B73" s="48">
        <v>68</v>
      </c>
      <c r="C73" s="43" t="s">
        <v>386</v>
      </c>
      <c r="D73" s="48">
        <v>48</v>
      </c>
      <c r="E73" s="54"/>
      <c r="F73" s="42"/>
      <c r="G73" s="93"/>
      <c r="H73" s="98"/>
      <c r="I73" s="98"/>
      <c r="J73" s="95">
        <v>0</v>
      </c>
      <c r="K73" s="96">
        <v>0</v>
      </c>
      <c r="L73" s="96">
        <v>1</v>
      </c>
      <c r="M73" s="96" t="s">
        <v>43</v>
      </c>
      <c r="N73" s="96">
        <v>1</v>
      </c>
      <c r="O73" s="111" t="s">
        <v>6</v>
      </c>
      <c r="P73" s="111" t="s">
        <v>339</v>
      </c>
      <c r="Q73" s="111"/>
      <c r="R73" s="111"/>
      <c r="S73" s="111"/>
      <c r="T73" s="111"/>
    </row>
    <row r="74" spans="1:20" ht="15" hidden="1" x14ac:dyDescent="0.4">
      <c r="A74" s="42" t="s">
        <v>318</v>
      </c>
      <c r="B74" s="48">
        <v>69</v>
      </c>
      <c r="C74" s="43" t="s">
        <v>386</v>
      </c>
      <c r="D74" s="48">
        <v>49</v>
      </c>
      <c r="E74" s="54"/>
      <c r="F74" s="42"/>
      <c r="G74" s="93"/>
      <c r="H74" s="110"/>
      <c r="I74" s="145"/>
      <c r="J74" s="95">
        <v>0</v>
      </c>
      <c r="K74" s="96">
        <v>0</v>
      </c>
      <c r="L74" s="96">
        <v>1</v>
      </c>
      <c r="M74" s="96" t="s">
        <v>43</v>
      </c>
      <c r="N74" s="96">
        <v>1</v>
      </c>
      <c r="O74" s="111" t="s">
        <v>6</v>
      </c>
      <c r="P74" s="111" t="s">
        <v>339</v>
      </c>
      <c r="Q74" s="111"/>
      <c r="R74" s="111"/>
      <c r="S74" s="111"/>
      <c r="T74" s="111"/>
    </row>
    <row r="75" spans="1:20" ht="15" hidden="1" x14ac:dyDescent="0.4">
      <c r="A75" s="42" t="s">
        <v>318</v>
      </c>
      <c r="B75" s="48">
        <v>70</v>
      </c>
      <c r="C75" s="43" t="s">
        <v>386</v>
      </c>
      <c r="D75" s="48">
        <v>50</v>
      </c>
      <c r="E75" s="54"/>
      <c r="F75" s="42"/>
      <c r="G75" s="93"/>
      <c r="H75" s="145"/>
      <c r="I75" s="145"/>
      <c r="J75" s="95">
        <v>0</v>
      </c>
      <c r="K75" s="96">
        <v>0</v>
      </c>
      <c r="L75" s="96">
        <v>1</v>
      </c>
      <c r="M75" s="96" t="s">
        <v>43</v>
      </c>
      <c r="N75" s="96">
        <v>1</v>
      </c>
      <c r="O75" s="111" t="s">
        <v>6</v>
      </c>
      <c r="P75" s="111" t="s">
        <v>339</v>
      </c>
      <c r="Q75" s="111"/>
      <c r="R75" s="111"/>
      <c r="S75" s="111"/>
      <c r="T75" s="111"/>
    </row>
    <row r="76" spans="1:20" ht="15" hidden="1" x14ac:dyDescent="0.4">
      <c r="A76" s="42" t="s">
        <v>318</v>
      </c>
      <c r="B76" s="48">
        <v>71</v>
      </c>
      <c r="C76" s="43" t="s">
        <v>386</v>
      </c>
      <c r="D76" s="48">
        <v>51</v>
      </c>
      <c r="E76" s="54"/>
      <c r="F76" s="42"/>
      <c r="G76" s="93"/>
      <c r="H76" s="145"/>
      <c r="I76" s="145"/>
      <c r="J76" s="95">
        <v>0</v>
      </c>
      <c r="K76" s="96">
        <v>0</v>
      </c>
      <c r="L76" s="96">
        <v>1</v>
      </c>
      <c r="M76" s="96" t="s">
        <v>43</v>
      </c>
      <c r="N76" s="96">
        <v>1</v>
      </c>
      <c r="O76" s="111" t="s">
        <v>6</v>
      </c>
      <c r="P76" s="111" t="s">
        <v>339</v>
      </c>
      <c r="Q76" s="111"/>
      <c r="R76" s="111"/>
      <c r="S76" s="111"/>
      <c r="T76" s="111"/>
    </row>
    <row r="77" spans="1:20" ht="15" hidden="1" x14ac:dyDescent="0.4">
      <c r="A77" s="42" t="s">
        <v>318</v>
      </c>
      <c r="B77" s="48">
        <v>72</v>
      </c>
      <c r="C77" s="43" t="s">
        <v>386</v>
      </c>
      <c r="D77" s="48">
        <v>52</v>
      </c>
      <c r="E77" s="54"/>
      <c r="F77" s="42"/>
      <c r="G77" s="93"/>
      <c r="H77" s="145"/>
      <c r="I77" s="145"/>
      <c r="J77" s="95">
        <v>0</v>
      </c>
      <c r="K77" s="96">
        <v>0</v>
      </c>
      <c r="L77" s="96">
        <v>1</v>
      </c>
      <c r="M77" s="96" t="s">
        <v>43</v>
      </c>
      <c r="N77" s="96">
        <v>1</v>
      </c>
      <c r="O77" s="111" t="s">
        <v>6</v>
      </c>
      <c r="P77" s="111" t="s">
        <v>339</v>
      </c>
      <c r="Q77" s="111"/>
      <c r="R77" s="111"/>
      <c r="S77" s="111"/>
      <c r="T77" s="111"/>
    </row>
    <row r="78" spans="1:20" ht="15" hidden="1" x14ac:dyDescent="0.4">
      <c r="A78" s="42" t="s">
        <v>318</v>
      </c>
      <c r="B78" s="48">
        <v>73</v>
      </c>
      <c r="C78" s="43" t="s">
        <v>386</v>
      </c>
      <c r="D78" s="48">
        <v>53</v>
      </c>
      <c r="E78" s="54"/>
      <c r="F78" s="42"/>
      <c r="G78" s="93"/>
      <c r="H78" s="145"/>
      <c r="I78" s="110"/>
      <c r="J78" s="95">
        <v>0</v>
      </c>
      <c r="K78" s="96">
        <v>0</v>
      </c>
      <c r="L78" s="96">
        <v>1</v>
      </c>
      <c r="M78" s="96" t="s">
        <v>43</v>
      </c>
      <c r="N78" s="96">
        <v>1</v>
      </c>
      <c r="O78" s="111" t="s">
        <v>6</v>
      </c>
      <c r="P78" s="111" t="s">
        <v>339</v>
      </c>
      <c r="Q78" s="111"/>
      <c r="R78" s="111"/>
      <c r="S78" s="111"/>
      <c r="T78" s="111"/>
    </row>
    <row r="79" spans="1:20" ht="15" hidden="1" x14ac:dyDescent="0.4">
      <c r="A79" s="42" t="s">
        <v>318</v>
      </c>
      <c r="B79" s="48">
        <v>74</v>
      </c>
      <c r="C79" s="43" t="s">
        <v>386</v>
      </c>
      <c r="D79" s="48">
        <v>54</v>
      </c>
      <c r="E79" s="54"/>
      <c r="F79" s="42"/>
      <c r="G79" s="93"/>
      <c r="H79" s="145"/>
      <c r="I79" s="110"/>
      <c r="J79" s="95">
        <v>0</v>
      </c>
      <c r="K79" s="96">
        <v>0</v>
      </c>
      <c r="L79" s="96">
        <v>1</v>
      </c>
      <c r="M79" s="96" t="s">
        <v>43</v>
      </c>
      <c r="N79" s="96">
        <v>1</v>
      </c>
      <c r="O79" s="111" t="s">
        <v>6</v>
      </c>
      <c r="P79" s="111" t="s">
        <v>339</v>
      </c>
      <c r="Q79" s="111"/>
      <c r="R79" s="111"/>
      <c r="S79" s="111"/>
      <c r="T79" s="111"/>
    </row>
    <row r="80" spans="1:20" ht="15" hidden="1" x14ac:dyDescent="0.4">
      <c r="A80" s="42" t="s">
        <v>318</v>
      </c>
      <c r="B80" s="48">
        <v>75</v>
      </c>
      <c r="C80" s="43" t="s">
        <v>386</v>
      </c>
      <c r="D80" s="48">
        <v>55</v>
      </c>
      <c r="E80" s="54"/>
      <c r="F80" s="42"/>
      <c r="G80" s="93"/>
      <c r="H80" s="110"/>
      <c r="I80" s="110"/>
      <c r="J80" s="95">
        <v>0</v>
      </c>
      <c r="K80" s="96">
        <v>0</v>
      </c>
      <c r="L80" s="96">
        <v>1</v>
      </c>
      <c r="M80" s="96" t="s">
        <v>43</v>
      </c>
      <c r="N80" s="96">
        <v>1</v>
      </c>
      <c r="O80" s="111" t="s">
        <v>6</v>
      </c>
      <c r="P80" s="111" t="s">
        <v>339</v>
      </c>
      <c r="Q80" s="111"/>
      <c r="R80" s="111"/>
      <c r="S80" s="111"/>
      <c r="T80" s="111"/>
    </row>
    <row r="81" spans="1:20" ht="15" hidden="1" x14ac:dyDescent="0.4">
      <c r="A81" s="42" t="s">
        <v>318</v>
      </c>
      <c r="B81" s="48">
        <v>76</v>
      </c>
      <c r="C81" s="43" t="s">
        <v>386</v>
      </c>
      <c r="D81" s="48">
        <v>56</v>
      </c>
      <c r="E81" s="54"/>
      <c r="F81" s="42"/>
      <c r="G81" s="93"/>
      <c r="H81" s="110"/>
      <c r="I81" s="110"/>
      <c r="J81" s="95">
        <v>0</v>
      </c>
      <c r="K81" s="96">
        <v>0</v>
      </c>
      <c r="L81" s="96">
        <v>1</v>
      </c>
      <c r="M81" s="96" t="s">
        <v>43</v>
      </c>
      <c r="N81" s="96">
        <v>1</v>
      </c>
      <c r="O81" s="111" t="s">
        <v>6</v>
      </c>
      <c r="P81" s="111" t="s">
        <v>339</v>
      </c>
      <c r="Q81" s="111"/>
      <c r="R81" s="111"/>
      <c r="S81" s="111"/>
      <c r="T81" s="111"/>
    </row>
    <row r="82" spans="1:20" ht="15" hidden="1" x14ac:dyDescent="0.4">
      <c r="A82" s="42" t="s">
        <v>318</v>
      </c>
      <c r="B82" s="48">
        <v>77</v>
      </c>
      <c r="C82" s="43" t="s">
        <v>386</v>
      </c>
      <c r="D82" s="48">
        <v>57</v>
      </c>
      <c r="E82" s="54"/>
      <c r="F82" s="42"/>
      <c r="G82" s="93"/>
      <c r="H82" s="98"/>
      <c r="I82" s="98"/>
      <c r="J82" s="95">
        <v>0</v>
      </c>
      <c r="K82" s="96">
        <v>0</v>
      </c>
      <c r="L82" s="96">
        <v>1</v>
      </c>
      <c r="M82" s="96" t="s">
        <v>43</v>
      </c>
      <c r="N82" s="96">
        <v>1</v>
      </c>
      <c r="O82" s="111" t="s">
        <v>6</v>
      </c>
      <c r="P82" s="111" t="s">
        <v>339</v>
      </c>
      <c r="Q82" s="111"/>
      <c r="R82" s="111"/>
      <c r="S82" s="111"/>
      <c r="T82" s="111"/>
    </row>
    <row r="83" spans="1:20" ht="15" hidden="1" x14ac:dyDescent="0.4">
      <c r="A83" s="42" t="s">
        <v>318</v>
      </c>
      <c r="B83" s="48">
        <v>78</v>
      </c>
      <c r="C83" s="43" t="s">
        <v>386</v>
      </c>
      <c r="D83" s="48">
        <v>58</v>
      </c>
      <c r="E83" s="54"/>
      <c r="F83" s="42"/>
      <c r="G83" s="93"/>
      <c r="H83" s="145"/>
      <c r="I83" s="145"/>
      <c r="J83" s="95">
        <v>0</v>
      </c>
      <c r="K83" s="96">
        <v>0</v>
      </c>
      <c r="L83" s="96">
        <v>1</v>
      </c>
      <c r="M83" s="96" t="s">
        <v>43</v>
      </c>
      <c r="N83" s="96">
        <v>1</v>
      </c>
      <c r="O83" s="111" t="s">
        <v>6</v>
      </c>
      <c r="P83" s="111" t="s">
        <v>339</v>
      </c>
      <c r="Q83" s="111"/>
      <c r="R83" s="111"/>
      <c r="S83" s="111"/>
      <c r="T83" s="111"/>
    </row>
    <row r="84" spans="1:20" ht="15" hidden="1" x14ac:dyDescent="0.4">
      <c r="A84" s="42" t="s">
        <v>318</v>
      </c>
      <c r="B84" s="48">
        <v>79</v>
      </c>
      <c r="C84" s="43" t="s">
        <v>386</v>
      </c>
      <c r="D84" s="48">
        <v>59</v>
      </c>
      <c r="E84" s="54"/>
      <c r="F84" s="42"/>
      <c r="G84" s="93"/>
      <c r="H84" s="145"/>
      <c r="I84" s="145"/>
      <c r="J84" s="95">
        <v>0</v>
      </c>
      <c r="K84" s="96">
        <v>0</v>
      </c>
      <c r="L84" s="96">
        <v>1</v>
      </c>
      <c r="M84" s="96" t="s">
        <v>43</v>
      </c>
      <c r="N84" s="96">
        <v>1</v>
      </c>
      <c r="O84" s="111" t="s">
        <v>6</v>
      </c>
      <c r="P84" s="111" t="s">
        <v>339</v>
      </c>
      <c r="Q84" s="111"/>
      <c r="R84" s="111"/>
      <c r="S84" s="111"/>
      <c r="T84" s="111"/>
    </row>
    <row r="85" spans="1:20" ht="15" hidden="1" x14ac:dyDescent="0.4">
      <c r="A85" s="42" t="s">
        <v>318</v>
      </c>
      <c r="B85" s="48">
        <v>80</v>
      </c>
      <c r="C85" s="43" t="s">
        <v>386</v>
      </c>
      <c r="D85" s="48">
        <v>60</v>
      </c>
      <c r="E85" s="54"/>
      <c r="F85" s="42"/>
      <c r="G85" s="93"/>
      <c r="H85" s="145"/>
      <c r="I85" s="145"/>
      <c r="J85" s="95">
        <v>0</v>
      </c>
      <c r="K85" s="96">
        <v>0</v>
      </c>
      <c r="L85" s="96">
        <v>1</v>
      </c>
      <c r="M85" s="96" t="s">
        <v>43</v>
      </c>
      <c r="N85" s="96">
        <v>1</v>
      </c>
      <c r="O85" s="111" t="s">
        <v>6</v>
      </c>
      <c r="P85" s="111" t="s">
        <v>339</v>
      </c>
      <c r="Q85" s="111"/>
      <c r="R85" s="111"/>
      <c r="S85" s="111"/>
      <c r="T85" s="111"/>
    </row>
    <row r="86" spans="1:20" ht="15" hidden="1" x14ac:dyDescent="0.4">
      <c r="A86" s="42" t="s">
        <v>318</v>
      </c>
      <c r="B86" s="48">
        <v>81</v>
      </c>
      <c r="C86" s="43" t="s">
        <v>386</v>
      </c>
      <c r="D86" s="48">
        <v>61</v>
      </c>
      <c r="E86" s="54"/>
      <c r="F86" s="42"/>
      <c r="G86" s="93"/>
      <c r="H86" s="145"/>
      <c r="I86" s="145"/>
      <c r="J86" s="95">
        <v>0</v>
      </c>
      <c r="K86" s="96">
        <v>0</v>
      </c>
      <c r="L86" s="96">
        <v>1</v>
      </c>
      <c r="M86" s="96" t="s">
        <v>43</v>
      </c>
      <c r="N86" s="96">
        <v>1</v>
      </c>
      <c r="O86" s="111" t="s">
        <v>6</v>
      </c>
      <c r="P86" s="111" t="s">
        <v>339</v>
      </c>
      <c r="Q86" s="111"/>
      <c r="R86" s="111"/>
      <c r="S86" s="114"/>
      <c r="T86" s="114"/>
    </row>
    <row r="87" spans="1:20" ht="15" hidden="1" x14ac:dyDescent="0.4">
      <c r="A87" s="42" t="s">
        <v>318</v>
      </c>
      <c r="B87" s="48">
        <v>82</v>
      </c>
      <c r="C87" s="43" t="s">
        <v>386</v>
      </c>
      <c r="D87" s="48">
        <v>62</v>
      </c>
      <c r="E87" s="54"/>
      <c r="F87" s="42"/>
      <c r="G87" s="93"/>
      <c r="H87" s="98"/>
      <c r="I87" s="98"/>
      <c r="J87" s="95">
        <v>0</v>
      </c>
      <c r="K87" s="96">
        <v>0</v>
      </c>
      <c r="L87" s="96">
        <v>1</v>
      </c>
      <c r="M87" s="96" t="s">
        <v>43</v>
      </c>
      <c r="N87" s="96">
        <v>1</v>
      </c>
      <c r="O87" s="111" t="s">
        <v>6</v>
      </c>
      <c r="P87" s="111" t="s">
        <v>339</v>
      </c>
      <c r="Q87" s="111"/>
      <c r="R87" s="114"/>
      <c r="S87" s="114"/>
      <c r="T87" s="114"/>
    </row>
    <row r="88" spans="1:20" ht="15" hidden="1" x14ac:dyDescent="0.4">
      <c r="A88" s="42" t="s">
        <v>318</v>
      </c>
      <c r="B88" s="48">
        <v>83</v>
      </c>
      <c r="C88" s="43" t="s">
        <v>386</v>
      </c>
      <c r="D88" s="48">
        <v>63</v>
      </c>
      <c r="E88" s="54"/>
      <c r="F88" s="42"/>
      <c r="G88" s="93"/>
      <c r="H88" s="145"/>
      <c r="I88" s="145"/>
      <c r="J88" s="95">
        <v>0</v>
      </c>
      <c r="K88" s="96">
        <v>0</v>
      </c>
      <c r="L88" s="96">
        <v>1</v>
      </c>
      <c r="M88" s="96" t="s">
        <v>43</v>
      </c>
      <c r="N88" s="96">
        <v>1</v>
      </c>
      <c r="O88" s="111" t="s">
        <v>6</v>
      </c>
      <c r="P88" s="111" t="s">
        <v>339</v>
      </c>
      <c r="Q88" s="111"/>
      <c r="R88" s="114"/>
      <c r="S88" s="111"/>
      <c r="T88" s="111"/>
    </row>
    <row r="89" spans="1:20" ht="15" hidden="1" x14ac:dyDescent="0.4">
      <c r="A89" s="42" t="s">
        <v>318</v>
      </c>
      <c r="B89" s="48">
        <v>84</v>
      </c>
      <c r="C89" s="43" t="s">
        <v>386</v>
      </c>
      <c r="D89" s="48">
        <v>64</v>
      </c>
      <c r="E89" s="54"/>
      <c r="F89" s="42"/>
      <c r="G89" s="93"/>
      <c r="H89" s="145"/>
      <c r="I89" s="145"/>
      <c r="J89" s="95">
        <v>0</v>
      </c>
      <c r="K89" s="96">
        <v>0</v>
      </c>
      <c r="L89" s="96">
        <v>1</v>
      </c>
      <c r="M89" s="96" t="s">
        <v>43</v>
      </c>
      <c r="N89" s="96">
        <v>1</v>
      </c>
      <c r="O89" s="111" t="s">
        <v>6</v>
      </c>
      <c r="P89" s="111" t="s">
        <v>339</v>
      </c>
      <c r="Q89" s="111"/>
      <c r="R89" s="111"/>
      <c r="S89" s="111"/>
      <c r="T89" s="111"/>
    </row>
    <row r="90" spans="1:20" ht="15" hidden="1" x14ac:dyDescent="0.4">
      <c r="A90" s="42" t="s">
        <v>318</v>
      </c>
      <c r="B90" s="48">
        <v>85</v>
      </c>
      <c r="C90" s="43" t="s">
        <v>386</v>
      </c>
      <c r="D90" s="48">
        <v>65</v>
      </c>
      <c r="E90" s="54"/>
      <c r="F90" s="42"/>
      <c r="G90" s="93"/>
      <c r="H90" s="145"/>
      <c r="I90" s="145"/>
      <c r="J90" s="95">
        <v>0</v>
      </c>
      <c r="K90" s="96">
        <v>0</v>
      </c>
      <c r="L90" s="96">
        <v>1</v>
      </c>
      <c r="M90" s="96" t="s">
        <v>43</v>
      </c>
      <c r="N90" s="96">
        <v>1</v>
      </c>
      <c r="O90" s="111" t="s">
        <v>6</v>
      </c>
      <c r="P90" s="111" t="s">
        <v>339</v>
      </c>
      <c r="Q90" s="111"/>
      <c r="R90" s="111"/>
      <c r="S90" s="111"/>
      <c r="T90" s="111"/>
    </row>
    <row r="91" spans="1:20" ht="15" hidden="1" x14ac:dyDescent="0.4">
      <c r="A91" s="42" t="s">
        <v>318</v>
      </c>
      <c r="B91" s="48">
        <v>86</v>
      </c>
      <c r="C91" s="43" t="s">
        <v>386</v>
      </c>
      <c r="D91" s="48">
        <v>66</v>
      </c>
      <c r="E91" s="54"/>
      <c r="F91" s="42"/>
      <c r="G91" s="93"/>
      <c r="H91" s="145"/>
      <c r="I91" s="145"/>
      <c r="J91" s="95">
        <v>0</v>
      </c>
      <c r="K91" s="96">
        <v>0</v>
      </c>
      <c r="L91" s="96">
        <v>1</v>
      </c>
      <c r="M91" s="96" t="s">
        <v>43</v>
      </c>
      <c r="N91" s="96">
        <v>1</v>
      </c>
      <c r="O91" s="111" t="s">
        <v>6</v>
      </c>
      <c r="P91" s="111" t="s">
        <v>339</v>
      </c>
      <c r="Q91" s="111"/>
      <c r="R91" s="111"/>
      <c r="S91" s="111"/>
      <c r="T91" s="111"/>
    </row>
    <row r="92" spans="1:20" ht="15" hidden="1" x14ac:dyDescent="0.4">
      <c r="A92" s="42" t="s">
        <v>318</v>
      </c>
      <c r="B92" s="48">
        <v>87</v>
      </c>
      <c r="C92" s="43" t="s">
        <v>386</v>
      </c>
      <c r="D92" s="48">
        <v>67</v>
      </c>
      <c r="E92" s="54"/>
      <c r="F92" s="42"/>
      <c r="G92" s="93"/>
      <c r="H92" s="98"/>
      <c r="I92" s="98"/>
      <c r="J92" s="95">
        <v>0</v>
      </c>
      <c r="K92" s="96">
        <v>0</v>
      </c>
      <c r="L92" s="96">
        <v>1</v>
      </c>
      <c r="M92" s="96" t="s">
        <v>43</v>
      </c>
      <c r="N92" s="96">
        <v>1</v>
      </c>
      <c r="O92" s="111" t="s">
        <v>6</v>
      </c>
      <c r="P92" s="111" t="s">
        <v>339</v>
      </c>
      <c r="Q92" s="111"/>
      <c r="R92" s="111"/>
      <c r="S92" s="111"/>
      <c r="T92" s="111"/>
    </row>
    <row r="93" spans="1:20" ht="15" hidden="1" x14ac:dyDescent="0.4">
      <c r="A93" s="42" t="s">
        <v>318</v>
      </c>
      <c r="B93" s="48">
        <v>88</v>
      </c>
      <c r="C93" s="43" t="s">
        <v>386</v>
      </c>
      <c r="D93" s="48">
        <v>68</v>
      </c>
      <c r="E93" s="54"/>
      <c r="F93" s="42"/>
      <c r="G93" s="93"/>
      <c r="H93" s="110"/>
      <c r="I93" s="145"/>
      <c r="J93" s="95">
        <v>0</v>
      </c>
      <c r="K93" s="96">
        <v>0</v>
      </c>
      <c r="L93" s="96">
        <v>1</v>
      </c>
      <c r="M93" s="96" t="s">
        <v>43</v>
      </c>
      <c r="N93" s="96">
        <v>1</v>
      </c>
      <c r="O93" s="111" t="s">
        <v>6</v>
      </c>
      <c r="P93" s="111" t="s">
        <v>339</v>
      </c>
      <c r="Q93" s="111"/>
      <c r="R93" s="111"/>
      <c r="S93" s="111"/>
      <c r="T93" s="111"/>
    </row>
    <row r="94" spans="1:20" ht="15" hidden="1" x14ac:dyDescent="0.4">
      <c r="A94" s="42" t="s">
        <v>318</v>
      </c>
      <c r="B94" s="48">
        <v>89</v>
      </c>
      <c r="C94" s="43" t="s">
        <v>386</v>
      </c>
      <c r="D94" s="48">
        <v>69</v>
      </c>
      <c r="E94" s="54"/>
      <c r="F94" s="42"/>
      <c r="G94" s="93"/>
      <c r="H94" s="145"/>
      <c r="I94" s="145"/>
      <c r="J94" s="95">
        <v>0</v>
      </c>
      <c r="K94" s="96">
        <v>0</v>
      </c>
      <c r="L94" s="96">
        <v>1</v>
      </c>
      <c r="M94" s="96" t="s">
        <v>43</v>
      </c>
      <c r="N94" s="96">
        <v>1</v>
      </c>
      <c r="O94" s="111" t="s">
        <v>6</v>
      </c>
      <c r="P94" s="111" t="s">
        <v>339</v>
      </c>
      <c r="Q94" s="111"/>
      <c r="R94" s="111"/>
      <c r="S94" s="111"/>
      <c r="T94" s="111"/>
    </row>
    <row r="95" spans="1:20" ht="15" hidden="1" x14ac:dyDescent="0.4">
      <c r="A95" s="42" t="s">
        <v>318</v>
      </c>
      <c r="B95" s="48">
        <v>90</v>
      </c>
      <c r="C95" s="43" t="s">
        <v>386</v>
      </c>
      <c r="D95" s="48">
        <v>70</v>
      </c>
      <c r="E95" s="54"/>
      <c r="F95" s="42"/>
      <c r="G95" s="93"/>
      <c r="H95" s="145"/>
      <c r="I95" s="145"/>
      <c r="J95" s="95">
        <v>0</v>
      </c>
      <c r="K95" s="96">
        <v>0</v>
      </c>
      <c r="L95" s="96">
        <v>1</v>
      </c>
      <c r="M95" s="96" t="s">
        <v>43</v>
      </c>
      <c r="N95" s="96">
        <v>1</v>
      </c>
      <c r="O95" s="111" t="s">
        <v>6</v>
      </c>
      <c r="P95" s="111" t="s">
        <v>339</v>
      </c>
      <c r="Q95" s="111"/>
      <c r="R95" s="111"/>
      <c r="S95" s="111"/>
      <c r="T95" s="111"/>
    </row>
    <row r="96" spans="1:20" ht="15" hidden="1" x14ac:dyDescent="0.4">
      <c r="A96" s="42" t="s">
        <v>318</v>
      </c>
      <c r="B96" s="48">
        <v>91</v>
      </c>
      <c r="C96" s="43" t="s">
        <v>386</v>
      </c>
      <c r="D96" s="48">
        <v>71</v>
      </c>
      <c r="E96" s="54"/>
      <c r="F96" s="42"/>
      <c r="G96" s="93"/>
      <c r="H96" s="145"/>
      <c r="I96" s="145"/>
      <c r="J96" s="95">
        <v>0</v>
      </c>
      <c r="K96" s="96">
        <v>0</v>
      </c>
      <c r="L96" s="96">
        <v>1</v>
      </c>
      <c r="M96" s="96" t="s">
        <v>43</v>
      </c>
      <c r="N96" s="96">
        <v>1</v>
      </c>
      <c r="O96" s="111" t="s">
        <v>6</v>
      </c>
      <c r="P96" s="111" t="s">
        <v>339</v>
      </c>
      <c r="Q96" s="111"/>
      <c r="R96" s="111"/>
      <c r="S96" s="111"/>
      <c r="T96" s="111"/>
    </row>
    <row r="97" spans="1:20" ht="15" hidden="1" x14ac:dyDescent="0.4">
      <c r="A97" s="42" t="s">
        <v>318</v>
      </c>
      <c r="B97" s="48">
        <v>92</v>
      </c>
      <c r="C97" s="43" t="s">
        <v>386</v>
      </c>
      <c r="D97" s="48">
        <v>72</v>
      </c>
      <c r="E97" s="54"/>
      <c r="F97" s="42"/>
      <c r="G97" s="93"/>
      <c r="H97" s="98"/>
      <c r="I97" s="98"/>
      <c r="J97" s="95">
        <v>0</v>
      </c>
      <c r="K97" s="96">
        <v>0</v>
      </c>
      <c r="L97" s="96">
        <v>1</v>
      </c>
      <c r="M97" s="96" t="s">
        <v>43</v>
      </c>
      <c r="N97" s="96">
        <v>1</v>
      </c>
      <c r="O97" s="111" t="s">
        <v>6</v>
      </c>
      <c r="P97" s="111" t="s">
        <v>339</v>
      </c>
      <c r="Q97" s="111"/>
      <c r="R97" s="111"/>
      <c r="S97" s="111"/>
      <c r="T97" s="111"/>
    </row>
    <row r="98" spans="1:20" ht="15" hidden="1" x14ac:dyDescent="0.4">
      <c r="A98" s="42" t="s">
        <v>318</v>
      </c>
      <c r="B98" s="48">
        <v>93</v>
      </c>
      <c r="C98" s="43" t="s">
        <v>386</v>
      </c>
      <c r="D98" s="48">
        <v>73</v>
      </c>
      <c r="E98" s="54"/>
      <c r="F98" s="42"/>
      <c r="G98" s="93"/>
      <c r="H98" s="110"/>
      <c r="I98" s="145"/>
      <c r="J98" s="95">
        <v>0</v>
      </c>
      <c r="K98" s="96">
        <v>0</v>
      </c>
      <c r="L98" s="96">
        <v>1</v>
      </c>
      <c r="M98" s="96" t="s">
        <v>43</v>
      </c>
      <c r="N98" s="96">
        <v>1</v>
      </c>
      <c r="O98" s="111" t="s">
        <v>6</v>
      </c>
      <c r="P98" s="111" t="s">
        <v>339</v>
      </c>
      <c r="Q98" s="111"/>
      <c r="R98" s="111"/>
      <c r="S98" s="111"/>
      <c r="T98" s="111"/>
    </row>
    <row r="99" spans="1:20" ht="15" hidden="1" x14ac:dyDescent="0.4">
      <c r="A99" s="42" t="s">
        <v>318</v>
      </c>
      <c r="B99" s="48">
        <v>94</v>
      </c>
      <c r="C99" s="43" t="s">
        <v>386</v>
      </c>
      <c r="D99" s="48">
        <v>74</v>
      </c>
      <c r="E99" s="54"/>
      <c r="F99" s="42"/>
      <c r="G99" s="93"/>
      <c r="H99" s="145"/>
      <c r="I99" s="145"/>
      <c r="J99" s="95">
        <v>0</v>
      </c>
      <c r="K99" s="96">
        <v>0</v>
      </c>
      <c r="L99" s="96">
        <v>1</v>
      </c>
      <c r="M99" s="96" t="s">
        <v>43</v>
      </c>
      <c r="N99" s="96">
        <v>1</v>
      </c>
      <c r="O99" s="111" t="s">
        <v>6</v>
      </c>
      <c r="P99" s="111" t="s">
        <v>339</v>
      </c>
      <c r="Q99" s="111"/>
      <c r="R99" s="111"/>
      <c r="S99" s="111"/>
      <c r="T99" s="111"/>
    </row>
    <row r="100" spans="1:20" ht="15" hidden="1" x14ac:dyDescent="0.4">
      <c r="A100" s="42" t="s">
        <v>318</v>
      </c>
      <c r="B100" s="48">
        <v>95</v>
      </c>
      <c r="C100" s="43" t="s">
        <v>386</v>
      </c>
      <c r="D100" s="48">
        <v>75</v>
      </c>
      <c r="E100" s="54"/>
      <c r="F100" s="42"/>
      <c r="G100" s="93"/>
      <c r="H100" s="145"/>
      <c r="I100" s="145"/>
      <c r="J100" s="95">
        <v>0</v>
      </c>
      <c r="K100" s="96">
        <v>0</v>
      </c>
      <c r="L100" s="96">
        <v>1</v>
      </c>
      <c r="M100" s="96" t="s">
        <v>43</v>
      </c>
      <c r="N100" s="96">
        <v>1</v>
      </c>
      <c r="O100" s="111" t="s">
        <v>6</v>
      </c>
      <c r="P100" s="111" t="s">
        <v>339</v>
      </c>
      <c r="Q100" s="111"/>
      <c r="R100" s="111"/>
      <c r="S100" s="111"/>
      <c r="T100" s="111"/>
    </row>
    <row r="101" spans="1:20" ht="15" hidden="1" x14ac:dyDescent="0.4">
      <c r="A101" s="42" t="s">
        <v>318</v>
      </c>
      <c r="B101" s="48">
        <v>96</v>
      </c>
      <c r="C101" s="43" t="s">
        <v>386</v>
      </c>
      <c r="D101" s="48">
        <v>76</v>
      </c>
      <c r="E101" s="54"/>
      <c r="F101" s="42"/>
      <c r="G101" s="93"/>
      <c r="H101" s="145"/>
      <c r="I101" s="145"/>
      <c r="J101" s="95">
        <v>0</v>
      </c>
      <c r="K101" s="96">
        <v>0</v>
      </c>
      <c r="L101" s="96">
        <v>1</v>
      </c>
      <c r="M101" s="96" t="s">
        <v>43</v>
      </c>
      <c r="N101" s="96">
        <v>1</v>
      </c>
      <c r="O101" s="111" t="s">
        <v>6</v>
      </c>
      <c r="P101" s="111" t="s">
        <v>339</v>
      </c>
      <c r="Q101" s="111"/>
      <c r="R101" s="111"/>
      <c r="S101" s="111"/>
      <c r="T101" s="111"/>
    </row>
    <row r="102" spans="1:20" ht="15" hidden="1" x14ac:dyDescent="0.4">
      <c r="A102" s="42" t="s">
        <v>318</v>
      </c>
      <c r="B102" s="48">
        <v>97</v>
      </c>
      <c r="C102" s="43" t="s">
        <v>386</v>
      </c>
      <c r="D102" s="48">
        <v>77</v>
      </c>
      <c r="E102" s="54"/>
      <c r="F102" s="42"/>
      <c r="G102" s="93"/>
      <c r="H102" s="145"/>
      <c r="I102" s="110"/>
      <c r="J102" s="95">
        <v>0</v>
      </c>
      <c r="K102" s="96">
        <v>0</v>
      </c>
      <c r="L102" s="96">
        <v>1</v>
      </c>
      <c r="M102" s="96" t="s">
        <v>43</v>
      </c>
      <c r="N102" s="96">
        <v>1</v>
      </c>
      <c r="O102" s="111" t="s">
        <v>6</v>
      </c>
      <c r="P102" s="111" t="s">
        <v>339</v>
      </c>
      <c r="Q102" s="111"/>
      <c r="R102" s="111"/>
      <c r="S102" s="111"/>
      <c r="T102" s="111"/>
    </row>
    <row r="103" spans="1:20" ht="15" hidden="1" x14ac:dyDescent="0.4">
      <c r="A103" s="42" t="s">
        <v>318</v>
      </c>
      <c r="B103" s="48">
        <v>98</v>
      </c>
      <c r="C103" s="43" t="s">
        <v>386</v>
      </c>
      <c r="D103" s="48">
        <v>78</v>
      </c>
      <c r="E103" s="54"/>
      <c r="F103" s="42"/>
      <c r="G103" s="93"/>
      <c r="H103" s="145"/>
      <c r="I103" s="110"/>
      <c r="J103" s="95">
        <v>0</v>
      </c>
      <c r="K103" s="96">
        <v>0</v>
      </c>
      <c r="L103" s="96">
        <v>1</v>
      </c>
      <c r="M103" s="96" t="s">
        <v>43</v>
      </c>
      <c r="N103" s="96">
        <v>1</v>
      </c>
      <c r="O103" s="111" t="s">
        <v>6</v>
      </c>
      <c r="P103" s="111" t="s">
        <v>339</v>
      </c>
      <c r="Q103" s="111"/>
      <c r="R103" s="111"/>
      <c r="S103" s="111"/>
      <c r="T103" s="111"/>
    </row>
    <row r="104" spans="1:20" s="69" customFormat="1" ht="15" hidden="1" x14ac:dyDescent="0.4">
      <c r="A104" s="51" t="s">
        <v>318</v>
      </c>
      <c r="B104" s="36">
        <v>99</v>
      </c>
      <c r="C104" s="52" t="s">
        <v>386</v>
      </c>
      <c r="D104" s="36">
        <v>79</v>
      </c>
      <c r="E104" s="56"/>
      <c r="F104" s="42"/>
      <c r="G104" s="93"/>
      <c r="H104" s="145"/>
      <c r="I104" s="110"/>
      <c r="J104" s="95">
        <v>0</v>
      </c>
      <c r="K104" s="96">
        <v>0</v>
      </c>
      <c r="L104" s="96">
        <v>1</v>
      </c>
      <c r="M104" s="96" t="s">
        <v>43</v>
      </c>
      <c r="N104" s="96">
        <v>1</v>
      </c>
      <c r="O104" s="111" t="s">
        <v>6</v>
      </c>
      <c r="P104" s="111" t="s">
        <v>339</v>
      </c>
      <c r="Q104" s="111"/>
      <c r="R104" s="111"/>
      <c r="S104" s="111"/>
      <c r="T104" s="111"/>
    </row>
    <row r="105" spans="1:20" ht="15" x14ac:dyDescent="0.4">
      <c r="A105" s="42" t="s">
        <v>318</v>
      </c>
      <c r="B105" s="48">
        <v>100</v>
      </c>
      <c r="C105" s="43" t="s">
        <v>321</v>
      </c>
      <c r="D105" s="48">
        <v>0</v>
      </c>
      <c r="E105" s="68"/>
      <c r="F105" s="51"/>
      <c r="G105" s="93"/>
      <c r="H105" s="145"/>
      <c r="I105" s="110"/>
      <c r="J105" s="95">
        <v>0</v>
      </c>
      <c r="K105" s="96">
        <v>0</v>
      </c>
      <c r="L105" s="96">
        <v>1</v>
      </c>
      <c r="M105" s="96" t="s">
        <v>43</v>
      </c>
      <c r="N105" s="96">
        <v>1</v>
      </c>
      <c r="O105" s="111" t="s">
        <v>6</v>
      </c>
      <c r="P105" s="111" t="s">
        <v>339</v>
      </c>
      <c r="Q105" s="111"/>
      <c r="R105" s="111"/>
      <c r="S105" s="111"/>
      <c r="T105" s="111"/>
    </row>
    <row r="106" spans="1:20" ht="15" x14ac:dyDescent="0.4">
      <c r="A106" s="42" t="s">
        <v>318</v>
      </c>
      <c r="B106" s="48">
        <v>101</v>
      </c>
      <c r="C106" s="43" t="s">
        <v>321</v>
      </c>
      <c r="D106" s="48">
        <v>1</v>
      </c>
      <c r="E106" s="54" t="s">
        <v>391</v>
      </c>
      <c r="F106" s="42">
        <v>0</v>
      </c>
      <c r="G106" s="93" t="s">
        <v>123</v>
      </c>
      <c r="H106" s="145" t="s">
        <v>17</v>
      </c>
      <c r="I106" s="115"/>
      <c r="J106" s="116">
        <v>10</v>
      </c>
      <c r="K106" s="96">
        <v>0</v>
      </c>
      <c r="L106" s="96">
        <v>100</v>
      </c>
      <c r="M106" s="96" t="s">
        <v>26</v>
      </c>
      <c r="N106" s="96">
        <v>100</v>
      </c>
      <c r="O106" s="111" t="s">
        <v>379</v>
      </c>
      <c r="P106" s="111" t="s">
        <v>339</v>
      </c>
      <c r="Q106" s="111"/>
      <c r="R106" s="111"/>
      <c r="S106" s="111"/>
      <c r="T106" s="111"/>
    </row>
    <row r="107" spans="1:20" ht="15" x14ac:dyDescent="0.4">
      <c r="A107" s="42" t="s">
        <v>318</v>
      </c>
      <c r="B107" s="48">
        <v>102</v>
      </c>
      <c r="C107" s="43" t="s">
        <v>321</v>
      </c>
      <c r="D107" s="48">
        <v>2</v>
      </c>
      <c r="E107" s="54" t="s">
        <v>391</v>
      </c>
      <c r="F107" s="42">
        <v>1</v>
      </c>
      <c r="G107" s="93" t="s">
        <v>263</v>
      </c>
      <c r="H107" s="145" t="s">
        <v>285</v>
      </c>
      <c r="I107" s="115"/>
      <c r="J107" s="116">
        <v>20</v>
      </c>
      <c r="K107" s="96">
        <v>0</v>
      </c>
      <c r="L107" s="96">
        <v>100</v>
      </c>
      <c r="M107" s="96" t="s">
        <v>26</v>
      </c>
      <c r="N107" s="96">
        <v>100</v>
      </c>
      <c r="O107" s="111" t="s">
        <v>379</v>
      </c>
      <c r="P107" s="111" t="s">
        <v>339</v>
      </c>
      <c r="Q107" s="111"/>
      <c r="R107" s="111"/>
      <c r="S107" s="111"/>
      <c r="T107" s="111"/>
    </row>
    <row r="108" spans="1:20" ht="15" x14ac:dyDescent="0.4">
      <c r="A108" s="42" t="s">
        <v>318</v>
      </c>
      <c r="B108" s="48">
        <v>103</v>
      </c>
      <c r="C108" s="43" t="s">
        <v>321</v>
      </c>
      <c r="D108" s="48">
        <v>3</v>
      </c>
      <c r="E108" s="54" t="s">
        <v>391</v>
      </c>
      <c r="F108" s="42">
        <v>2</v>
      </c>
      <c r="G108" s="93" t="s">
        <v>283</v>
      </c>
      <c r="H108" s="145" t="s">
        <v>286</v>
      </c>
      <c r="I108" s="98"/>
      <c r="J108" s="116">
        <v>45</v>
      </c>
      <c r="K108" s="96">
        <v>0</v>
      </c>
      <c r="L108" s="96">
        <v>100</v>
      </c>
      <c r="M108" s="96" t="s">
        <v>26</v>
      </c>
      <c r="N108" s="96">
        <v>100</v>
      </c>
      <c r="O108" s="111" t="s">
        <v>379</v>
      </c>
      <c r="P108" s="111" t="s">
        <v>339</v>
      </c>
      <c r="Q108" s="111"/>
      <c r="R108" s="111"/>
      <c r="S108" s="111"/>
      <c r="T108" s="111"/>
    </row>
    <row r="109" spans="1:20" ht="15" x14ac:dyDescent="0.4">
      <c r="A109" s="42" t="s">
        <v>318</v>
      </c>
      <c r="B109" s="48">
        <v>104</v>
      </c>
      <c r="C109" s="43" t="s">
        <v>321</v>
      </c>
      <c r="D109" s="48">
        <v>4</v>
      </c>
      <c r="E109" s="54" t="s">
        <v>391</v>
      </c>
      <c r="F109" s="42">
        <v>3</v>
      </c>
      <c r="G109" s="93" t="s">
        <v>284</v>
      </c>
      <c r="H109" s="145" t="s">
        <v>287</v>
      </c>
      <c r="I109" s="98"/>
      <c r="J109" s="116">
        <v>30</v>
      </c>
      <c r="K109" s="96">
        <v>0</v>
      </c>
      <c r="L109" s="96">
        <v>100</v>
      </c>
      <c r="M109" s="96" t="s">
        <v>26</v>
      </c>
      <c r="N109" s="96">
        <v>100</v>
      </c>
      <c r="O109" s="111" t="s">
        <v>379</v>
      </c>
      <c r="P109" s="111" t="s">
        <v>339</v>
      </c>
      <c r="Q109" s="111"/>
      <c r="R109" s="111"/>
      <c r="S109" s="111"/>
      <c r="T109" s="111"/>
    </row>
    <row r="110" spans="1:20" ht="15" x14ac:dyDescent="0.4">
      <c r="A110" s="42" t="s">
        <v>318</v>
      </c>
      <c r="B110" s="48">
        <v>105</v>
      </c>
      <c r="C110" s="43" t="s">
        <v>321</v>
      </c>
      <c r="D110" s="48">
        <v>5</v>
      </c>
      <c r="E110" s="54" t="s">
        <v>391</v>
      </c>
      <c r="F110" s="42">
        <v>4</v>
      </c>
      <c r="G110" s="93" t="s">
        <v>36</v>
      </c>
      <c r="H110" s="145" t="s">
        <v>22</v>
      </c>
      <c r="I110" s="98"/>
      <c r="J110" s="116">
        <v>10</v>
      </c>
      <c r="K110" s="96">
        <v>0</v>
      </c>
      <c r="L110" s="96">
        <v>100</v>
      </c>
      <c r="M110" s="96" t="s">
        <v>8</v>
      </c>
      <c r="N110" s="96">
        <v>100</v>
      </c>
      <c r="O110" s="111" t="s">
        <v>379</v>
      </c>
      <c r="P110" s="111" t="s">
        <v>339</v>
      </c>
      <c r="Q110" s="111"/>
      <c r="R110" s="111"/>
      <c r="S110" s="111"/>
      <c r="T110" s="111"/>
    </row>
    <row r="111" spans="1:20" ht="15" x14ac:dyDescent="0.4">
      <c r="A111" s="42" t="s">
        <v>318</v>
      </c>
      <c r="B111" s="48">
        <v>106</v>
      </c>
      <c r="C111" s="43" t="s">
        <v>321</v>
      </c>
      <c r="D111" s="48">
        <v>6</v>
      </c>
      <c r="E111" s="54" t="s">
        <v>391</v>
      </c>
      <c r="F111" s="42">
        <v>5</v>
      </c>
      <c r="G111" s="93" t="s">
        <v>114</v>
      </c>
      <c r="H111" s="145" t="s">
        <v>116</v>
      </c>
      <c r="I111" s="98"/>
      <c r="J111" s="116">
        <v>5</v>
      </c>
      <c r="K111" s="96">
        <v>0</v>
      </c>
      <c r="L111" s="96">
        <v>10</v>
      </c>
      <c r="M111" s="96" t="s">
        <v>31</v>
      </c>
      <c r="N111" s="96">
        <v>10</v>
      </c>
      <c r="O111" s="111" t="s">
        <v>379</v>
      </c>
      <c r="P111" s="111" t="s">
        <v>339</v>
      </c>
      <c r="Q111" s="111"/>
      <c r="R111" s="111"/>
      <c r="S111" s="111"/>
      <c r="T111" s="111"/>
    </row>
    <row r="112" spans="1:20" ht="15" x14ac:dyDescent="0.4">
      <c r="A112" s="42" t="s">
        <v>318</v>
      </c>
      <c r="B112" s="48">
        <v>107</v>
      </c>
      <c r="C112" s="43" t="s">
        <v>321</v>
      </c>
      <c r="D112" s="48">
        <v>7</v>
      </c>
      <c r="E112" s="54" t="s">
        <v>391</v>
      </c>
      <c r="F112" s="42">
        <v>6</v>
      </c>
      <c r="G112" s="93" t="s">
        <v>115</v>
      </c>
      <c r="H112" s="145" t="s">
        <v>117</v>
      </c>
      <c r="I112" s="98"/>
      <c r="J112" s="116">
        <v>1</v>
      </c>
      <c r="K112" s="96">
        <v>0</v>
      </c>
      <c r="L112" s="96">
        <v>10</v>
      </c>
      <c r="M112" s="96" t="s">
        <v>31</v>
      </c>
      <c r="N112" s="96">
        <v>10</v>
      </c>
      <c r="O112" s="111" t="s">
        <v>379</v>
      </c>
      <c r="P112" s="111" t="s">
        <v>339</v>
      </c>
      <c r="Q112" s="111"/>
      <c r="R112" s="111"/>
      <c r="S112" s="111"/>
      <c r="T112" s="111"/>
    </row>
    <row r="113" spans="1:20" ht="15" x14ac:dyDescent="0.4">
      <c r="A113" s="42" t="s">
        <v>318</v>
      </c>
      <c r="B113" s="48">
        <v>108</v>
      </c>
      <c r="C113" s="43" t="s">
        <v>321</v>
      </c>
      <c r="D113" s="48">
        <v>8</v>
      </c>
      <c r="E113" s="54" t="s">
        <v>392</v>
      </c>
      <c r="F113" s="42">
        <v>0</v>
      </c>
      <c r="G113" s="93" t="s">
        <v>37</v>
      </c>
      <c r="H113" s="145" t="s">
        <v>18</v>
      </c>
      <c r="I113" s="98"/>
      <c r="J113" s="116">
        <v>100</v>
      </c>
      <c r="K113" s="96">
        <v>0</v>
      </c>
      <c r="L113" s="96">
        <v>100</v>
      </c>
      <c r="M113" s="96" t="s">
        <v>261</v>
      </c>
      <c r="N113" s="96">
        <v>100</v>
      </c>
      <c r="O113" s="111" t="s">
        <v>379</v>
      </c>
      <c r="P113" s="111" t="s">
        <v>339</v>
      </c>
      <c r="Q113" s="111"/>
      <c r="R113" s="111"/>
      <c r="S113" s="111"/>
      <c r="T113" s="111"/>
    </row>
    <row r="114" spans="1:20" ht="15" x14ac:dyDescent="0.4">
      <c r="A114" s="42" t="s">
        <v>318</v>
      </c>
      <c r="B114" s="48">
        <v>109</v>
      </c>
      <c r="C114" s="43" t="s">
        <v>321</v>
      </c>
      <c r="D114" s="48">
        <v>9</v>
      </c>
      <c r="E114" s="56" t="s">
        <v>393</v>
      </c>
      <c r="F114" s="42">
        <v>0</v>
      </c>
      <c r="G114" s="93" t="s">
        <v>38</v>
      </c>
      <c r="H114" s="145" t="s">
        <v>39</v>
      </c>
      <c r="I114" s="115"/>
      <c r="J114" s="95">
        <v>422</v>
      </c>
      <c r="K114" s="96">
        <v>0</v>
      </c>
      <c r="L114" s="96">
        <v>800</v>
      </c>
      <c r="M114" s="96" t="s">
        <v>9</v>
      </c>
      <c r="N114" s="96">
        <v>10</v>
      </c>
      <c r="O114" s="111" t="s">
        <v>379</v>
      </c>
      <c r="P114" s="111" t="s">
        <v>339</v>
      </c>
      <c r="Q114" s="111"/>
      <c r="R114" s="111"/>
      <c r="S114" s="111"/>
      <c r="T114" s="111"/>
    </row>
    <row r="115" spans="1:20" ht="15" x14ac:dyDescent="0.4">
      <c r="A115" s="42" t="s">
        <v>318</v>
      </c>
      <c r="B115" s="48">
        <v>110</v>
      </c>
      <c r="C115" s="43" t="s">
        <v>321</v>
      </c>
      <c r="D115" s="48">
        <v>10</v>
      </c>
      <c r="E115" s="56" t="s">
        <v>393</v>
      </c>
      <c r="F115" s="42">
        <v>1</v>
      </c>
      <c r="G115" s="93" t="s">
        <v>566</v>
      </c>
      <c r="H115" s="145" t="s">
        <v>40</v>
      </c>
      <c r="I115" s="115"/>
      <c r="J115" s="95">
        <v>410</v>
      </c>
      <c r="K115" s="96">
        <v>0</v>
      </c>
      <c r="L115" s="96">
        <v>800</v>
      </c>
      <c r="M115" s="96" t="s">
        <v>9</v>
      </c>
      <c r="N115" s="96">
        <v>10</v>
      </c>
      <c r="O115" s="111" t="s">
        <v>379</v>
      </c>
      <c r="P115" s="111" t="s">
        <v>339</v>
      </c>
      <c r="Q115" s="111"/>
      <c r="R115" s="111"/>
      <c r="S115" s="111"/>
      <c r="T115" s="111"/>
    </row>
    <row r="116" spans="1:20" ht="30" x14ac:dyDescent="0.4">
      <c r="A116" s="42" t="s">
        <v>318</v>
      </c>
      <c r="B116" s="48">
        <v>111</v>
      </c>
      <c r="C116" s="43" t="s">
        <v>321</v>
      </c>
      <c r="D116" s="48">
        <v>11</v>
      </c>
      <c r="E116" s="56" t="s">
        <v>393</v>
      </c>
      <c r="F116" s="42">
        <v>2</v>
      </c>
      <c r="G116" s="93" t="s">
        <v>122</v>
      </c>
      <c r="H116" s="110" t="s">
        <v>41</v>
      </c>
      <c r="I116" s="115"/>
      <c r="J116" s="95">
        <v>5</v>
      </c>
      <c r="K116" s="96">
        <v>0</v>
      </c>
      <c r="L116" s="96">
        <v>800</v>
      </c>
      <c r="M116" s="96" t="s">
        <v>27</v>
      </c>
      <c r="N116" s="96">
        <v>10</v>
      </c>
      <c r="O116" s="111" t="s">
        <v>379</v>
      </c>
      <c r="P116" s="111" t="s">
        <v>339</v>
      </c>
      <c r="Q116" s="111"/>
      <c r="R116" s="111"/>
      <c r="S116" s="111"/>
      <c r="T116" s="111"/>
    </row>
    <row r="117" spans="1:20" ht="15" x14ac:dyDescent="0.4">
      <c r="A117" s="42" t="s">
        <v>318</v>
      </c>
      <c r="B117" s="48">
        <v>112</v>
      </c>
      <c r="C117" s="43" t="s">
        <v>321</v>
      </c>
      <c r="D117" s="48">
        <v>12</v>
      </c>
      <c r="E117" s="56" t="s">
        <v>394</v>
      </c>
      <c r="F117" s="42">
        <v>0</v>
      </c>
      <c r="G117" s="93" t="s">
        <v>264</v>
      </c>
      <c r="H117" s="145" t="s">
        <v>265</v>
      </c>
      <c r="I117" s="98"/>
      <c r="J117" s="95">
        <v>600</v>
      </c>
      <c r="K117" s="96">
        <v>0</v>
      </c>
      <c r="L117" s="96">
        <v>3600</v>
      </c>
      <c r="M117" s="96" t="s">
        <v>31</v>
      </c>
      <c r="N117" s="96">
        <v>10</v>
      </c>
      <c r="O117" s="111" t="s">
        <v>379</v>
      </c>
      <c r="P117" s="111" t="s">
        <v>339</v>
      </c>
      <c r="Q117" s="111"/>
      <c r="R117" s="111"/>
      <c r="S117" s="111"/>
      <c r="T117" s="111"/>
    </row>
    <row r="118" spans="1:20" ht="15" x14ac:dyDescent="0.4">
      <c r="A118" s="42" t="s">
        <v>318</v>
      </c>
      <c r="B118" s="48">
        <v>113</v>
      </c>
      <c r="C118" s="43" t="s">
        <v>321</v>
      </c>
      <c r="D118" s="48">
        <v>13</v>
      </c>
      <c r="E118" s="56" t="s">
        <v>394</v>
      </c>
      <c r="F118" s="42">
        <v>1</v>
      </c>
      <c r="G118" s="93" t="s">
        <v>267</v>
      </c>
      <c r="H118" s="145" t="s">
        <v>266</v>
      </c>
      <c r="I118" s="98"/>
      <c r="J118" s="95">
        <v>1200</v>
      </c>
      <c r="K118" s="96">
        <v>0</v>
      </c>
      <c r="L118" s="96">
        <v>3600</v>
      </c>
      <c r="M118" s="96" t="s">
        <v>31</v>
      </c>
      <c r="N118" s="96">
        <v>10</v>
      </c>
      <c r="O118" s="111" t="s">
        <v>379</v>
      </c>
      <c r="P118" s="111" t="s">
        <v>339</v>
      </c>
      <c r="Q118" s="111"/>
      <c r="R118" s="111"/>
      <c r="S118" s="111"/>
      <c r="T118" s="111"/>
    </row>
    <row r="119" spans="1:20" ht="15" x14ac:dyDescent="0.4">
      <c r="A119" s="42" t="s">
        <v>318</v>
      </c>
      <c r="B119" s="48">
        <v>114</v>
      </c>
      <c r="C119" s="43" t="s">
        <v>321</v>
      </c>
      <c r="D119" s="48">
        <v>14</v>
      </c>
      <c r="E119" s="56" t="s">
        <v>395</v>
      </c>
      <c r="F119" s="42">
        <v>0</v>
      </c>
      <c r="G119" s="93" t="s">
        <v>33</v>
      </c>
      <c r="H119" s="145" t="s">
        <v>19</v>
      </c>
      <c r="I119" s="98"/>
      <c r="J119" s="95">
        <v>100</v>
      </c>
      <c r="K119" s="96">
        <v>0</v>
      </c>
      <c r="L119" s="96">
        <v>100</v>
      </c>
      <c r="M119" s="96" t="s">
        <v>262</v>
      </c>
      <c r="N119" s="96">
        <v>100</v>
      </c>
      <c r="O119" s="111" t="s">
        <v>379</v>
      </c>
      <c r="P119" s="111" t="s">
        <v>339</v>
      </c>
      <c r="Q119" s="111"/>
      <c r="R119" s="111"/>
      <c r="S119" s="111"/>
      <c r="T119" s="111"/>
    </row>
    <row r="120" spans="1:20" ht="15" x14ac:dyDescent="0.4">
      <c r="A120" s="42" t="s">
        <v>318</v>
      </c>
      <c r="B120" s="48">
        <v>115</v>
      </c>
      <c r="C120" s="43" t="s">
        <v>321</v>
      </c>
      <c r="D120" s="48">
        <v>15</v>
      </c>
      <c r="E120" s="56" t="s">
        <v>396</v>
      </c>
      <c r="F120" s="42">
        <v>0</v>
      </c>
      <c r="G120" s="93" t="s">
        <v>34</v>
      </c>
      <c r="H120" s="145" t="s">
        <v>23</v>
      </c>
      <c r="I120" s="98"/>
      <c r="J120" s="95">
        <v>10</v>
      </c>
      <c r="K120" s="96">
        <v>0</v>
      </c>
      <c r="L120" s="96">
        <v>100</v>
      </c>
      <c r="M120" s="96" t="s">
        <v>8</v>
      </c>
      <c r="N120" s="96">
        <v>100</v>
      </c>
      <c r="O120" s="111" t="s">
        <v>379</v>
      </c>
      <c r="P120" s="111" t="s">
        <v>339</v>
      </c>
      <c r="Q120" s="111"/>
      <c r="R120" s="111"/>
      <c r="S120" s="111"/>
      <c r="T120" s="111"/>
    </row>
    <row r="121" spans="1:20" ht="15" x14ac:dyDescent="0.4">
      <c r="A121" s="42" t="s">
        <v>318</v>
      </c>
      <c r="B121" s="48">
        <v>116</v>
      </c>
      <c r="C121" s="43" t="s">
        <v>321</v>
      </c>
      <c r="D121" s="48">
        <v>16</v>
      </c>
      <c r="E121" s="56" t="s">
        <v>396</v>
      </c>
      <c r="F121" s="42">
        <v>1</v>
      </c>
      <c r="G121" s="93" t="s">
        <v>35</v>
      </c>
      <c r="H121" s="145" t="s">
        <v>20</v>
      </c>
      <c r="I121" s="98"/>
      <c r="J121" s="95">
        <v>600</v>
      </c>
      <c r="K121" s="96">
        <v>0</v>
      </c>
      <c r="L121" s="96">
        <v>3600</v>
      </c>
      <c r="M121" s="96" t="s">
        <v>21</v>
      </c>
      <c r="N121" s="96">
        <v>10</v>
      </c>
      <c r="O121" s="111" t="s">
        <v>379</v>
      </c>
      <c r="P121" s="111" t="s">
        <v>339</v>
      </c>
      <c r="Q121" s="111"/>
      <c r="R121" s="111"/>
      <c r="S121" s="111"/>
      <c r="T121" s="111"/>
    </row>
    <row r="122" spans="1:20" ht="15" x14ac:dyDescent="0.4">
      <c r="A122" s="42" t="s">
        <v>318</v>
      </c>
      <c r="B122" s="48">
        <v>117</v>
      </c>
      <c r="C122" s="43" t="s">
        <v>321</v>
      </c>
      <c r="D122" s="48">
        <v>17</v>
      </c>
      <c r="E122" s="56"/>
      <c r="F122" s="42"/>
      <c r="G122" s="93"/>
      <c r="H122" s="94"/>
      <c r="I122" s="98"/>
      <c r="J122" s="95">
        <v>0</v>
      </c>
      <c r="K122" s="96">
        <v>0</v>
      </c>
      <c r="L122" s="96">
        <v>1</v>
      </c>
      <c r="M122" s="96" t="s">
        <v>43</v>
      </c>
      <c r="N122" s="96">
        <v>1</v>
      </c>
      <c r="O122" s="111" t="s">
        <v>6</v>
      </c>
      <c r="P122" s="111" t="s">
        <v>339</v>
      </c>
      <c r="Q122" s="111"/>
      <c r="R122" s="111"/>
      <c r="S122" s="111"/>
      <c r="T122" s="111"/>
    </row>
    <row r="123" spans="1:20" ht="15" x14ac:dyDescent="0.4">
      <c r="A123" s="42" t="s">
        <v>318</v>
      </c>
      <c r="B123" s="48">
        <v>118</v>
      </c>
      <c r="C123" s="43" t="s">
        <v>321</v>
      </c>
      <c r="D123" s="48">
        <v>18</v>
      </c>
      <c r="E123" s="56"/>
      <c r="F123" s="42"/>
      <c r="G123" s="93"/>
      <c r="H123" s="94"/>
      <c r="I123" s="98"/>
      <c r="J123" s="95">
        <v>0</v>
      </c>
      <c r="K123" s="96">
        <v>0</v>
      </c>
      <c r="L123" s="96">
        <v>1</v>
      </c>
      <c r="M123" s="96" t="s">
        <v>43</v>
      </c>
      <c r="N123" s="96">
        <v>1</v>
      </c>
      <c r="O123" s="111" t="s">
        <v>6</v>
      </c>
      <c r="P123" s="111" t="s">
        <v>339</v>
      </c>
      <c r="Q123" s="111"/>
      <c r="R123" s="111"/>
      <c r="S123" s="111"/>
      <c r="T123" s="111"/>
    </row>
    <row r="124" spans="1:20" ht="15" x14ac:dyDescent="0.4">
      <c r="A124" s="42" t="s">
        <v>318</v>
      </c>
      <c r="B124" s="48">
        <v>119</v>
      </c>
      <c r="C124" s="43" t="s">
        <v>321</v>
      </c>
      <c r="D124" s="48">
        <v>19</v>
      </c>
      <c r="E124" s="56"/>
      <c r="F124" s="42"/>
      <c r="G124" s="93"/>
      <c r="H124" s="94"/>
      <c r="I124" s="98"/>
      <c r="J124" s="95">
        <v>0</v>
      </c>
      <c r="K124" s="96">
        <v>0</v>
      </c>
      <c r="L124" s="96">
        <v>1</v>
      </c>
      <c r="M124" s="96" t="s">
        <v>43</v>
      </c>
      <c r="N124" s="96">
        <v>1</v>
      </c>
      <c r="O124" s="111" t="s">
        <v>6</v>
      </c>
      <c r="P124" s="111" t="s">
        <v>339</v>
      </c>
      <c r="Q124" s="111"/>
      <c r="R124" s="111"/>
      <c r="S124" s="111"/>
      <c r="T124" s="111"/>
    </row>
    <row r="125" spans="1:20" ht="15" hidden="1" x14ac:dyDescent="0.4">
      <c r="A125" s="42" t="s">
        <v>318</v>
      </c>
      <c r="B125" s="48">
        <v>120</v>
      </c>
      <c r="C125" s="43" t="s">
        <v>321</v>
      </c>
      <c r="D125" s="48">
        <v>20</v>
      </c>
      <c r="E125" s="54"/>
      <c r="F125" s="42"/>
      <c r="G125" s="93"/>
      <c r="H125" s="94"/>
      <c r="I125" s="115"/>
      <c r="J125" s="95">
        <v>0</v>
      </c>
      <c r="K125" s="96">
        <v>0</v>
      </c>
      <c r="L125" s="96">
        <v>1</v>
      </c>
      <c r="M125" s="96" t="s">
        <v>43</v>
      </c>
      <c r="N125" s="96">
        <v>1</v>
      </c>
      <c r="O125" s="111" t="s">
        <v>6</v>
      </c>
      <c r="P125" s="111" t="s">
        <v>339</v>
      </c>
      <c r="Q125" s="111"/>
      <c r="R125" s="111"/>
      <c r="S125" s="111"/>
      <c r="T125" s="111"/>
    </row>
    <row r="126" spans="1:20" ht="15" hidden="1" x14ac:dyDescent="0.4">
      <c r="A126" s="42" t="s">
        <v>318</v>
      </c>
      <c r="B126" s="48">
        <v>121</v>
      </c>
      <c r="C126" s="43" t="s">
        <v>321</v>
      </c>
      <c r="D126" s="48">
        <v>21</v>
      </c>
      <c r="E126" s="56"/>
      <c r="F126" s="42"/>
      <c r="G126" s="93"/>
      <c r="H126" s="94"/>
      <c r="I126" s="115"/>
      <c r="J126" s="95">
        <v>0</v>
      </c>
      <c r="K126" s="96">
        <v>0</v>
      </c>
      <c r="L126" s="96">
        <v>1</v>
      </c>
      <c r="M126" s="96" t="s">
        <v>43</v>
      </c>
      <c r="N126" s="96">
        <v>1</v>
      </c>
      <c r="O126" s="111" t="s">
        <v>6</v>
      </c>
      <c r="P126" s="111" t="s">
        <v>339</v>
      </c>
      <c r="Q126" s="111"/>
      <c r="R126" s="111"/>
      <c r="S126" s="111"/>
      <c r="T126" s="111"/>
    </row>
    <row r="127" spans="1:20" ht="15" hidden="1" x14ac:dyDescent="0.4">
      <c r="A127" s="42" t="s">
        <v>318</v>
      </c>
      <c r="B127" s="48">
        <v>122</v>
      </c>
      <c r="C127" s="43" t="s">
        <v>321</v>
      </c>
      <c r="D127" s="48">
        <v>22</v>
      </c>
      <c r="E127" s="56"/>
      <c r="F127" s="42"/>
      <c r="G127" s="93"/>
      <c r="H127" s="110"/>
      <c r="I127" s="115"/>
      <c r="J127" s="95">
        <v>0</v>
      </c>
      <c r="K127" s="96">
        <v>0</v>
      </c>
      <c r="L127" s="96">
        <v>1</v>
      </c>
      <c r="M127" s="96" t="s">
        <v>43</v>
      </c>
      <c r="N127" s="96">
        <v>1</v>
      </c>
      <c r="O127" s="111" t="s">
        <v>6</v>
      </c>
      <c r="P127" s="111" t="s">
        <v>339</v>
      </c>
      <c r="Q127" s="111"/>
      <c r="R127" s="111"/>
      <c r="S127" s="111"/>
      <c r="T127" s="111"/>
    </row>
    <row r="128" spans="1:20" ht="15" hidden="1" x14ac:dyDescent="0.4">
      <c r="A128" s="42" t="s">
        <v>318</v>
      </c>
      <c r="B128" s="48">
        <v>123</v>
      </c>
      <c r="C128" s="43" t="s">
        <v>321</v>
      </c>
      <c r="D128" s="48">
        <v>23</v>
      </c>
      <c r="E128" s="56"/>
      <c r="F128" s="42"/>
      <c r="G128" s="93"/>
      <c r="H128" s="110"/>
      <c r="I128" s="115"/>
      <c r="J128" s="95">
        <v>0</v>
      </c>
      <c r="K128" s="96">
        <v>0</v>
      </c>
      <c r="L128" s="96">
        <v>1</v>
      </c>
      <c r="M128" s="96" t="s">
        <v>43</v>
      </c>
      <c r="N128" s="96">
        <v>1</v>
      </c>
      <c r="O128" s="111" t="s">
        <v>6</v>
      </c>
      <c r="P128" s="111" t="s">
        <v>339</v>
      </c>
      <c r="Q128" s="111"/>
      <c r="R128" s="111"/>
      <c r="S128" s="111"/>
      <c r="T128" s="111"/>
    </row>
    <row r="129" spans="1:20" ht="15" hidden="1" x14ac:dyDescent="0.4">
      <c r="A129" s="42" t="s">
        <v>318</v>
      </c>
      <c r="B129" s="48">
        <v>124</v>
      </c>
      <c r="C129" s="43" t="s">
        <v>321</v>
      </c>
      <c r="D129" s="48">
        <v>24</v>
      </c>
      <c r="E129" s="56"/>
      <c r="F129" s="42"/>
      <c r="G129" s="93"/>
      <c r="H129" s="110"/>
      <c r="I129" s="115"/>
      <c r="J129" s="95">
        <v>0</v>
      </c>
      <c r="K129" s="96">
        <v>0</v>
      </c>
      <c r="L129" s="96">
        <v>1</v>
      </c>
      <c r="M129" s="96" t="s">
        <v>43</v>
      </c>
      <c r="N129" s="96">
        <v>1</v>
      </c>
      <c r="O129" s="111" t="s">
        <v>6</v>
      </c>
      <c r="P129" s="111" t="s">
        <v>339</v>
      </c>
      <c r="Q129" s="111"/>
      <c r="R129" s="111"/>
      <c r="S129" s="111"/>
      <c r="T129" s="111"/>
    </row>
    <row r="130" spans="1:20" ht="15" hidden="1" x14ac:dyDescent="0.4">
      <c r="A130" s="42" t="s">
        <v>318</v>
      </c>
      <c r="B130" s="48">
        <v>125</v>
      </c>
      <c r="C130" s="43" t="s">
        <v>321</v>
      </c>
      <c r="D130" s="48">
        <v>25</v>
      </c>
      <c r="E130" s="54"/>
      <c r="F130" s="42"/>
      <c r="G130" s="93"/>
      <c r="H130" s="94"/>
      <c r="I130" s="98"/>
      <c r="J130" s="95">
        <v>0</v>
      </c>
      <c r="K130" s="96">
        <v>0</v>
      </c>
      <c r="L130" s="96">
        <v>1</v>
      </c>
      <c r="M130" s="96" t="s">
        <v>43</v>
      </c>
      <c r="N130" s="96">
        <v>1</v>
      </c>
      <c r="O130" s="111" t="s">
        <v>6</v>
      </c>
      <c r="P130" s="111" t="s">
        <v>339</v>
      </c>
      <c r="Q130" s="111"/>
      <c r="R130" s="111"/>
      <c r="S130" s="111"/>
      <c r="T130" s="111"/>
    </row>
    <row r="131" spans="1:20" ht="15" hidden="1" x14ac:dyDescent="0.4">
      <c r="A131" s="42" t="s">
        <v>318</v>
      </c>
      <c r="B131" s="48">
        <v>126</v>
      </c>
      <c r="C131" s="43" t="s">
        <v>321</v>
      </c>
      <c r="D131" s="48">
        <v>26</v>
      </c>
      <c r="E131" s="56"/>
      <c r="F131" s="42"/>
      <c r="G131" s="93"/>
      <c r="H131" s="94"/>
      <c r="I131" s="98"/>
      <c r="J131" s="95">
        <v>0</v>
      </c>
      <c r="K131" s="96">
        <v>0</v>
      </c>
      <c r="L131" s="96">
        <v>1</v>
      </c>
      <c r="M131" s="96" t="s">
        <v>43</v>
      </c>
      <c r="N131" s="96">
        <v>1</v>
      </c>
      <c r="O131" s="111" t="s">
        <v>6</v>
      </c>
      <c r="P131" s="111" t="s">
        <v>339</v>
      </c>
      <c r="Q131" s="111"/>
      <c r="R131" s="111"/>
      <c r="S131" s="111"/>
      <c r="T131" s="111"/>
    </row>
    <row r="132" spans="1:20" ht="15" hidden="1" x14ac:dyDescent="0.4">
      <c r="A132" s="42" t="s">
        <v>318</v>
      </c>
      <c r="B132" s="48">
        <v>127</v>
      </c>
      <c r="C132" s="43" t="s">
        <v>321</v>
      </c>
      <c r="D132" s="48">
        <v>27</v>
      </c>
      <c r="E132" s="56"/>
      <c r="F132" s="42"/>
      <c r="G132" s="93"/>
      <c r="H132" s="94"/>
      <c r="I132" s="98"/>
      <c r="J132" s="95">
        <v>0</v>
      </c>
      <c r="K132" s="96">
        <v>0</v>
      </c>
      <c r="L132" s="96">
        <v>1</v>
      </c>
      <c r="M132" s="96" t="s">
        <v>43</v>
      </c>
      <c r="N132" s="96">
        <v>1</v>
      </c>
      <c r="O132" s="111" t="s">
        <v>6</v>
      </c>
      <c r="P132" s="111" t="s">
        <v>339</v>
      </c>
      <c r="Q132" s="111"/>
      <c r="R132" s="111"/>
      <c r="S132" s="111"/>
      <c r="T132" s="111"/>
    </row>
    <row r="133" spans="1:20" ht="15" hidden="1" x14ac:dyDescent="0.4">
      <c r="A133" s="42" t="s">
        <v>318</v>
      </c>
      <c r="B133" s="48">
        <v>128</v>
      </c>
      <c r="C133" s="43" t="s">
        <v>321</v>
      </c>
      <c r="D133" s="48">
        <v>28</v>
      </c>
      <c r="E133" s="56"/>
      <c r="F133" s="42"/>
      <c r="G133" s="93"/>
      <c r="H133" s="94"/>
      <c r="I133" s="98"/>
      <c r="J133" s="95">
        <v>0</v>
      </c>
      <c r="K133" s="96">
        <v>0</v>
      </c>
      <c r="L133" s="96">
        <v>1</v>
      </c>
      <c r="M133" s="96" t="s">
        <v>43</v>
      </c>
      <c r="N133" s="96">
        <v>1</v>
      </c>
      <c r="O133" s="111" t="s">
        <v>6</v>
      </c>
      <c r="P133" s="111" t="s">
        <v>339</v>
      </c>
      <c r="Q133" s="111"/>
      <c r="R133" s="111"/>
      <c r="S133" s="111"/>
      <c r="T133" s="111"/>
    </row>
    <row r="134" spans="1:20" ht="15" hidden="1" x14ac:dyDescent="0.4">
      <c r="A134" s="42" t="s">
        <v>318</v>
      </c>
      <c r="B134" s="48">
        <v>129</v>
      </c>
      <c r="C134" s="43" t="s">
        <v>321</v>
      </c>
      <c r="D134" s="48">
        <v>29</v>
      </c>
      <c r="E134" s="56"/>
      <c r="F134" s="42"/>
      <c r="G134" s="93"/>
      <c r="H134" s="94"/>
      <c r="I134" s="98"/>
      <c r="J134" s="95">
        <v>0</v>
      </c>
      <c r="K134" s="96">
        <v>0</v>
      </c>
      <c r="L134" s="96">
        <v>1</v>
      </c>
      <c r="M134" s="96" t="s">
        <v>43</v>
      </c>
      <c r="N134" s="96">
        <v>1</v>
      </c>
      <c r="O134" s="111" t="s">
        <v>6</v>
      </c>
      <c r="P134" s="111" t="s">
        <v>339</v>
      </c>
      <c r="Q134" s="111"/>
      <c r="R134" s="111"/>
      <c r="S134" s="111"/>
      <c r="T134" s="111"/>
    </row>
    <row r="135" spans="1:20" ht="15" hidden="1" x14ac:dyDescent="0.4">
      <c r="A135" s="42" t="s">
        <v>318</v>
      </c>
      <c r="B135" s="48">
        <v>130</v>
      </c>
      <c r="C135" s="43" t="s">
        <v>321</v>
      </c>
      <c r="D135" s="48">
        <v>30</v>
      </c>
      <c r="E135" s="54"/>
      <c r="F135" s="42"/>
      <c r="G135" s="93"/>
      <c r="H135" s="94"/>
      <c r="I135" s="98"/>
      <c r="J135" s="95">
        <v>0</v>
      </c>
      <c r="K135" s="96">
        <v>0</v>
      </c>
      <c r="L135" s="96">
        <v>1</v>
      </c>
      <c r="M135" s="96" t="s">
        <v>43</v>
      </c>
      <c r="N135" s="96">
        <v>1</v>
      </c>
      <c r="O135" s="111" t="s">
        <v>6</v>
      </c>
      <c r="P135" s="111" t="s">
        <v>339</v>
      </c>
      <c r="Q135" s="111"/>
      <c r="R135" s="111"/>
      <c r="S135" s="111"/>
      <c r="T135" s="111"/>
    </row>
    <row r="136" spans="1:20" ht="15" hidden="1" x14ac:dyDescent="0.4">
      <c r="A136" s="42" t="s">
        <v>318</v>
      </c>
      <c r="B136" s="48">
        <v>131</v>
      </c>
      <c r="C136" s="43" t="s">
        <v>321</v>
      </c>
      <c r="D136" s="48">
        <v>31</v>
      </c>
      <c r="E136" s="56"/>
      <c r="F136" s="42"/>
      <c r="G136" s="93"/>
      <c r="H136" s="94"/>
      <c r="I136" s="98"/>
      <c r="J136" s="95">
        <v>0</v>
      </c>
      <c r="K136" s="96">
        <v>0</v>
      </c>
      <c r="L136" s="96">
        <v>1</v>
      </c>
      <c r="M136" s="96" t="s">
        <v>43</v>
      </c>
      <c r="N136" s="96">
        <v>1</v>
      </c>
      <c r="O136" s="111" t="s">
        <v>6</v>
      </c>
      <c r="P136" s="111" t="s">
        <v>339</v>
      </c>
      <c r="Q136" s="111"/>
      <c r="R136" s="111"/>
      <c r="S136" s="111"/>
      <c r="T136" s="111"/>
    </row>
    <row r="137" spans="1:20" ht="15" hidden="1" x14ac:dyDescent="0.4">
      <c r="A137" s="42" t="s">
        <v>318</v>
      </c>
      <c r="B137" s="48">
        <v>132</v>
      </c>
      <c r="C137" s="43" t="s">
        <v>321</v>
      </c>
      <c r="D137" s="48">
        <v>32</v>
      </c>
      <c r="E137" s="56"/>
      <c r="F137" s="42"/>
      <c r="G137" s="93"/>
      <c r="H137" s="94"/>
      <c r="I137" s="98"/>
      <c r="J137" s="95">
        <v>0</v>
      </c>
      <c r="K137" s="96">
        <v>0</v>
      </c>
      <c r="L137" s="96">
        <v>1</v>
      </c>
      <c r="M137" s="96" t="s">
        <v>43</v>
      </c>
      <c r="N137" s="96">
        <v>1</v>
      </c>
      <c r="O137" s="111" t="s">
        <v>6</v>
      </c>
      <c r="P137" s="111" t="s">
        <v>339</v>
      </c>
      <c r="Q137" s="111"/>
      <c r="R137" s="111"/>
      <c r="S137" s="111"/>
      <c r="T137" s="111"/>
    </row>
    <row r="138" spans="1:20" ht="15" hidden="1" x14ac:dyDescent="0.4">
      <c r="A138" s="42" t="s">
        <v>318</v>
      </c>
      <c r="B138" s="48">
        <v>133</v>
      </c>
      <c r="C138" s="43" t="s">
        <v>321</v>
      </c>
      <c r="D138" s="48">
        <v>33</v>
      </c>
      <c r="E138" s="56"/>
      <c r="F138" s="42"/>
      <c r="G138" s="93"/>
      <c r="H138" s="94"/>
      <c r="I138" s="98"/>
      <c r="J138" s="95">
        <v>0</v>
      </c>
      <c r="K138" s="96">
        <v>0</v>
      </c>
      <c r="L138" s="96">
        <v>1</v>
      </c>
      <c r="M138" s="96" t="s">
        <v>43</v>
      </c>
      <c r="N138" s="96">
        <v>1</v>
      </c>
      <c r="O138" s="111" t="s">
        <v>6</v>
      </c>
      <c r="P138" s="111" t="s">
        <v>339</v>
      </c>
      <c r="Q138" s="111"/>
      <c r="R138" s="111"/>
      <c r="S138" s="111"/>
      <c r="T138" s="111"/>
    </row>
    <row r="139" spans="1:20" ht="15" hidden="1" x14ac:dyDescent="0.4">
      <c r="A139" s="42" t="s">
        <v>318</v>
      </c>
      <c r="B139" s="48">
        <v>134</v>
      </c>
      <c r="C139" s="43" t="s">
        <v>321</v>
      </c>
      <c r="D139" s="48">
        <v>34</v>
      </c>
      <c r="E139" s="56"/>
      <c r="F139" s="42"/>
      <c r="G139" s="93"/>
      <c r="H139" s="94"/>
      <c r="I139" s="98"/>
      <c r="J139" s="95">
        <v>0</v>
      </c>
      <c r="K139" s="96">
        <v>0</v>
      </c>
      <c r="L139" s="96">
        <v>1</v>
      </c>
      <c r="M139" s="96" t="s">
        <v>43</v>
      </c>
      <c r="N139" s="96">
        <v>1</v>
      </c>
      <c r="O139" s="111" t="s">
        <v>6</v>
      </c>
      <c r="P139" s="111" t="s">
        <v>339</v>
      </c>
      <c r="Q139" s="111"/>
      <c r="R139" s="111"/>
      <c r="S139" s="111"/>
      <c r="T139" s="111"/>
    </row>
    <row r="140" spans="1:20" ht="15" hidden="1" x14ac:dyDescent="0.4">
      <c r="A140" s="42" t="s">
        <v>318</v>
      </c>
      <c r="B140" s="48">
        <v>135</v>
      </c>
      <c r="C140" s="43" t="s">
        <v>321</v>
      </c>
      <c r="D140" s="48">
        <v>35</v>
      </c>
      <c r="E140" s="54"/>
      <c r="F140" s="42"/>
      <c r="G140" s="93"/>
      <c r="H140" s="94"/>
      <c r="I140" s="98"/>
      <c r="J140" s="95">
        <v>0</v>
      </c>
      <c r="K140" s="96">
        <v>0</v>
      </c>
      <c r="L140" s="96">
        <v>1</v>
      </c>
      <c r="M140" s="96" t="s">
        <v>43</v>
      </c>
      <c r="N140" s="96">
        <v>1</v>
      </c>
      <c r="O140" s="111" t="s">
        <v>6</v>
      </c>
      <c r="P140" s="111" t="s">
        <v>339</v>
      </c>
      <c r="Q140" s="111"/>
      <c r="R140" s="111"/>
      <c r="S140" s="111"/>
      <c r="T140" s="111"/>
    </row>
    <row r="141" spans="1:20" ht="15" hidden="1" x14ac:dyDescent="0.4">
      <c r="A141" s="42" t="s">
        <v>318</v>
      </c>
      <c r="B141" s="48">
        <v>136</v>
      </c>
      <c r="C141" s="43" t="s">
        <v>321</v>
      </c>
      <c r="D141" s="48">
        <v>36</v>
      </c>
      <c r="E141" s="56"/>
      <c r="F141" s="42"/>
      <c r="G141" s="93"/>
      <c r="H141" s="94"/>
      <c r="I141" s="98"/>
      <c r="J141" s="95">
        <v>0</v>
      </c>
      <c r="K141" s="96">
        <v>0</v>
      </c>
      <c r="L141" s="96">
        <v>1</v>
      </c>
      <c r="M141" s="96" t="s">
        <v>43</v>
      </c>
      <c r="N141" s="96">
        <v>1</v>
      </c>
      <c r="O141" s="111" t="s">
        <v>6</v>
      </c>
      <c r="P141" s="111" t="s">
        <v>339</v>
      </c>
      <c r="Q141" s="111"/>
      <c r="R141" s="111"/>
      <c r="S141" s="111"/>
      <c r="T141" s="111"/>
    </row>
    <row r="142" spans="1:20" ht="15" hidden="1" x14ac:dyDescent="0.4">
      <c r="A142" s="42" t="s">
        <v>318</v>
      </c>
      <c r="B142" s="48">
        <v>137</v>
      </c>
      <c r="C142" s="43" t="s">
        <v>321</v>
      </c>
      <c r="D142" s="48">
        <v>37</v>
      </c>
      <c r="E142" s="56"/>
      <c r="F142" s="42"/>
      <c r="G142" s="93"/>
      <c r="H142" s="94"/>
      <c r="I142" s="98"/>
      <c r="J142" s="95">
        <v>0</v>
      </c>
      <c r="K142" s="96">
        <v>0</v>
      </c>
      <c r="L142" s="96">
        <v>1</v>
      </c>
      <c r="M142" s="96" t="s">
        <v>43</v>
      </c>
      <c r="N142" s="96">
        <v>1</v>
      </c>
      <c r="O142" s="111" t="s">
        <v>6</v>
      </c>
      <c r="P142" s="111" t="s">
        <v>339</v>
      </c>
      <c r="Q142" s="111"/>
      <c r="R142" s="111"/>
      <c r="S142" s="111"/>
      <c r="T142" s="111"/>
    </row>
    <row r="143" spans="1:20" ht="15" hidden="1" x14ac:dyDescent="0.4">
      <c r="A143" s="42" t="s">
        <v>318</v>
      </c>
      <c r="B143" s="48">
        <v>138</v>
      </c>
      <c r="C143" s="43" t="s">
        <v>321</v>
      </c>
      <c r="D143" s="48">
        <v>38</v>
      </c>
      <c r="E143" s="56"/>
      <c r="F143" s="42"/>
      <c r="G143" s="93"/>
      <c r="H143" s="94"/>
      <c r="I143" s="98"/>
      <c r="J143" s="95">
        <v>0</v>
      </c>
      <c r="K143" s="96">
        <v>0</v>
      </c>
      <c r="L143" s="96">
        <v>1</v>
      </c>
      <c r="M143" s="96" t="s">
        <v>43</v>
      </c>
      <c r="N143" s="96">
        <v>1</v>
      </c>
      <c r="O143" s="111" t="s">
        <v>6</v>
      </c>
      <c r="P143" s="111" t="s">
        <v>339</v>
      </c>
      <c r="Q143" s="111"/>
      <c r="R143" s="111"/>
      <c r="S143" s="111"/>
      <c r="T143" s="111"/>
    </row>
    <row r="144" spans="1:20" ht="15" hidden="1" x14ac:dyDescent="0.4">
      <c r="A144" s="42" t="s">
        <v>318</v>
      </c>
      <c r="B144" s="48">
        <v>139</v>
      </c>
      <c r="C144" s="43" t="s">
        <v>321</v>
      </c>
      <c r="D144" s="48">
        <v>39</v>
      </c>
      <c r="E144" s="56"/>
      <c r="F144" s="42"/>
      <c r="G144" s="93"/>
      <c r="H144" s="94"/>
      <c r="I144" s="98"/>
      <c r="J144" s="95">
        <v>0</v>
      </c>
      <c r="K144" s="96">
        <v>0</v>
      </c>
      <c r="L144" s="96">
        <v>1</v>
      </c>
      <c r="M144" s="96" t="s">
        <v>43</v>
      </c>
      <c r="N144" s="96">
        <v>1</v>
      </c>
      <c r="O144" s="111" t="s">
        <v>6</v>
      </c>
      <c r="P144" s="111" t="s">
        <v>339</v>
      </c>
      <c r="Q144" s="111"/>
      <c r="R144" s="111"/>
      <c r="S144" s="111"/>
      <c r="T144" s="111"/>
    </row>
    <row r="145" spans="1:20" ht="15" hidden="1" x14ac:dyDescent="0.4">
      <c r="A145" s="42" t="s">
        <v>318</v>
      </c>
      <c r="B145" s="48">
        <v>140</v>
      </c>
      <c r="C145" s="43" t="s">
        <v>321</v>
      </c>
      <c r="D145" s="48">
        <v>40</v>
      </c>
      <c r="E145" s="54"/>
      <c r="F145" s="42"/>
      <c r="G145" s="93"/>
      <c r="H145" s="94"/>
      <c r="I145" s="98"/>
      <c r="J145" s="95">
        <v>0</v>
      </c>
      <c r="K145" s="96">
        <v>0</v>
      </c>
      <c r="L145" s="96">
        <v>1</v>
      </c>
      <c r="M145" s="96" t="s">
        <v>43</v>
      </c>
      <c r="N145" s="96">
        <v>1</v>
      </c>
      <c r="O145" s="111" t="s">
        <v>6</v>
      </c>
      <c r="P145" s="111" t="s">
        <v>339</v>
      </c>
      <c r="Q145" s="111"/>
      <c r="R145" s="111"/>
      <c r="S145" s="111"/>
      <c r="T145" s="111"/>
    </row>
    <row r="146" spans="1:20" ht="15" hidden="1" x14ac:dyDescent="0.4">
      <c r="A146" s="42" t="s">
        <v>318</v>
      </c>
      <c r="B146" s="48">
        <v>141</v>
      </c>
      <c r="C146" s="43" t="s">
        <v>321</v>
      </c>
      <c r="D146" s="48">
        <v>41</v>
      </c>
      <c r="E146" s="56"/>
      <c r="F146" s="42"/>
      <c r="G146" s="93"/>
      <c r="H146" s="94"/>
      <c r="I146" s="98"/>
      <c r="J146" s="95">
        <v>0</v>
      </c>
      <c r="K146" s="96">
        <v>0</v>
      </c>
      <c r="L146" s="96">
        <v>1</v>
      </c>
      <c r="M146" s="96" t="s">
        <v>43</v>
      </c>
      <c r="N146" s="96">
        <v>1</v>
      </c>
      <c r="O146" s="111" t="s">
        <v>6</v>
      </c>
      <c r="P146" s="111" t="s">
        <v>339</v>
      </c>
      <c r="Q146" s="111"/>
      <c r="R146" s="111"/>
      <c r="S146" s="111"/>
      <c r="T146" s="111"/>
    </row>
    <row r="147" spans="1:20" ht="15" hidden="1" x14ac:dyDescent="0.4">
      <c r="A147" s="42" t="s">
        <v>318</v>
      </c>
      <c r="B147" s="48">
        <v>142</v>
      </c>
      <c r="C147" s="43" t="s">
        <v>321</v>
      </c>
      <c r="D147" s="48">
        <v>42</v>
      </c>
      <c r="E147" s="56"/>
      <c r="F147" s="42"/>
      <c r="G147" s="93"/>
      <c r="H147" s="94"/>
      <c r="I147" s="98"/>
      <c r="J147" s="95">
        <v>0</v>
      </c>
      <c r="K147" s="96">
        <v>0</v>
      </c>
      <c r="L147" s="96">
        <v>1</v>
      </c>
      <c r="M147" s="96" t="s">
        <v>43</v>
      </c>
      <c r="N147" s="96">
        <v>1</v>
      </c>
      <c r="O147" s="111" t="s">
        <v>6</v>
      </c>
      <c r="P147" s="111" t="s">
        <v>339</v>
      </c>
      <c r="Q147" s="111"/>
      <c r="R147" s="111"/>
      <c r="S147" s="111"/>
      <c r="T147" s="111"/>
    </row>
    <row r="148" spans="1:20" ht="15" hidden="1" x14ac:dyDescent="0.4">
      <c r="A148" s="42" t="s">
        <v>318</v>
      </c>
      <c r="B148" s="48">
        <v>143</v>
      </c>
      <c r="C148" s="43" t="s">
        <v>321</v>
      </c>
      <c r="D148" s="48">
        <v>43</v>
      </c>
      <c r="E148" s="56"/>
      <c r="F148" s="42"/>
      <c r="G148" s="93"/>
      <c r="H148" s="94"/>
      <c r="I148" s="98"/>
      <c r="J148" s="95">
        <v>0</v>
      </c>
      <c r="K148" s="96">
        <v>0</v>
      </c>
      <c r="L148" s="96">
        <v>1</v>
      </c>
      <c r="M148" s="96" t="s">
        <v>43</v>
      </c>
      <c r="N148" s="96">
        <v>1</v>
      </c>
      <c r="O148" s="111" t="s">
        <v>6</v>
      </c>
      <c r="P148" s="111" t="s">
        <v>339</v>
      </c>
      <c r="Q148" s="111"/>
      <c r="R148" s="111"/>
      <c r="S148" s="111"/>
      <c r="T148" s="111"/>
    </row>
    <row r="149" spans="1:20" ht="15" hidden="1" x14ac:dyDescent="0.4">
      <c r="A149" s="42" t="s">
        <v>318</v>
      </c>
      <c r="B149" s="48">
        <v>144</v>
      </c>
      <c r="C149" s="43" t="s">
        <v>321</v>
      </c>
      <c r="D149" s="48">
        <v>44</v>
      </c>
      <c r="E149" s="56"/>
      <c r="F149" s="42"/>
      <c r="G149" s="93"/>
      <c r="H149" s="94"/>
      <c r="I149" s="98"/>
      <c r="J149" s="95">
        <v>0</v>
      </c>
      <c r="K149" s="96">
        <v>0</v>
      </c>
      <c r="L149" s="96">
        <v>1</v>
      </c>
      <c r="M149" s="96" t="s">
        <v>43</v>
      </c>
      <c r="N149" s="96">
        <v>1</v>
      </c>
      <c r="O149" s="111" t="s">
        <v>6</v>
      </c>
      <c r="P149" s="111" t="s">
        <v>339</v>
      </c>
      <c r="Q149" s="111"/>
      <c r="R149" s="111"/>
      <c r="S149" s="111"/>
      <c r="T149" s="111"/>
    </row>
    <row r="150" spans="1:20" ht="15" hidden="1" x14ac:dyDescent="0.4">
      <c r="A150" s="42" t="s">
        <v>318</v>
      </c>
      <c r="B150" s="48">
        <v>145</v>
      </c>
      <c r="C150" s="43" t="s">
        <v>321</v>
      </c>
      <c r="D150" s="48">
        <v>45</v>
      </c>
      <c r="E150" s="54"/>
      <c r="F150" s="42"/>
      <c r="G150" s="93"/>
      <c r="H150" s="94"/>
      <c r="I150" s="98"/>
      <c r="J150" s="95">
        <v>0</v>
      </c>
      <c r="K150" s="96">
        <v>0</v>
      </c>
      <c r="L150" s="96">
        <v>1</v>
      </c>
      <c r="M150" s="96" t="s">
        <v>43</v>
      </c>
      <c r="N150" s="96">
        <v>1</v>
      </c>
      <c r="O150" s="111" t="s">
        <v>6</v>
      </c>
      <c r="P150" s="111" t="s">
        <v>339</v>
      </c>
      <c r="Q150" s="111"/>
      <c r="R150" s="111"/>
      <c r="S150" s="111"/>
      <c r="T150" s="111"/>
    </row>
    <row r="151" spans="1:20" ht="15" hidden="1" x14ac:dyDescent="0.4">
      <c r="A151" s="42" t="s">
        <v>318</v>
      </c>
      <c r="B151" s="48">
        <v>146</v>
      </c>
      <c r="C151" s="43" t="s">
        <v>321</v>
      </c>
      <c r="D151" s="48">
        <v>46</v>
      </c>
      <c r="E151" s="56"/>
      <c r="F151" s="42"/>
      <c r="G151" s="93"/>
      <c r="H151" s="94"/>
      <c r="I151" s="98"/>
      <c r="J151" s="95">
        <v>0</v>
      </c>
      <c r="K151" s="96">
        <v>0</v>
      </c>
      <c r="L151" s="96">
        <v>1</v>
      </c>
      <c r="M151" s="96" t="s">
        <v>43</v>
      </c>
      <c r="N151" s="96">
        <v>1</v>
      </c>
      <c r="O151" s="111" t="s">
        <v>6</v>
      </c>
      <c r="P151" s="111" t="s">
        <v>339</v>
      </c>
      <c r="Q151" s="111"/>
      <c r="R151" s="111"/>
      <c r="S151" s="111"/>
      <c r="T151" s="111"/>
    </row>
    <row r="152" spans="1:20" ht="15" hidden="1" x14ac:dyDescent="0.4">
      <c r="A152" s="42" t="s">
        <v>318</v>
      </c>
      <c r="B152" s="48">
        <v>147</v>
      </c>
      <c r="C152" s="43" t="s">
        <v>321</v>
      </c>
      <c r="D152" s="48">
        <v>47</v>
      </c>
      <c r="E152" s="56"/>
      <c r="F152" s="42"/>
      <c r="G152" s="93"/>
      <c r="H152" s="94"/>
      <c r="I152" s="98"/>
      <c r="J152" s="95">
        <v>0</v>
      </c>
      <c r="K152" s="96">
        <v>0</v>
      </c>
      <c r="L152" s="96">
        <v>1</v>
      </c>
      <c r="M152" s="96" t="s">
        <v>43</v>
      </c>
      <c r="N152" s="96">
        <v>1</v>
      </c>
      <c r="O152" s="111" t="s">
        <v>6</v>
      </c>
      <c r="P152" s="111" t="s">
        <v>339</v>
      </c>
      <c r="Q152" s="111"/>
      <c r="R152" s="111"/>
      <c r="S152" s="111"/>
      <c r="T152" s="111"/>
    </row>
    <row r="153" spans="1:20" ht="15" hidden="1" x14ac:dyDescent="0.4">
      <c r="A153" s="42" t="s">
        <v>318</v>
      </c>
      <c r="B153" s="48">
        <v>148</v>
      </c>
      <c r="C153" s="43" t="s">
        <v>321</v>
      </c>
      <c r="D153" s="48">
        <v>48</v>
      </c>
      <c r="E153" s="56"/>
      <c r="F153" s="42"/>
      <c r="G153" s="93"/>
      <c r="H153" s="94"/>
      <c r="I153" s="98"/>
      <c r="J153" s="95">
        <v>0</v>
      </c>
      <c r="K153" s="96">
        <v>0</v>
      </c>
      <c r="L153" s="96">
        <v>1</v>
      </c>
      <c r="M153" s="96" t="s">
        <v>43</v>
      </c>
      <c r="N153" s="96">
        <v>1</v>
      </c>
      <c r="O153" s="111" t="s">
        <v>6</v>
      </c>
      <c r="P153" s="111" t="s">
        <v>339</v>
      </c>
      <c r="Q153" s="111"/>
      <c r="R153" s="111"/>
      <c r="S153" s="111"/>
      <c r="T153" s="111"/>
    </row>
    <row r="154" spans="1:20" ht="15" hidden="1" x14ac:dyDescent="0.4">
      <c r="A154" s="42" t="s">
        <v>318</v>
      </c>
      <c r="B154" s="48">
        <v>149</v>
      </c>
      <c r="C154" s="52" t="s">
        <v>321</v>
      </c>
      <c r="D154" s="36">
        <v>49</v>
      </c>
      <c r="E154" s="68"/>
      <c r="F154" s="51"/>
      <c r="G154" s="93"/>
      <c r="H154" s="94"/>
      <c r="I154" s="98"/>
      <c r="J154" s="95">
        <v>0</v>
      </c>
      <c r="K154" s="96">
        <v>0</v>
      </c>
      <c r="L154" s="96">
        <v>1</v>
      </c>
      <c r="M154" s="96" t="s">
        <v>43</v>
      </c>
      <c r="N154" s="96">
        <v>1</v>
      </c>
      <c r="O154" s="111" t="s">
        <v>6</v>
      </c>
      <c r="P154" s="111" t="s">
        <v>339</v>
      </c>
      <c r="Q154" s="111"/>
      <c r="R154" s="111"/>
      <c r="S154" s="111"/>
      <c r="T154" s="111"/>
    </row>
    <row r="155" spans="1:20" ht="15" x14ac:dyDescent="0.4">
      <c r="A155" s="42" t="s">
        <v>318</v>
      </c>
      <c r="B155" s="48">
        <v>150</v>
      </c>
      <c r="C155" s="43" t="s">
        <v>315</v>
      </c>
      <c r="D155" s="48">
        <v>0</v>
      </c>
      <c r="E155" s="54" t="s">
        <v>397</v>
      </c>
      <c r="F155" s="42">
        <v>0</v>
      </c>
      <c r="G155" s="93" t="s">
        <v>567</v>
      </c>
      <c r="H155" s="94" t="s">
        <v>398</v>
      </c>
      <c r="I155" s="98"/>
      <c r="J155" s="95">
        <v>600</v>
      </c>
      <c r="K155" s="96">
        <v>0</v>
      </c>
      <c r="L155" s="96">
        <v>3600</v>
      </c>
      <c r="M155" s="96" t="s">
        <v>21</v>
      </c>
      <c r="N155" s="96">
        <v>10</v>
      </c>
      <c r="O155" s="111" t="s">
        <v>379</v>
      </c>
      <c r="P155" s="111" t="s">
        <v>339</v>
      </c>
      <c r="Q155" s="111"/>
      <c r="R155" s="111"/>
      <c r="S155" s="111"/>
      <c r="T155" s="111"/>
    </row>
    <row r="156" spans="1:20" ht="15" x14ac:dyDescent="0.4">
      <c r="A156" s="42" t="s">
        <v>318</v>
      </c>
      <c r="B156" s="48">
        <v>151</v>
      </c>
      <c r="C156" s="43" t="s">
        <v>315</v>
      </c>
      <c r="D156" s="48">
        <v>1</v>
      </c>
      <c r="E156" s="56" t="s">
        <v>399</v>
      </c>
      <c r="F156" s="42">
        <v>0</v>
      </c>
      <c r="G156" s="93" t="s">
        <v>568</v>
      </c>
      <c r="H156" s="94" t="s">
        <v>61</v>
      </c>
      <c r="I156" s="98"/>
      <c r="J156" s="95">
        <v>3</v>
      </c>
      <c r="K156" s="96">
        <v>0</v>
      </c>
      <c r="L156" s="96">
        <v>100</v>
      </c>
      <c r="M156" s="96" t="s">
        <v>21</v>
      </c>
      <c r="N156" s="96">
        <v>10</v>
      </c>
      <c r="O156" s="111" t="s">
        <v>379</v>
      </c>
      <c r="P156" s="111" t="s">
        <v>339</v>
      </c>
      <c r="Q156" s="111"/>
      <c r="R156" s="117"/>
      <c r="S156" s="117"/>
      <c r="T156" s="118"/>
    </row>
    <row r="157" spans="1:20" ht="15" x14ac:dyDescent="0.4">
      <c r="A157" s="42" t="s">
        <v>318</v>
      </c>
      <c r="B157" s="48">
        <v>152</v>
      </c>
      <c r="C157" s="43" t="s">
        <v>315</v>
      </c>
      <c r="D157" s="48">
        <v>2</v>
      </c>
      <c r="E157" s="56" t="s">
        <v>399</v>
      </c>
      <c r="F157" s="42">
        <v>1</v>
      </c>
      <c r="G157" s="93" t="s">
        <v>569</v>
      </c>
      <c r="H157" s="94" t="s">
        <v>296</v>
      </c>
      <c r="I157" s="98"/>
      <c r="J157" s="95">
        <v>120</v>
      </c>
      <c r="K157" s="96">
        <v>0</v>
      </c>
      <c r="L157" s="96">
        <v>3600</v>
      </c>
      <c r="M157" s="96" t="s">
        <v>21</v>
      </c>
      <c r="N157" s="96">
        <v>10</v>
      </c>
      <c r="O157" s="111" t="s">
        <v>379</v>
      </c>
      <c r="P157" s="111" t="s">
        <v>339</v>
      </c>
      <c r="Q157" s="111"/>
      <c r="R157" s="111"/>
      <c r="S157" s="111"/>
      <c r="T157" s="111"/>
    </row>
    <row r="158" spans="1:20" ht="15" x14ac:dyDescent="0.4">
      <c r="A158" s="42" t="s">
        <v>318</v>
      </c>
      <c r="B158" s="48">
        <v>153</v>
      </c>
      <c r="C158" s="43" t="s">
        <v>315</v>
      </c>
      <c r="D158" s="48">
        <v>3</v>
      </c>
      <c r="E158" s="56" t="s">
        <v>399</v>
      </c>
      <c r="F158" s="42">
        <v>2</v>
      </c>
      <c r="G158" s="93" t="s">
        <v>570</v>
      </c>
      <c r="H158" s="94" t="s">
        <v>297</v>
      </c>
      <c r="I158" s="98"/>
      <c r="J158" s="95">
        <v>120</v>
      </c>
      <c r="K158" s="96">
        <v>0</v>
      </c>
      <c r="L158" s="96">
        <v>3600</v>
      </c>
      <c r="M158" s="96" t="s">
        <v>21</v>
      </c>
      <c r="N158" s="96">
        <v>10</v>
      </c>
      <c r="O158" s="111" t="s">
        <v>379</v>
      </c>
      <c r="P158" s="111" t="s">
        <v>339</v>
      </c>
      <c r="Q158" s="111"/>
      <c r="R158" s="111"/>
      <c r="S158" s="111"/>
      <c r="T158" s="111"/>
    </row>
    <row r="159" spans="1:20" ht="15" x14ac:dyDescent="0.4">
      <c r="A159" s="42" t="s">
        <v>318</v>
      </c>
      <c r="B159" s="48">
        <v>154</v>
      </c>
      <c r="C159" s="43" t="s">
        <v>315</v>
      </c>
      <c r="D159" s="48">
        <v>4</v>
      </c>
      <c r="E159" s="56" t="s">
        <v>399</v>
      </c>
      <c r="F159" s="42">
        <v>3</v>
      </c>
      <c r="G159" s="93" t="s">
        <v>571</v>
      </c>
      <c r="H159" s="94" t="s">
        <v>298</v>
      </c>
      <c r="I159" s="98"/>
      <c r="J159" s="95">
        <v>20</v>
      </c>
      <c r="K159" s="96">
        <v>0</v>
      </c>
      <c r="L159" s="96">
        <v>100</v>
      </c>
      <c r="M159" s="96" t="s">
        <v>299</v>
      </c>
      <c r="N159" s="96">
        <v>100</v>
      </c>
      <c r="O159" s="111" t="s">
        <v>379</v>
      </c>
      <c r="P159" s="111" t="s">
        <v>339</v>
      </c>
      <c r="Q159" s="111"/>
      <c r="R159" s="111"/>
      <c r="S159" s="111"/>
      <c r="T159" s="111"/>
    </row>
    <row r="160" spans="1:20" ht="15" x14ac:dyDescent="0.4">
      <c r="A160" s="42" t="s">
        <v>318</v>
      </c>
      <c r="B160" s="48">
        <v>155</v>
      </c>
      <c r="C160" s="43" t="s">
        <v>315</v>
      </c>
      <c r="D160" s="48">
        <v>5</v>
      </c>
      <c r="E160" s="56" t="s">
        <v>399</v>
      </c>
      <c r="F160" s="42">
        <v>4</v>
      </c>
      <c r="G160" s="93" t="s">
        <v>572</v>
      </c>
      <c r="H160" s="94" t="s">
        <v>300</v>
      </c>
      <c r="I160" s="98"/>
      <c r="J160" s="95">
        <v>10</v>
      </c>
      <c r="K160" s="96">
        <v>0</v>
      </c>
      <c r="L160" s="96">
        <v>100</v>
      </c>
      <c r="M160" s="96" t="s">
        <v>299</v>
      </c>
      <c r="N160" s="96">
        <v>100</v>
      </c>
      <c r="O160" s="111" t="s">
        <v>379</v>
      </c>
      <c r="P160" s="111" t="s">
        <v>339</v>
      </c>
      <c r="Q160" s="111"/>
      <c r="R160" s="111"/>
      <c r="S160" s="111"/>
      <c r="T160" s="111"/>
    </row>
    <row r="161" spans="1:20" s="79" customFormat="1" x14ac:dyDescent="0.4">
      <c r="A161" s="75" t="s">
        <v>318</v>
      </c>
      <c r="B161" s="76">
        <v>156</v>
      </c>
      <c r="C161" s="77" t="s">
        <v>315</v>
      </c>
      <c r="D161" s="76">
        <v>6</v>
      </c>
      <c r="E161" s="80" t="s">
        <v>399</v>
      </c>
      <c r="F161" s="75">
        <v>5</v>
      </c>
      <c r="G161" s="87" t="s">
        <v>573</v>
      </c>
      <c r="H161" s="88" t="s">
        <v>301</v>
      </c>
      <c r="I161" s="89" t="s">
        <v>432</v>
      </c>
      <c r="J161" s="90">
        <v>1.5</v>
      </c>
      <c r="K161" s="91" t="s">
        <v>43</v>
      </c>
      <c r="L161" s="91" t="s">
        <v>43</v>
      </c>
      <c r="M161" s="91" t="s">
        <v>43</v>
      </c>
      <c r="N161" s="91">
        <v>100</v>
      </c>
      <c r="O161" s="113" t="s">
        <v>379</v>
      </c>
      <c r="P161" s="113" t="s">
        <v>339</v>
      </c>
      <c r="Q161" s="113"/>
      <c r="R161" s="113"/>
      <c r="S161" s="113"/>
      <c r="T161" s="113"/>
    </row>
    <row r="162" spans="1:20" s="79" customFormat="1" x14ac:dyDescent="0.4">
      <c r="A162" s="75" t="s">
        <v>318</v>
      </c>
      <c r="B162" s="76">
        <v>157</v>
      </c>
      <c r="C162" s="77" t="s">
        <v>315</v>
      </c>
      <c r="D162" s="76">
        <v>7</v>
      </c>
      <c r="E162" s="80" t="s">
        <v>399</v>
      </c>
      <c r="F162" s="75">
        <v>6</v>
      </c>
      <c r="G162" s="87" t="s">
        <v>574</v>
      </c>
      <c r="H162" s="88" t="s">
        <v>303</v>
      </c>
      <c r="I162" s="89" t="s">
        <v>432</v>
      </c>
      <c r="J162" s="90">
        <v>3</v>
      </c>
      <c r="K162" s="91">
        <v>0</v>
      </c>
      <c r="L162" s="91">
        <v>100</v>
      </c>
      <c r="M162" s="91" t="s">
        <v>299</v>
      </c>
      <c r="N162" s="91">
        <v>100</v>
      </c>
      <c r="O162" s="113" t="s">
        <v>379</v>
      </c>
      <c r="P162" s="113" t="s">
        <v>339</v>
      </c>
      <c r="Q162" s="113"/>
      <c r="R162" s="113"/>
      <c r="S162" s="113"/>
      <c r="T162" s="113"/>
    </row>
    <row r="163" spans="1:20" ht="15" x14ac:dyDescent="0.4">
      <c r="A163" s="42" t="s">
        <v>318</v>
      </c>
      <c r="B163" s="48">
        <v>158</v>
      </c>
      <c r="C163" s="43" t="s">
        <v>315</v>
      </c>
      <c r="D163" s="48">
        <v>8</v>
      </c>
      <c r="E163" s="56" t="s">
        <v>399</v>
      </c>
      <c r="F163" s="42">
        <v>7</v>
      </c>
      <c r="G163" s="93" t="s">
        <v>575</v>
      </c>
      <c r="H163" s="94" t="s">
        <v>304</v>
      </c>
      <c r="I163" s="98" t="s">
        <v>302</v>
      </c>
      <c r="J163" s="95">
        <v>1.5</v>
      </c>
      <c r="K163" s="96">
        <v>0</v>
      </c>
      <c r="L163" s="96">
        <v>100</v>
      </c>
      <c r="M163" s="96" t="s">
        <v>299</v>
      </c>
      <c r="N163" s="96">
        <v>100</v>
      </c>
      <c r="O163" s="111" t="s">
        <v>379</v>
      </c>
      <c r="P163" s="111" t="s">
        <v>339</v>
      </c>
      <c r="Q163" s="111"/>
      <c r="R163" s="111"/>
      <c r="S163" s="111"/>
      <c r="T163" s="111"/>
    </row>
    <row r="164" spans="1:20" ht="15" x14ac:dyDescent="0.4">
      <c r="A164" s="42" t="s">
        <v>318</v>
      </c>
      <c r="B164" s="48">
        <v>159</v>
      </c>
      <c r="C164" s="43" t="s">
        <v>315</v>
      </c>
      <c r="D164" s="48">
        <v>9</v>
      </c>
      <c r="E164" s="56" t="s">
        <v>399</v>
      </c>
      <c r="F164" s="42">
        <v>8</v>
      </c>
      <c r="G164" s="93" t="s">
        <v>576</v>
      </c>
      <c r="H164" s="94" t="s">
        <v>305</v>
      </c>
      <c r="I164" s="98" t="s">
        <v>306</v>
      </c>
      <c r="J164" s="95">
        <v>50</v>
      </c>
      <c r="K164" s="96">
        <v>0</v>
      </c>
      <c r="L164" s="96">
        <v>100</v>
      </c>
      <c r="M164" s="96" t="s">
        <v>10</v>
      </c>
      <c r="N164" s="96">
        <v>100</v>
      </c>
      <c r="O164" s="111" t="s">
        <v>379</v>
      </c>
      <c r="P164" s="111" t="s">
        <v>339</v>
      </c>
      <c r="Q164" s="111"/>
      <c r="R164" s="111"/>
      <c r="S164" s="111"/>
      <c r="T164" s="111"/>
    </row>
    <row r="165" spans="1:20" ht="15" x14ac:dyDescent="0.4">
      <c r="A165" s="42" t="s">
        <v>318</v>
      </c>
      <c r="B165" s="48">
        <v>160</v>
      </c>
      <c r="C165" s="43" t="s">
        <v>315</v>
      </c>
      <c r="D165" s="48">
        <v>10</v>
      </c>
      <c r="E165" s="56" t="s">
        <v>399</v>
      </c>
      <c r="F165" s="42">
        <v>9</v>
      </c>
      <c r="G165" s="93" t="s">
        <v>577</v>
      </c>
      <c r="H165" s="94" t="s">
        <v>307</v>
      </c>
      <c r="I165" s="98" t="s">
        <v>306</v>
      </c>
      <c r="J165" s="95">
        <v>0</v>
      </c>
      <c r="K165" s="96">
        <v>0</v>
      </c>
      <c r="L165" s="96">
        <v>100</v>
      </c>
      <c r="M165" s="96" t="s">
        <v>10</v>
      </c>
      <c r="N165" s="96">
        <v>100</v>
      </c>
      <c r="O165" s="111" t="s">
        <v>379</v>
      </c>
      <c r="P165" s="111" t="s">
        <v>339</v>
      </c>
      <c r="Q165" s="111"/>
      <c r="R165" s="111"/>
      <c r="S165" s="111"/>
      <c r="T165" s="111"/>
    </row>
    <row r="166" spans="1:20" ht="15" x14ac:dyDescent="0.4">
      <c r="A166" s="42" t="s">
        <v>318</v>
      </c>
      <c r="B166" s="48">
        <v>161</v>
      </c>
      <c r="C166" s="43" t="s">
        <v>315</v>
      </c>
      <c r="D166" s="48">
        <v>11</v>
      </c>
      <c r="E166" s="56" t="s">
        <v>400</v>
      </c>
      <c r="F166" s="42">
        <v>0</v>
      </c>
      <c r="G166" s="93" t="s">
        <v>578</v>
      </c>
      <c r="H166" s="94" t="s">
        <v>30</v>
      </c>
      <c r="I166" s="98"/>
      <c r="J166" s="95">
        <v>60</v>
      </c>
      <c r="K166" s="96">
        <v>0</v>
      </c>
      <c r="L166" s="96">
        <v>3600</v>
      </c>
      <c r="M166" s="96" t="s">
        <v>31</v>
      </c>
      <c r="N166" s="96">
        <v>10</v>
      </c>
      <c r="O166" s="111" t="s">
        <v>379</v>
      </c>
      <c r="P166" s="111" t="s">
        <v>339</v>
      </c>
      <c r="Q166" s="111"/>
      <c r="R166" s="111"/>
      <c r="S166" s="111"/>
      <c r="T166" s="111"/>
    </row>
    <row r="167" spans="1:20" ht="15" x14ac:dyDescent="0.4">
      <c r="A167" s="42" t="s">
        <v>318</v>
      </c>
      <c r="B167" s="48">
        <v>162</v>
      </c>
      <c r="C167" s="43" t="s">
        <v>315</v>
      </c>
      <c r="D167" s="48">
        <v>12</v>
      </c>
      <c r="E167" s="56" t="s">
        <v>400</v>
      </c>
      <c r="F167" s="42">
        <v>1</v>
      </c>
      <c r="G167" s="93" t="s">
        <v>268</v>
      </c>
      <c r="H167" s="94" t="s">
        <v>32</v>
      </c>
      <c r="I167" s="98"/>
      <c r="J167" s="95">
        <v>600</v>
      </c>
      <c r="K167" s="96">
        <v>0</v>
      </c>
      <c r="L167" s="96">
        <v>3600</v>
      </c>
      <c r="M167" s="96" t="s">
        <v>21</v>
      </c>
      <c r="N167" s="96">
        <v>10</v>
      </c>
      <c r="O167" s="111" t="s">
        <v>379</v>
      </c>
      <c r="P167" s="111" t="s">
        <v>339</v>
      </c>
      <c r="Q167" s="111"/>
      <c r="R167" s="111"/>
      <c r="S167" s="111"/>
      <c r="T167" s="111"/>
    </row>
    <row r="168" spans="1:20" ht="15" x14ac:dyDescent="0.4">
      <c r="A168" s="42" t="s">
        <v>318</v>
      </c>
      <c r="B168" s="48">
        <v>163</v>
      </c>
      <c r="C168" s="43" t="s">
        <v>315</v>
      </c>
      <c r="D168" s="48">
        <v>13</v>
      </c>
      <c r="E168" s="56"/>
      <c r="F168" s="42"/>
      <c r="G168" s="93"/>
      <c r="H168" s="94"/>
      <c r="I168" s="98"/>
      <c r="J168" s="95">
        <v>0</v>
      </c>
      <c r="K168" s="96">
        <v>0</v>
      </c>
      <c r="L168" s="96">
        <v>1</v>
      </c>
      <c r="M168" s="96" t="s">
        <v>43</v>
      </c>
      <c r="N168" s="96">
        <v>1</v>
      </c>
      <c r="O168" s="111" t="s">
        <v>6</v>
      </c>
      <c r="P168" s="111" t="s">
        <v>339</v>
      </c>
      <c r="Q168" s="111"/>
      <c r="R168" s="111"/>
      <c r="S168" s="111"/>
      <c r="T168" s="111"/>
    </row>
    <row r="169" spans="1:20" ht="15" x14ac:dyDescent="0.4">
      <c r="A169" s="42" t="s">
        <v>318</v>
      </c>
      <c r="B169" s="48">
        <v>164</v>
      </c>
      <c r="C169" s="43" t="s">
        <v>315</v>
      </c>
      <c r="D169" s="48">
        <v>14</v>
      </c>
      <c r="E169" s="56"/>
      <c r="F169" s="42"/>
      <c r="G169" s="93"/>
      <c r="H169" s="94"/>
      <c r="I169" s="98"/>
      <c r="J169" s="95">
        <v>0</v>
      </c>
      <c r="K169" s="96">
        <v>0</v>
      </c>
      <c r="L169" s="96">
        <v>1</v>
      </c>
      <c r="M169" s="96" t="s">
        <v>43</v>
      </c>
      <c r="N169" s="96">
        <v>1</v>
      </c>
      <c r="O169" s="111" t="s">
        <v>6</v>
      </c>
      <c r="P169" s="111" t="s">
        <v>339</v>
      </c>
      <c r="Q169" s="111"/>
      <c r="R169" s="111"/>
      <c r="S169" s="111"/>
      <c r="T169" s="111"/>
    </row>
    <row r="170" spans="1:20" ht="15" x14ac:dyDescent="0.4">
      <c r="A170" s="42" t="s">
        <v>318</v>
      </c>
      <c r="B170" s="48">
        <v>165</v>
      </c>
      <c r="C170" s="43" t="s">
        <v>315</v>
      </c>
      <c r="D170" s="48">
        <v>15</v>
      </c>
      <c r="E170" s="56"/>
      <c r="F170" s="42"/>
      <c r="G170" s="93"/>
      <c r="H170" s="94"/>
      <c r="I170" s="98"/>
      <c r="J170" s="95">
        <v>0</v>
      </c>
      <c r="K170" s="96">
        <v>0</v>
      </c>
      <c r="L170" s="96">
        <v>1</v>
      </c>
      <c r="M170" s="96" t="s">
        <v>43</v>
      </c>
      <c r="N170" s="96">
        <v>1</v>
      </c>
      <c r="O170" s="111" t="s">
        <v>6</v>
      </c>
      <c r="P170" s="111" t="s">
        <v>339</v>
      </c>
      <c r="Q170" s="111"/>
      <c r="R170" s="111"/>
      <c r="S170" s="111"/>
      <c r="T170" s="111"/>
    </row>
    <row r="171" spans="1:20" ht="15" x14ac:dyDescent="0.4">
      <c r="A171" s="42" t="s">
        <v>318</v>
      </c>
      <c r="B171" s="48">
        <v>166</v>
      </c>
      <c r="C171" s="43" t="s">
        <v>315</v>
      </c>
      <c r="D171" s="48">
        <v>16</v>
      </c>
      <c r="E171" s="56"/>
      <c r="F171" s="42"/>
      <c r="G171" s="93"/>
      <c r="H171" s="94"/>
      <c r="I171" s="98"/>
      <c r="J171" s="95">
        <v>0</v>
      </c>
      <c r="K171" s="96">
        <v>0</v>
      </c>
      <c r="L171" s="96">
        <v>1</v>
      </c>
      <c r="M171" s="96" t="s">
        <v>43</v>
      </c>
      <c r="N171" s="96">
        <v>1</v>
      </c>
      <c r="O171" s="111" t="s">
        <v>6</v>
      </c>
      <c r="P171" s="111" t="s">
        <v>339</v>
      </c>
      <c r="Q171" s="111"/>
      <c r="R171" s="111"/>
      <c r="S171" s="111"/>
      <c r="T171" s="111"/>
    </row>
    <row r="172" spans="1:20" ht="15" x14ac:dyDescent="0.4">
      <c r="A172" s="42" t="s">
        <v>318</v>
      </c>
      <c r="B172" s="48">
        <v>167</v>
      </c>
      <c r="C172" s="43" t="s">
        <v>315</v>
      </c>
      <c r="D172" s="48">
        <v>17</v>
      </c>
      <c r="E172" s="56"/>
      <c r="F172" s="42"/>
      <c r="G172" s="93"/>
      <c r="H172" s="94"/>
      <c r="I172" s="98"/>
      <c r="J172" s="95">
        <v>0</v>
      </c>
      <c r="K172" s="96">
        <v>0</v>
      </c>
      <c r="L172" s="96">
        <v>1</v>
      </c>
      <c r="M172" s="96" t="s">
        <v>43</v>
      </c>
      <c r="N172" s="96">
        <v>1</v>
      </c>
      <c r="O172" s="111" t="s">
        <v>6</v>
      </c>
      <c r="P172" s="111" t="s">
        <v>339</v>
      </c>
      <c r="Q172" s="111"/>
      <c r="R172" s="111"/>
      <c r="S172" s="111"/>
      <c r="T172" s="111"/>
    </row>
    <row r="173" spans="1:20" ht="15" x14ac:dyDescent="0.4">
      <c r="A173" s="42" t="s">
        <v>318</v>
      </c>
      <c r="B173" s="48">
        <v>168</v>
      </c>
      <c r="C173" s="43" t="s">
        <v>315</v>
      </c>
      <c r="D173" s="48">
        <v>18</v>
      </c>
      <c r="E173" s="56"/>
      <c r="F173" s="42"/>
      <c r="G173" s="93"/>
      <c r="H173" s="94"/>
      <c r="I173" s="98"/>
      <c r="J173" s="95">
        <v>0</v>
      </c>
      <c r="K173" s="96">
        <v>0</v>
      </c>
      <c r="L173" s="96">
        <v>1</v>
      </c>
      <c r="M173" s="96" t="s">
        <v>43</v>
      </c>
      <c r="N173" s="96">
        <v>1</v>
      </c>
      <c r="O173" s="111" t="s">
        <v>6</v>
      </c>
      <c r="P173" s="111" t="s">
        <v>339</v>
      </c>
      <c r="Q173" s="111"/>
      <c r="R173" s="111"/>
      <c r="S173" s="111"/>
      <c r="T173" s="111"/>
    </row>
    <row r="174" spans="1:20" ht="15" x14ac:dyDescent="0.4">
      <c r="A174" s="42" t="s">
        <v>318</v>
      </c>
      <c r="B174" s="48">
        <v>169</v>
      </c>
      <c r="C174" s="43" t="s">
        <v>315</v>
      </c>
      <c r="D174" s="48">
        <v>19</v>
      </c>
      <c r="E174" s="56"/>
      <c r="F174" s="42"/>
      <c r="G174" s="93"/>
      <c r="H174" s="94"/>
      <c r="I174" s="98"/>
      <c r="J174" s="95">
        <v>0</v>
      </c>
      <c r="K174" s="96">
        <v>0</v>
      </c>
      <c r="L174" s="96">
        <v>1</v>
      </c>
      <c r="M174" s="96" t="s">
        <v>43</v>
      </c>
      <c r="N174" s="96">
        <v>1</v>
      </c>
      <c r="O174" s="111" t="s">
        <v>6</v>
      </c>
      <c r="P174" s="111" t="s">
        <v>339</v>
      </c>
      <c r="Q174" s="111"/>
      <c r="R174" s="111"/>
      <c r="S174" s="111"/>
      <c r="T174" s="111"/>
    </row>
    <row r="175" spans="1:20" ht="15" x14ac:dyDescent="0.4">
      <c r="A175" s="42" t="s">
        <v>318</v>
      </c>
      <c r="B175" s="48">
        <v>170</v>
      </c>
      <c r="C175" s="43" t="s">
        <v>315</v>
      </c>
      <c r="D175" s="48">
        <v>20</v>
      </c>
      <c r="E175" s="56"/>
      <c r="F175" s="42"/>
      <c r="G175" s="93"/>
      <c r="H175" s="94"/>
      <c r="I175" s="98"/>
      <c r="J175" s="95">
        <v>0</v>
      </c>
      <c r="K175" s="96">
        <v>0</v>
      </c>
      <c r="L175" s="96">
        <v>1</v>
      </c>
      <c r="M175" s="96" t="s">
        <v>43</v>
      </c>
      <c r="N175" s="96">
        <v>1</v>
      </c>
      <c r="O175" s="111" t="s">
        <v>6</v>
      </c>
      <c r="P175" s="111" t="s">
        <v>339</v>
      </c>
      <c r="Q175" s="111"/>
      <c r="R175" s="111"/>
      <c r="S175" s="111"/>
      <c r="T175" s="111"/>
    </row>
    <row r="176" spans="1:20" ht="15" x14ac:dyDescent="0.4">
      <c r="A176" s="42" t="s">
        <v>318</v>
      </c>
      <c r="B176" s="48">
        <v>171</v>
      </c>
      <c r="C176" s="43" t="s">
        <v>315</v>
      </c>
      <c r="D176" s="48">
        <v>21</v>
      </c>
      <c r="E176" s="56"/>
      <c r="F176" s="42"/>
      <c r="G176" s="93"/>
      <c r="H176" s="94"/>
      <c r="I176" s="98"/>
      <c r="J176" s="95">
        <v>0</v>
      </c>
      <c r="K176" s="96">
        <v>0</v>
      </c>
      <c r="L176" s="96">
        <v>1</v>
      </c>
      <c r="M176" s="96" t="s">
        <v>43</v>
      </c>
      <c r="N176" s="96">
        <v>1</v>
      </c>
      <c r="O176" s="111" t="s">
        <v>6</v>
      </c>
      <c r="P176" s="111" t="s">
        <v>339</v>
      </c>
      <c r="Q176" s="111"/>
      <c r="R176" s="111"/>
      <c r="S176" s="111"/>
      <c r="T176" s="111"/>
    </row>
    <row r="177" spans="1:20" ht="15" x14ac:dyDescent="0.4">
      <c r="A177" s="42" t="s">
        <v>318</v>
      </c>
      <c r="B177" s="48">
        <v>172</v>
      </c>
      <c r="C177" s="43" t="s">
        <v>315</v>
      </c>
      <c r="D177" s="48">
        <v>22</v>
      </c>
      <c r="E177" s="56"/>
      <c r="F177" s="42"/>
      <c r="G177" s="93"/>
      <c r="H177" s="94"/>
      <c r="I177" s="98"/>
      <c r="J177" s="95">
        <v>0</v>
      </c>
      <c r="K177" s="96">
        <v>0</v>
      </c>
      <c r="L177" s="96">
        <v>1</v>
      </c>
      <c r="M177" s="96" t="s">
        <v>43</v>
      </c>
      <c r="N177" s="96">
        <v>1</v>
      </c>
      <c r="O177" s="111" t="s">
        <v>6</v>
      </c>
      <c r="P177" s="111" t="s">
        <v>339</v>
      </c>
      <c r="Q177" s="111"/>
      <c r="R177" s="111"/>
      <c r="S177" s="111"/>
      <c r="T177" s="111"/>
    </row>
    <row r="178" spans="1:20" ht="15" x14ac:dyDescent="0.4">
      <c r="A178" s="42" t="s">
        <v>318</v>
      </c>
      <c r="B178" s="48">
        <v>173</v>
      </c>
      <c r="C178" s="43" t="s">
        <v>315</v>
      </c>
      <c r="D178" s="48">
        <v>23</v>
      </c>
      <c r="E178" s="56"/>
      <c r="F178" s="42"/>
      <c r="G178" s="93"/>
      <c r="H178" s="94"/>
      <c r="I178" s="98"/>
      <c r="J178" s="95">
        <v>0</v>
      </c>
      <c r="K178" s="96">
        <v>0</v>
      </c>
      <c r="L178" s="96">
        <v>1</v>
      </c>
      <c r="M178" s="96" t="s">
        <v>43</v>
      </c>
      <c r="N178" s="96">
        <v>1</v>
      </c>
      <c r="O178" s="111" t="s">
        <v>6</v>
      </c>
      <c r="P178" s="111" t="s">
        <v>339</v>
      </c>
      <c r="Q178" s="111"/>
      <c r="R178" s="111"/>
      <c r="S178" s="111"/>
      <c r="T178" s="111"/>
    </row>
    <row r="179" spans="1:20" ht="15" x14ac:dyDescent="0.4">
      <c r="A179" s="42" t="s">
        <v>318</v>
      </c>
      <c r="B179" s="48">
        <v>174</v>
      </c>
      <c r="C179" s="43" t="s">
        <v>315</v>
      </c>
      <c r="D179" s="48">
        <v>24</v>
      </c>
      <c r="E179" s="56"/>
      <c r="F179" s="42"/>
      <c r="G179" s="93"/>
      <c r="H179" s="94"/>
      <c r="I179" s="98"/>
      <c r="J179" s="95">
        <v>0</v>
      </c>
      <c r="K179" s="96">
        <v>0</v>
      </c>
      <c r="L179" s="96">
        <v>1</v>
      </c>
      <c r="M179" s="96" t="s">
        <v>43</v>
      </c>
      <c r="N179" s="96">
        <v>1</v>
      </c>
      <c r="O179" s="111" t="s">
        <v>6</v>
      </c>
      <c r="P179" s="111" t="s">
        <v>339</v>
      </c>
      <c r="Q179" s="111"/>
      <c r="R179" s="111"/>
      <c r="S179" s="111"/>
      <c r="T179" s="111"/>
    </row>
    <row r="180" spans="1:20" ht="15" x14ac:dyDescent="0.4">
      <c r="A180" s="42" t="s">
        <v>318</v>
      </c>
      <c r="B180" s="48">
        <v>175</v>
      </c>
      <c r="C180" s="43" t="s">
        <v>315</v>
      </c>
      <c r="D180" s="48">
        <v>25</v>
      </c>
      <c r="E180" s="54"/>
      <c r="F180" s="42"/>
      <c r="G180" s="93"/>
      <c r="H180" s="94"/>
      <c r="I180" s="98"/>
      <c r="J180" s="95">
        <v>0</v>
      </c>
      <c r="K180" s="96">
        <v>0</v>
      </c>
      <c r="L180" s="96">
        <v>1</v>
      </c>
      <c r="M180" s="96" t="s">
        <v>43</v>
      </c>
      <c r="N180" s="96">
        <v>1</v>
      </c>
      <c r="O180" s="111" t="s">
        <v>6</v>
      </c>
      <c r="P180" s="111" t="s">
        <v>339</v>
      </c>
      <c r="Q180" s="111"/>
      <c r="R180" s="111"/>
      <c r="S180" s="111"/>
      <c r="T180" s="111"/>
    </row>
    <row r="181" spans="1:20" ht="15" x14ac:dyDescent="0.4">
      <c r="A181" s="42" t="s">
        <v>318</v>
      </c>
      <c r="B181" s="48">
        <v>176</v>
      </c>
      <c r="C181" s="43" t="s">
        <v>315</v>
      </c>
      <c r="D181" s="48">
        <v>26</v>
      </c>
      <c r="E181" s="56"/>
      <c r="F181" s="42"/>
      <c r="G181" s="93"/>
      <c r="H181" s="94"/>
      <c r="I181" s="98"/>
      <c r="J181" s="95">
        <v>0</v>
      </c>
      <c r="K181" s="96">
        <v>0</v>
      </c>
      <c r="L181" s="96">
        <v>1</v>
      </c>
      <c r="M181" s="96" t="s">
        <v>43</v>
      </c>
      <c r="N181" s="96">
        <v>1</v>
      </c>
      <c r="O181" s="111" t="s">
        <v>6</v>
      </c>
      <c r="P181" s="111" t="s">
        <v>339</v>
      </c>
      <c r="Q181" s="111"/>
      <c r="R181" s="111"/>
      <c r="S181" s="111"/>
      <c r="T181" s="111"/>
    </row>
    <row r="182" spans="1:20" ht="15" x14ac:dyDescent="0.4">
      <c r="A182" s="42" t="s">
        <v>318</v>
      </c>
      <c r="B182" s="48">
        <v>177</v>
      </c>
      <c r="C182" s="43" t="s">
        <v>315</v>
      </c>
      <c r="D182" s="48">
        <v>27</v>
      </c>
      <c r="E182" s="56"/>
      <c r="F182" s="42"/>
      <c r="G182" s="93"/>
      <c r="H182" s="94"/>
      <c r="I182" s="98"/>
      <c r="J182" s="95">
        <v>0</v>
      </c>
      <c r="K182" s="96">
        <v>0</v>
      </c>
      <c r="L182" s="96">
        <v>1</v>
      </c>
      <c r="M182" s="96" t="s">
        <v>43</v>
      </c>
      <c r="N182" s="96">
        <v>1</v>
      </c>
      <c r="O182" s="111" t="s">
        <v>6</v>
      </c>
      <c r="P182" s="111" t="s">
        <v>339</v>
      </c>
      <c r="Q182" s="111"/>
      <c r="R182" s="111"/>
      <c r="S182" s="111"/>
      <c r="T182" s="111"/>
    </row>
    <row r="183" spans="1:20" ht="15" x14ac:dyDescent="0.4">
      <c r="A183" s="42" t="s">
        <v>318</v>
      </c>
      <c r="B183" s="48">
        <v>178</v>
      </c>
      <c r="C183" s="43" t="s">
        <v>315</v>
      </c>
      <c r="D183" s="48">
        <v>28</v>
      </c>
      <c r="E183" s="56"/>
      <c r="F183" s="42"/>
      <c r="G183" s="93"/>
      <c r="H183" s="94"/>
      <c r="I183" s="98"/>
      <c r="J183" s="95">
        <v>0</v>
      </c>
      <c r="K183" s="96">
        <v>0</v>
      </c>
      <c r="L183" s="96">
        <v>1</v>
      </c>
      <c r="M183" s="96" t="s">
        <v>43</v>
      </c>
      <c r="N183" s="96">
        <v>1</v>
      </c>
      <c r="O183" s="111" t="s">
        <v>6</v>
      </c>
      <c r="P183" s="111" t="s">
        <v>339</v>
      </c>
      <c r="Q183" s="111"/>
      <c r="R183" s="111"/>
      <c r="S183" s="111"/>
      <c r="T183" s="111"/>
    </row>
    <row r="184" spans="1:20" ht="15" x14ac:dyDescent="0.4">
      <c r="A184" s="42" t="s">
        <v>318</v>
      </c>
      <c r="B184" s="48">
        <v>179</v>
      </c>
      <c r="C184" s="43" t="s">
        <v>315</v>
      </c>
      <c r="D184" s="48">
        <v>29</v>
      </c>
      <c r="E184" s="56"/>
      <c r="F184" s="42"/>
      <c r="G184" s="93"/>
      <c r="H184" s="94"/>
      <c r="I184" s="98"/>
      <c r="J184" s="95">
        <v>0</v>
      </c>
      <c r="K184" s="96">
        <v>0</v>
      </c>
      <c r="L184" s="96">
        <v>1</v>
      </c>
      <c r="M184" s="96" t="s">
        <v>43</v>
      </c>
      <c r="N184" s="96">
        <v>1</v>
      </c>
      <c r="O184" s="111" t="s">
        <v>6</v>
      </c>
      <c r="P184" s="111" t="s">
        <v>339</v>
      </c>
      <c r="Q184" s="111"/>
      <c r="R184" s="111"/>
      <c r="S184" s="111"/>
      <c r="T184" s="111"/>
    </row>
    <row r="185" spans="1:20" ht="15" x14ac:dyDescent="0.4">
      <c r="A185" s="42" t="s">
        <v>318</v>
      </c>
      <c r="B185" s="48">
        <v>180</v>
      </c>
      <c r="C185" s="43" t="s">
        <v>315</v>
      </c>
      <c r="D185" s="48">
        <v>30</v>
      </c>
      <c r="E185" s="54"/>
      <c r="F185" s="42"/>
      <c r="G185" s="93"/>
      <c r="H185" s="94"/>
      <c r="I185" s="98"/>
      <c r="J185" s="95">
        <v>0</v>
      </c>
      <c r="K185" s="96">
        <v>0</v>
      </c>
      <c r="L185" s="96">
        <v>1</v>
      </c>
      <c r="M185" s="96" t="s">
        <v>43</v>
      </c>
      <c r="N185" s="96">
        <v>1</v>
      </c>
      <c r="O185" s="111" t="s">
        <v>6</v>
      </c>
      <c r="P185" s="111" t="s">
        <v>339</v>
      </c>
      <c r="Q185" s="111"/>
      <c r="R185" s="111"/>
      <c r="S185" s="111"/>
      <c r="T185" s="111"/>
    </row>
    <row r="186" spans="1:20" ht="15" x14ac:dyDescent="0.4">
      <c r="A186" s="42" t="s">
        <v>318</v>
      </c>
      <c r="B186" s="48">
        <v>181</v>
      </c>
      <c r="C186" s="43" t="s">
        <v>315</v>
      </c>
      <c r="D186" s="48">
        <v>31</v>
      </c>
      <c r="E186" s="54"/>
      <c r="F186" s="42"/>
      <c r="G186" s="93"/>
      <c r="H186" s="94"/>
      <c r="I186" s="98"/>
      <c r="J186" s="95">
        <v>0</v>
      </c>
      <c r="K186" s="96">
        <v>0</v>
      </c>
      <c r="L186" s="96">
        <v>1</v>
      </c>
      <c r="M186" s="96" t="s">
        <v>43</v>
      </c>
      <c r="N186" s="96">
        <v>1</v>
      </c>
      <c r="O186" s="111" t="s">
        <v>6</v>
      </c>
      <c r="P186" s="111" t="s">
        <v>339</v>
      </c>
      <c r="Q186" s="111"/>
      <c r="R186" s="111"/>
      <c r="S186" s="111"/>
      <c r="T186" s="111"/>
    </row>
    <row r="187" spans="1:20" ht="15" x14ac:dyDescent="0.4">
      <c r="A187" s="42" t="s">
        <v>318</v>
      </c>
      <c r="B187" s="48">
        <v>182</v>
      </c>
      <c r="C187" s="43" t="s">
        <v>315</v>
      </c>
      <c r="D187" s="48">
        <v>32</v>
      </c>
      <c r="E187" s="54"/>
      <c r="F187" s="42"/>
      <c r="G187" s="93"/>
      <c r="H187" s="94"/>
      <c r="I187" s="98"/>
      <c r="J187" s="95">
        <v>0</v>
      </c>
      <c r="K187" s="96">
        <v>0</v>
      </c>
      <c r="L187" s="96">
        <v>1</v>
      </c>
      <c r="M187" s="96" t="s">
        <v>43</v>
      </c>
      <c r="N187" s="96">
        <v>1</v>
      </c>
      <c r="O187" s="111" t="s">
        <v>6</v>
      </c>
      <c r="P187" s="111" t="s">
        <v>339</v>
      </c>
      <c r="Q187" s="111"/>
      <c r="R187" s="111"/>
      <c r="S187" s="111"/>
      <c r="T187" s="111"/>
    </row>
    <row r="188" spans="1:20" ht="15" x14ac:dyDescent="0.4">
      <c r="A188" s="42" t="s">
        <v>318</v>
      </c>
      <c r="B188" s="48">
        <v>183</v>
      </c>
      <c r="C188" s="43" t="s">
        <v>315</v>
      </c>
      <c r="D188" s="48">
        <v>33</v>
      </c>
      <c r="E188" s="54"/>
      <c r="F188" s="42"/>
      <c r="G188" s="93"/>
      <c r="H188" s="94"/>
      <c r="I188" s="98"/>
      <c r="J188" s="95">
        <v>0</v>
      </c>
      <c r="K188" s="96">
        <v>0</v>
      </c>
      <c r="L188" s="96">
        <v>1</v>
      </c>
      <c r="M188" s="96" t="s">
        <v>43</v>
      </c>
      <c r="N188" s="96">
        <v>1</v>
      </c>
      <c r="O188" s="111" t="s">
        <v>6</v>
      </c>
      <c r="P188" s="111" t="s">
        <v>339</v>
      </c>
      <c r="Q188" s="111"/>
      <c r="R188" s="111"/>
      <c r="S188" s="111"/>
      <c r="T188" s="111"/>
    </row>
    <row r="189" spans="1:20" ht="15" x14ac:dyDescent="0.4">
      <c r="A189" s="42" t="s">
        <v>318</v>
      </c>
      <c r="B189" s="48">
        <v>184</v>
      </c>
      <c r="C189" s="43" t="s">
        <v>315</v>
      </c>
      <c r="D189" s="48">
        <v>34</v>
      </c>
      <c r="E189" s="54"/>
      <c r="F189" s="42"/>
      <c r="G189" s="93"/>
      <c r="H189" s="94"/>
      <c r="I189" s="98"/>
      <c r="J189" s="95">
        <v>0</v>
      </c>
      <c r="K189" s="96">
        <v>0</v>
      </c>
      <c r="L189" s="96">
        <v>1</v>
      </c>
      <c r="M189" s="96" t="s">
        <v>43</v>
      </c>
      <c r="N189" s="96">
        <v>1</v>
      </c>
      <c r="O189" s="111" t="s">
        <v>6</v>
      </c>
      <c r="P189" s="111" t="s">
        <v>339</v>
      </c>
      <c r="Q189" s="111"/>
      <c r="R189" s="111"/>
      <c r="S189" s="111"/>
      <c r="T189" s="111"/>
    </row>
    <row r="190" spans="1:20" ht="15" x14ac:dyDescent="0.4">
      <c r="A190" s="42" t="s">
        <v>318</v>
      </c>
      <c r="B190" s="48">
        <v>185</v>
      </c>
      <c r="C190" s="43" t="s">
        <v>315</v>
      </c>
      <c r="D190" s="48">
        <v>35</v>
      </c>
      <c r="E190" s="54"/>
      <c r="F190" s="42"/>
      <c r="G190" s="93"/>
      <c r="H190" s="94"/>
      <c r="I190" s="98"/>
      <c r="J190" s="95">
        <v>0</v>
      </c>
      <c r="K190" s="96">
        <v>0</v>
      </c>
      <c r="L190" s="96">
        <v>1</v>
      </c>
      <c r="M190" s="96" t="s">
        <v>43</v>
      </c>
      <c r="N190" s="96">
        <v>1</v>
      </c>
      <c r="O190" s="111" t="s">
        <v>6</v>
      </c>
      <c r="P190" s="111" t="s">
        <v>339</v>
      </c>
      <c r="Q190" s="111"/>
      <c r="R190" s="111"/>
      <c r="S190" s="111"/>
      <c r="T190" s="111"/>
    </row>
    <row r="191" spans="1:20" ht="15" x14ac:dyDescent="0.4">
      <c r="A191" s="42" t="s">
        <v>318</v>
      </c>
      <c r="B191" s="48">
        <v>186</v>
      </c>
      <c r="C191" s="43" t="s">
        <v>315</v>
      </c>
      <c r="D191" s="48">
        <v>36</v>
      </c>
      <c r="E191" s="54"/>
      <c r="F191" s="42"/>
      <c r="G191" s="93"/>
      <c r="H191" s="94"/>
      <c r="I191" s="98"/>
      <c r="J191" s="95">
        <v>0</v>
      </c>
      <c r="K191" s="96">
        <v>0</v>
      </c>
      <c r="L191" s="96">
        <v>1</v>
      </c>
      <c r="M191" s="96" t="s">
        <v>43</v>
      </c>
      <c r="N191" s="96">
        <v>1</v>
      </c>
      <c r="O191" s="111" t="s">
        <v>6</v>
      </c>
      <c r="P191" s="111" t="s">
        <v>339</v>
      </c>
      <c r="Q191" s="111"/>
      <c r="R191" s="111"/>
      <c r="S191" s="111"/>
      <c r="T191" s="111"/>
    </row>
    <row r="192" spans="1:20" ht="15" x14ac:dyDescent="0.4">
      <c r="A192" s="42" t="s">
        <v>318</v>
      </c>
      <c r="B192" s="48">
        <v>187</v>
      </c>
      <c r="C192" s="43" t="s">
        <v>315</v>
      </c>
      <c r="D192" s="48">
        <v>37</v>
      </c>
      <c r="E192" s="54"/>
      <c r="F192" s="42"/>
      <c r="G192" s="93"/>
      <c r="H192" s="94"/>
      <c r="I192" s="98"/>
      <c r="J192" s="95">
        <v>0</v>
      </c>
      <c r="K192" s="96">
        <v>0</v>
      </c>
      <c r="L192" s="96">
        <v>1</v>
      </c>
      <c r="M192" s="96" t="s">
        <v>43</v>
      </c>
      <c r="N192" s="96">
        <v>1</v>
      </c>
      <c r="O192" s="111" t="s">
        <v>6</v>
      </c>
      <c r="P192" s="111" t="s">
        <v>339</v>
      </c>
      <c r="Q192" s="111"/>
      <c r="R192" s="111"/>
      <c r="S192" s="111"/>
      <c r="T192" s="111"/>
    </row>
    <row r="193" spans="1:20" ht="15" x14ac:dyDescent="0.4">
      <c r="A193" s="42" t="s">
        <v>318</v>
      </c>
      <c r="B193" s="48">
        <v>188</v>
      </c>
      <c r="C193" s="43" t="s">
        <v>315</v>
      </c>
      <c r="D193" s="48">
        <v>38</v>
      </c>
      <c r="E193" s="54"/>
      <c r="F193" s="42"/>
      <c r="G193" s="93"/>
      <c r="H193" s="94"/>
      <c r="I193" s="98"/>
      <c r="J193" s="95">
        <v>0</v>
      </c>
      <c r="K193" s="96">
        <v>0</v>
      </c>
      <c r="L193" s="96">
        <v>1</v>
      </c>
      <c r="M193" s="96" t="s">
        <v>43</v>
      </c>
      <c r="N193" s="96">
        <v>1</v>
      </c>
      <c r="O193" s="111" t="s">
        <v>6</v>
      </c>
      <c r="P193" s="111" t="s">
        <v>339</v>
      </c>
      <c r="Q193" s="111"/>
      <c r="R193" s="111"/>
      <c r="S193" s="111"/>
      <c r="T193" s="111"/>
    </row>
    <row r="194" spans="1:20" ht="15" x14ac:dyDescent="0.4">
      <c r="A194" s="42" t="s">
        <v>318</v>
      </c>
      <c r="B194" s="48">
        <v>189</v>
      </c>
      <c r="C194" s="43" t="s">
        <v>315</v>
      </c>
      <c r="D194" s="48">
        <v>39</v>
      </c>
      <c r="E194" s="54"/>
      <c r="F194" s="42"/>
      <c r="G194" s="93"/>
      <c r="H194" s="94"/>
      <c r="I194" s="98"/>
      <c r="J194" s="95">
        <v>0</v>
      </c>
      <c r="K194" s="96">
        <v>0</v>
      </c>
      <c r="L194" s="96">
        <v>1</v>
      </c>
      <c r="M194" s="96" t="s">
        <v>43</v>
      </c>
      <c r="N194" s="96">
        <v>1</v>
      </c>
      <c r="O194" s="111" t="s">
        <v>6</v>
      </c>
      <c r="P194" s="111" t="s">
        <v>339</v>
      </c>
      <c r="Q194" s="111"/>
      <c r="R194" s="111"/>
      <c r="S194" s="111"/>
      <c r="T194" s="111"/>
    </row>
    <row r="195" spans="1:20" ht="15" x14ac:dyDescent="0.4">
      <c r="A195" s="42" t="s">
        <v>318</v>
      </c>
      <c r="B195" s="48">
        <v>190</v>
      </c>
      <c r="C195" s="43" t="s">
        <v>315</v>
      </c>
      <c r="D195" s="48">
        <v>40</v>
      </c>
      <c r="E195" s="54"/>
      <c r="F195" s="42"/>
      <c r="G195" s="93"/>
      <c r="H195" s="94"/>
      <c r="I195" s="98"/>
      <c r="J195" s="95">
        <v>0</v>
      </c>
      <c r="K195" s="96">
        <v>0</v>
      </c>
      <c r="L195" s="96">
        <v>1</v>
      </c>
      <c r="M195" s="96" t="s">
        <v>43</v>
      </c>
      <c r="N195" s="96">
        <v>1</v>
      </c>
      <c r="O195" s="111" t="s">
        <v>6</v>
      </c>
      <c r="P195" s="111" t="s">
        <v>339</v>
      </c>
      <c r="Q195" s="111"/>
      <c r="R195" s="111"/>
      <c r="S195" s="111"/>
      <c r="T195" s="111"/>
    </row>
    <row r="196" spans="1:20" ht="15" x14ac:dyDescent="0.4">
      <c r="A196" s="42" t="s">
        <v>318</v>
      </c>
      <c r="B196" s="48">
        <v>191</v>
      </c>
      <c r="C196" s="43" t="s">
        <v>315</v>
      </c>
      <c r="D196" s="48">
        <v>41</v>
      </c>
      <c r="E196" s="54"/>
      <c r="F196" s="42"/>
      <c r="G196" s="93"/>
      <c r="H196" s="94"/>
      <c r="I196" s="98"/>
      <c r="J196" s="95">
        <v>0</v>
      </c>
      <c r="K196" s="96">
        <v>0</v>
      </c>
      <c r="L196" s="96">
        <v>1</v>
      </c>
      <c r="M196" s="96" t="s">
        <v>43</v>
      </c>
      <c r="N196" s="96">
        <v>1</v>
      </c>
      <c r="O196" s="111" t="s">
        <v>6</v>
      </c>
      <c r="P196" s="111" t="s">
        <v>339</v>
      </c>
      <c r="Q196" s="111"/>
      <c r="R196" s="111"/>
      <c r="S196" s="111"/>
      <c r="T196" s="111"/>
    </row>
    <row r="197" spans="1:20" ht="15" x14ac:dyDescent="0.4">
      <c r="A197" s="42" t="s">
        <v>318</v>
      </c>
      <c r="B197" s="48">
        <v>192</v>
      </c>
      <c r="C197" s="43" t="s">
        <v>315</v>
      </c>
      <c r="D197" s="48">
        <v>42</v>
      </c>
      <c r="E197" s="54"/>
      <c r="F197" s="42"/>
      <c r="G197" s="93"/>
      <c r="H197" s="94"/>
      <c r="I197" s="98"/>
      <c r="J197" s="95">
        <v>0</v>
      </c>
      <c r="K197" s="96">
        <v>0</v>
      </c>
      <c r="L197" s="96">
        <v>1</v>
      </c>
      <c r="M197" s="96" t="s">
        <v>43</v>
      </c>
      <c r="N197" s="96">
        <v>1</v>
      </c>
      <c r="O197" s="111" t="s">
        <v>6</v>
      </c>
      <c r="P197" s="111" t="s">
        <v>339</v>
      </c>
      <c r="Q197" s="111"/>
      <c r="R197" s="111"/>
      <c r="S197" s="111"/>
      <c r="T197" s="111"/>
    </row>
    <row r="198" spans="1:20" ht="15" x14ac:dyDescent="0.4">
      <c r="A198" s="42" t="s">
        <v>318</v>
      </c>
      <c r="B198" s="48">
        <v>193</v>
      </c>
      <c r="C198" s="43" t="s">
        <v>315</v>
      </c>
      <c r="D198" s="48">
        <v>43</v>
      </c>
      <c r="E198" s="54"/>
      <c r="F198" s="42"/>
      <c r="G198" s="93"/>
      <c r="H198" s="94"/>
      <c r="I198" s="98"/>
      <c r="J198" s="95">
        <v>0</v>
      </c>
      <c r="K198" s="96">
        <v>0</v>
      </c>
      <c r="L198" s="96">
        <v>1</v>
      </c>
      <c r="M198" s="96" t="s">
        <v>43</v>
      </c>
      <c r="N198" s="96">
        <v>1</v>
      </c>
      <c r="O198" s="111" t="s">
        <v>6</v>
      </c>
      <c r="P198" s="111" t="s">
        <v>339</v>
      </c>
      <c r="Q198" s="111"/>
      <c r="R198" s="111"/>
      <c r="S198" s="111"/>
      <c r="T198" s="111"/>
    </row>
    <row r="199" spans="1:20" ht="15" x14ac:dyDescent="0.4">
      <c r="A199" s="42" t="s">
        <v>318</v>
      </c>
      <c r="B199" s="48">
        <v>194</v>
      </c>
      <c r="C199" s="43" t="s">
        <v>315</v>
      </c>
      <c r="D199" s="48">
        <v>44</v>
      </c>
      <c r="E199" s="54"/>
      <c r="F199" s="42"/>
      <c r="G199" s="93"/>
      <c r="H199" s="94"/>
      <c r="I199" s="98"/>
      <c r="J199" s="95">
        <v>0</v>
      </c>
      <c r="K199" s="96">
        <v>0</v>
      </c>
      <c r="L199" s="96">
        <v>1</v>
      </c>
      <c r="M199" s="96" t="s">
        <v>43</v>
      </c>
      <c r="N199" s="96">
        <v>1</v>
      </c>
      <c r="O199" s="111" t="s">
        <v>6</v>
      </c>
      <c r="P199" s="111" t="s">
        <v>339</v>
      </c>
      <c r="Q199" s="111"/>
      <c r="R199" s="111"/>
      <c r="S199" s="111"/>
      <c r="T199" s="111"/>
    </row>
    <row r="200" spans="1:20" ht="15" x14ac:dyDescent="0.4">
      <c r="A200" s="42" t="s">
        <v>318</v>
      </c>
      <c r="B200" s="48">
        <v>195</v>
      </c>
      <c r="C200" s="43" t="s">
        <v>315</v>
      </c>
      <c r="D200" s="48">
        <v>45</v>
      </c>
      <c r="E200" s="54"/>
      <c r="F200" s="42"/>
      <c r="G200" s="93"/>
      <c r="H200" s="94"/>
      <c r="I200" s="98"/>
      <c r="J200" s="95">
        <v>0</v>
      </c>
      <c r="K200" s="96">
        <v>0</v>
      </c>
      <c r="L200" s="96">
        <v>1</v>
      </c>
      <c r="M200" s="96" t="s">
        <v>43</v>
      </c>
      <c r="N200" s="96">
        <v>1</v>
      </c>
      <c r="O200" s="111" t="s">
        <v>6</v>
      </c>
      <c r="P200" s="111" t="s">
        <v>339</v>
      </c>
      <c r="Q200" s="111"/>
      <c r="R200" s="111"/>
      <c r="S200" s="111"/>
      <c r="T200" s="111"/>
    </row>
    <row r="201" spans="1:20" ht="15" x14ac:dyDescent="0.4">
      <c r="A201" s="42" t="s">
        <v>318</v>
      </c>
      <c r="B201" s="48">
        <v>196</v>
      </c>
      <c r="C201" s="43" t="s">
        <v>315</v>
      </c>
      <c r="D201" s="48">
        <v>46</v>
      </c>
      <c r="E201" s="54"/>
      <c r="F201" s="42"/>
      <c r="G201" s="93"/>
      <c r="H201" s="94"/>
      <c r="I201" s="98"/>
      <c r="J201" s="95">
        <v>0</v>
      </c>
      <c r="K201" s="96">
        <v>0</v>
      </c>
      <c r="L201" s="96">
        <v>1</v>
      </c>
      <c r="M201" s="96" t="s">
        <v>43</v>
      </c>
      <c r="N201" s="96">
        <v>1</v>
      </c>
      <c r="O201" s="111" t="s">
        <v>6</v>
      </c>
      <c r="P201" s="111" t="s">
        <v>339</v>
      </c>
      <c r="Q201" s="111"/>
      <c r="R201" s="111"/>
      <c r="S201" s="111"/>
      <c r="T201" s="111"/>
    </row>
    <row r="202" spans="1:20" ht="15" x14ac:dyDescent="0.4">
      <c r="A202" s="42" t="s">
        <v>318</v>
      </c>
      <c r="B202" s="48">
        <v>197</v>
      </c>
      <c r="C202" s="43" t="s">
        <v>315</v>
      </c>
      <c r="D202" s="48">
        <v>47</v>
      </c>
      <c r="E202" s="54"/>
      <c r="F202" s="42"/>
      <c r="G202" s="93"/>
      <c r="H202" s="94"/>
      <c r="I202" s="98"/>
      <c r="J202" s="95">
        <v>0</v>
      </c>
      <c r="K202" s="96">
        <v>0</v>
      </c>
      <c r="L202" s="96">
        <v>1</v>
      </c>
      <c r="M202" s="96" t="s">
        <v>43</v>
      </c>
      <c r="N202" s="96">
        <v>1</v>
      </c>
      <c r="O202" s="111" t="s">
        <v>6</v>
      </c>
      <c r="P202" s="111" t="s">
        <v>339</v>
      </c>
      <c r="Q202" s="111"/>
      <c r="R202" s="111"/>
      <c r="S202" s="111"/>
      <c r="T202" s="111"/>
    </row>
    <row r="203" spans="1:20" ht="15" x14ac:dyDescent="0.4">
      <c r="A203" s="42" t="s">
        <v>318</v>
      </c>
      <c r="B203" s="48">
        <v>198</v>
      </c>
      <c r="C203" s="43" t="s">
        <v>315</v>
      </c>
      <c r="D203" s="48">
        <v>48</v>
      </c>
      <c r="E203" s="54"/>
      <c r="F203" s="42"/>
      <c r="G203" s="93"/>
      <c r="H203" s="94"/>
      <c r="I203" s="98"/>
      <c r="J203" s="95">
        <v>0</v>
      </c>
      <c r="K203" s="96">
        <v>0</v>
      </c>
      <c r="L203" s="96">
        <v>1</v>
      </c>
      <c r="M203" s="96" t="s">
        <v>43</v>
      </c>
      <c r="N203" s="96">
        <v>1</v>
      </c>
      <c r="O203" s="111" t="s">
        <v>6</v>
      </c>
      <c r="P203" s="111" t="s">
        <v>339</v>
      </c>
      <c r="Q203" s="111"/>
      <c r="R203" s="111"/>
      <c r="S203" s="111"/>
      <c r="T203" s="111"/>
    </row>
    <row r="204" spans="1:20" ht="15" x14ac:dyDescent="0.4">
      <c r="A204" s="42" t="s">
        <v>318</v>
      </c>
      <c r="B204" s="48">
        <v>199</v>
      </c>
      <c r="C204" s="43" t="s">
        <v>315</v>
      </c>
      <c r="D204" s="48">
        <v>49</v>
      </c>
      <c r="E204" s="54"/>
      <c r="F204" s="42"/>
      <c r="G204" s="93"/>
      <c r="H204" s="100"/>
      <c r="I204" s="101"/>
      <c r="J204" s="102">
        <v>0</v>
      </c>
      <c r="K204" s="103">
        <v>0</v>
      </c>
      <c r="L204" s="103">
        <v>1</v>
      </c>
      <c r="M204" s="103" t="s">
        <v>43</v>
      </c>
      <c r="N204" s="103">
        <v>1</v>
      </c>
      <c r="O204" s="111" t="s">
        <v>6</v>
      </c>
      <c r="P204" s="119" t="s">
        <v>339</v>
      </c>
      <c r="Q204" s="119"/>
      <c r="R204" s="119"/>
      <c r="S204" s="119"/>
      <c r="T204" s="119"/>
    </row>
  </sheetData>
  <mergeCells count="15">
    <mergeCell ref="P3:P4"/>
    <mergeCell ref="B3:B4"/>
    <mergeCell ref="F3:F4"/>
    <mergeCell ref="R3:S3"/>
    <mergeCell ref="A3:A4"/>
    <mergeCell ref="C3:C4"/>
    <mergeCell ref="E3:E4"/>
    <mergeCell ref="K3:M3"/>
    <mergeCell ref="N3:N4"/>
    <mergeCell ref="O3:O4"/>
    <mergeCell ref="D3:D4"/>
    <mergeCell ref="G3:G4"/>
    <mergeCell ref="H3:H4"/>
    <mergeCell ref="I3:I4"/>
    <mergeCell ref="J3:J4"/>
  </mergeCells>
  <phoneticPr fontId="1" type="noConversion"/>
  <conditionalFormatting sqref="G5:G204">
    <cfRule type="expression" dxfId="11" priority="3">
      <formula>FIND("D",$O5)</formula>
    </cfRule>
    <cfRule type="expression" dxfId="10" priority="4">
      <formula>FIND("C",$O5)</formula>
    </cfRule>
  </conditionalFormatting>
  <conditionalFormatting sqref="O5:O204">
    <cfRule type="expression" dxfId="9" priority="2">
      <formula>FIND("C",$O5)</formula>
    </cfRule>
    <cfRule type="expression" dxfId="8" priority="1">
      <formula>FIND("D",$O5)</formula>
    </cfRule>
  </conditionalFormatting>
  <pageMargins left="0.7" right="0.7" top="0.75" bottom="0.75" header="0.3" footer="0.3"/>
  <pageSetup paperSize="9" scale="3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BC18-C2F4-40F7-805B-599ABC515191}">
  <sheetPr>
    <tabColor rgb="FFFFC000"/>
    <pageSetUpPr fitToPage="1"/>
  </sheetPr>
  <dimension ref="A1:T204"/>
  <sheetViews>
    <sheetView zoomScale="85" zoomScaleNormal="85" workbookViewId="0">
      <selection activeCell="J106" sqref="J106"/>
    </sheetView>
  </sheetViews>
  <sheetFormatPr defaultColWidth="9" defaultRowHeight="15.6" x14ac:dyDescent="0.4"/>
  <cols>
    <col min="1" max="1" width="11.19921875" style="57" bestFit="1" customWidth="1"/>
    <col min="2" max="2" width="5.796875" style="57" customWidth="1"/>
    <col min="3" max="3" width="22.8984375" style="44" hidden="1" customWidth="1"/>
    <col min="4" max="4" width="5.796875" style="44" hidden="1" customWidth="1"/>
    <col min="5" max="5" width="24.09765625" style="44" hidden="1" customWidth="1"/>
    <col min="6" max="6" width="5.796875" style="57" hidden="1" customWidth="1"/>
    <col min="7" max="7" width="27.59765625" style="45" bestFit="1" customWidth="1"/>
    <col min="8" max="9" width="60" style="37" customWidth="1"/>
    <col min="10" max="10" width="9.09765625" style="46" customWidth="1"/>
    <col min="11" max="19" width="9.09765625" style="45" customWidth="1"/>
    <col min="20" max="20" width="20" style="45" customWidth="1"/>
    <col min="21" max="16384" width="9" style="37"/>
  </cols>
  <sheetData>
    <row r="1" spans="1:20" s="70" customFormat="1" ht="15" x14ac:dyDescent="0.4">
      <c r="A1" s="71" t="s">
        <v>380</v>
      </c>
      <c r="B1" s="71" t="s">
        <v>347</v>
      </c>
      <c r="C1" s="71" t="s">
        <v>381</v>
      </c>
      <c r="D1" s="71" t="s">
        <v>383</v>
      </c>
      <c r="E1" s="71" t="s">
        <v>382</v>
      </c>
      <c r="F1" s="71" t="s">
        <v>384</v>
      </c>
      <c r="G1" s="71" t="s">
        <v>13</v>
      </c>
      <c r="H1" s="71" t="s">
        <v>407</v>
      </c>
      <c r="I1" s="71" t="s">
        <v>408</v>
      </c>
      <c r="J1" s="72" t="s">
        <v>413</v>
      </c>
      <c r="K1" s="71" t="s">
        <v>409</v>
      </c>
      <c r="L1" s="71" t="s">
        <v>410</v>
      </c>
      <c r="M1" s="71" t="s">
        <v>411</v>
      </c>
      <c r="N1" s="71" t="s">
        <v>288</v>
      </c>
      <c r="O1" s="71" t="s">
        <v>414</v>
      </c>
      <c r="P1" s="71" t="s">
        <v>416</v>
      </c>
      <c r="Q1" s="71" t="s">
        <v>415</v>
      </c>
      <c r="R1" s="71" t="s">
        <v>334</v>
      </c>
      <c r="S1" s="71" t="s">
        <v>335</v>
      </c>
      <c r="T1" s="71"/>
    </row>
    <row r="2" spans="1:20" s="70" customFormat="1" thickBot="1" x14ac:dyDescent="0.45">
      <c r="A2" s="71" t="s">
        <v>404</v>
      </c>
      <c r="B2" s="71" t="s">
        <v>405</v>
      </c>
      <c r="C2" s="71" t="s">
        <v>404</v>
      </c>
      <c r="D2" s="71" t="s">
        <v>405</v>
      </c>
      <c r="E2" s="71" t="s">
        <v>404</v>
      </c>
      <c r="F2" s="71" t="s">
        <v>405</v>
      </c>
      <c r="G2" s="71" t="s">
        <v>406</v>
      </c>
      <c r="H2" s="71" t="s">
        <v>406</v>
      </c>
      <c r="I2" s="71" t="s">
        <v>406</v>
      </c>
      <c r="J2" s="71" t="s">
        <v>405</v>
      </c>
      <c r="K2" s="71" t="s">
        <v>405</v>
      </c>
      <c r="L2" s="71" t="s">
        <v>405</v>
      </c>
      <c r="M2" s="71" t="s">
        <v>406</v>
      </c>
      <c r="N2" s="71" t="s">
        <v>405</v>
      </c>
      <c r="O2" s="71" t="s">
        <v>406</v>
      </c>
      <c r="P2" s="71" t="s">
        <v>406</v>
      </c>
      <c r="Q2" s="71" t="s">
        <v>405</v>
      </c>
      <c r="R2" s="71" t="s">
        <v>405</v>
      </c>
      <c r="S2" s="71" t="s">
        <v>405</v>
      </c>
      <c r="T2" s="71"/>
    </row>
    <row r="3" spans="1:20" x14ac:dyDescent="0.4">
      <c r="A3" s="160" t="s">
        <v>14</v>
      </c>
      <c r="B3" s="156" t="s">
        <v>345</v>
      </c>
      <c r="C3" s="160" t="s">
        <v>343</v>
      </c>
      <c r="D3" s="156" t="s">
        <v>344</v>
      </c>
      <c r="E3" s="160" t="s">
        <v>295</v>
      </c>
      <c r="F3" s="156" t="s">
        <v>346</v>
      </c>
      <c r="G3" s="164" t="s">
        <v>13</v>
      </c>
      <c r="H3" s="164" t="s">
        <v>11</v>
      </c>
      <c r="I3" s="164" t="s">
        <v>12</v>
      </c>
      <c r="J3" s="170" t="s">
        <v>5</v>
      </c>
      <c r="K3" s="161" t="s">
        <v>2</v>
      </c>
      <c r="L3" s="162"/>
      <c r="M3" s="163"/>
      <c r="N3" s="164" t="s">
        <v>288</v>
      </c>
      <c r="O3" s="173" t="s">
        <v>348</v>
      </c>
      <c r="P3" s="160" t="s">
        <v>340</v>
      </c>
      <c r="Q3" s="49" t="s">
        <v>320</v>
      </c>
      <c r="R3" s="158" t="s">
        <v>322</v>
      </c>
      <c r="S3" s="159"/>
      <c r="T3" s="49" t="s">
        <v>292</v>
      </c>
    </row>
    <row r="4" spans="1:20" ht="18" customHeight="1" thickBot="1" x14ac:dyDescent="0.45">
      <c r="A4" s="157"/>
      <c r="B4" s="157"/>
      <c r="C4" s="157"/>
      <c r="D4" s="157"/>
      <c r="E4" s="157"/>
      <c r="F4" s="157"/>
      <c r="G4" s="165"/>
      <c r="H4" s="165"/>
      <c r="I4" s="165"/>
      <c r="J4" s="169"/>
      <c r="K4" s="73" t="s">
        <v>3</v>
      </c>
      <c r="L4" s="73" t="s">
        <v>4</v>
      </c>
      <c r="M4" s="73" t="s">
        <v>1</v>
      </c>
      <c r="N4" s="165"/>
      <c r="O4" s="167"/>
      <c r="P4" s="157"/>
      <c r="Q4" s="74" t="s">
        <v>290</v>
      </c>
      <c r="R4" s="74" t="s">
        <v>323</v>
      </c>
      <c r="S4" s="74" t="s">
        <v>290</v>
      </c>
      <c r="T4" s="74"/>
    </row>
    <row r="5" spans="1:20" ht="15" x14ac:dyDescent="0.4">
      <c r="A5" s="104" t="s">
        <v>319</v>
      </c>
      <c r="B5" s="104">
        <v>0</v>
      </c>
      <c r="C5" s="104" t="s">
        <v>422</v>
      </c>
      <c r="D5" s="81">
        <v>0</v>
      </c>
      <c r="E5" s="120" t="s">
        <v>497</v>
      </c>
      <c r="F5" s="104">
        <v>0</v>
      </c>
      <c r="G5" s="47" t="s">
        <v>47</v>
      </c>
      <c r="H5" s="82" t="s">
        <v>48</v>
      </c>
      <c r="I5" s="83"/>
      <c r="J5" s="84">
        <v>6</v>
      </c>
      <c r="K5" s="85">
        <v>0</v>
      </c>
      <c r="L5" s="85">
        <v>12</v>
      </c>
      <c r="M5" s="85" t="s">
        <v>6</v>
      </c>
      <c r="N5" s="85">
        <v>1</v>
      </c>
      <c r="O5" s="147" t="s">
        <v>379</v>
      </c>
      <c r="P5" s="104" t="s">
        <v>339</v>
      </c>
      <c r="Q5" s="104"/>
      <c r="R5" s="104"/>
      <c r="S5" s="104"/>
      <c r="T5" s="104"/>
    </row>
    <row r="6" spans="1:20" s="79" customFormat="1" x14ac:dyDescent="0.4">
      <c r="A6" s="105" t="s">
        <v>319</v>
      </c>
      <c r="B6" s="105">
        <v>1</v>
      </c>
      <c r="C6" s="105" t="s">
        <v>422</v>
      </c>
      <c r="D6" s="87">
        <v>1</v>
      </c>
      <c r="E6" s="121" t="s">
        <v>497</v>
      </c>
      <c r="F6" s="105">
        <v>1</v>
      </c>
      <c r="G6" s="87" t="s">
        <v>583</v>
      </c>
      <c r="H6" s="88" t="s">
        <v>429</v>
      </c>
      <c r="I6" s="89" t="s">
        <v>431</v>
      </c>
      <c r="J6" s="90">
        <v>1</v>
      </c>
      <c r="K6" s="91">
        <v>0</v>
      </c>
      <c r="L6" s="91">
        <v>800</v>
      </c>
      <c r="M6" s="91" t="s">
        <v>9</v>
      </c>
      <c r="N6" s="91">
        <v>10</v>
      </c>
      <c r="O6" s="113" t="s">
        <v>379</v>
      </c>
      <c r="P6" s="105" t="s">
        <v>339</v>
      </c>
      <c r="Q6" s="105"/>
      <c r="R6" s="105"/>
      <c r="S6" s="105"/>
      <c r="T6" s="105"/>
    </row>
    <row r="7" spans="1:20" ht="15" x14ac:dyDescent="0.4">
      <c r="A7" s="106" t="s">
        <v>319</v>
      </c>
      <c r="B7" s="106">
        <v>2</v>
      </c>
      <c r="C7" s="106" t="s">
        <v>422</v>
      </c>
      <c r="D7" s="93">
        <v>2</v>
      </c>
      <c r="E7" s="122" t="s">
        <v>477</v>
      </c>
      <c r="F7" s="106">
        <v>0</v>
      </c>
      <c r="G7" s="93" t="s">
        <v>421</v>
      </c>
      <c r="H7" s="94" t="s">
        <v>433</v>
      </c>
      <c r="I7" s="171" t="s">
        <v>456</v>
      </c>
      <c r="J7" s="95">
        <v>0</v>
      </c>
      <c r="K7" s="96">
        <v>0</v>
      </c>
      <c r="L7" s="96">
        <v>120</v>
      </c>
      <c r="M7" s="96" t="s">
        <v>8</v>
      </c>
      <c r="N7" s="96">
        <v>100</v>
      </c>
      <c r="O7" s="111" t="s">
        <v>379</v>
      </c>
      <c r="P7" s="106" t="s">
        <v>339</v>
      </c>
      <c r="Q7" s="106"/>
      <c r="R7" s="106"/>
      <c r="S7" s="106"/>
      <c r="T7" s="106"/>
    </row>
    <row r="8" spans="1:20" ht="15" x14ac:dyDescent="0.4">
      <c r="A8" s="106" t="s">
        <v>319</v>
      </c>
      <c r="B8" s="106">
        <v>3</v>
      </c>
      <c r="C8" s="106" t="s">
        <v>422</v>
      </c>
      <c r="D8" s="93">
        <v>3</v>
      </c>
      <c r="E8" s="122" t="s">
        <v>477</v>
      </c>
      <c r="F8" s="106">
        <v>1</v>
      </c>
      <c r="G8" s="93" t="s">
        <v>584</v>
      </c>
      <c r="H8" s="94" t="s">
        <v>434</v>
      </c>
      <c r="I8" s="171"/>
      <c r="J8" s="95">
        <v>10</v>
      </c>
      <c r="K8" s="96">
        <v>0</v>
      </c>
      <c r="L8" s="96">
        <v>120</v>
      </c>
      <c r="M8" s="96" t="s">
        <v>8</v>
      </c>
      <c r="N8" s="96">
        <v>100</v>
      </c>
      <c r="O8" s="111" t="s">
        <v>379</v>
      </c>
      <c r="P8" s="106" t="s">
        <v>339</v>
      </c>
      <c r="Q8" s="106"/>
      <c r="R8" s="106"/>
      <c r="S8" s="106"/>
      <c r="T8" s="106"/>
    </row>
    <row r="9" spans="1:20" ht="15" x14ac:dyDescent="0.4">
      <c r="A9" s="106" t="s">
        <v>319</v>
      </c>
      <c r="B9" s="106">
        <v>4</v>
      </c>
      <c r="C9" s="106" t="s">
        <v>422</v>
      </c>
      <c r="D9" s="93">
        <v>4</v>
      </c>
      <c r="E9" s="122" t="s">
        <v>477</v>
      </c>
      <c r="F9" s="106">
        <v>2</v>
      </c>
      <c r="G9" s="93" t="s">
        <v>585</v>
      </c>
      <c r="H9" s="94" t="s">
        <v>435</v>
      </c>
      <c r="I9" s="171"/>
      <c r="J9" s="95">
        <v>25</v>
      </c>
      <c r="K9" s="96">
        <v>0</v>
      </c>
      <c r="L9" s="96">
        <v>120</v>
      </c>
      <c r="M9" s="96" t="s">
        <v>8</v>
      </c>
      <c r="N9" s="96">
        <v>100</v>
      </c>
      <c r="O9" s="111" t="s">
        <v>379</v>
      </c>
      <c r="P9" s="106" t="s">
        <v>339</v>
      </c>
      <c r="Q9" s="106"/>
      <c r="R9" s="106"/>
      <c r="S9" s="106"/>
      <c r="T9" s="106"/>
    </row>
    <row r="10" spans="1:20" ht="15" x14ac:dyDescent="0.4">
      <c r="A10" s="106" t="s">
        <v>319</v>
      </c>
      <c r="B10" s="106">
        <v>5</v>
      </c>
      <c r="C10" s="106" t="s">
        <v>422</v>
      </c>
      <c r="D10" s="93">
        <v>5</v>
      </c>
      <c r="E10" s="122" t="s">
        <v>477</v>
      </c>
      <c r="F10" s="106">
        <v>3</v>
      </c>
      <c r="G10" s="93" t="s">
        <v>586</v>
      </c>
      <c r="H10" s="94" t="s">
        <v>436</v>
      </c>
      <c r="I10" s="171"/>
      <c r="J10" s="95">
        <v>50</v>
      </c>
      <c r="K10" s="96">
        <v>0</v>
      </c>
      <c r="L10" s="96">
        <v>120</v>
      </c>
      <c r="M10" s="96" t="s">
        <v>8</v>
      </c>
      <c r="N10" s="96">
        <v>100</v>
      </c>
      <c r="O10" s="111" t="s">
        <v>379</v>
      </c>
      <c r="P10" s="106" t="s">
        <v>339</v>
      </c>
      <c r="Q10" s="106"/>
      <c r="R10" s="106"/>
      <c r="S10" s="106"/>
      <c r="T10" s="106"/>
    </row>
    <row r="11" spans="1:20" ht="15" x14ac:dyDescent="0.4">
      <c r="A11" s="106" t="s">
        <v>319</v>
      </c>
      <c r="B11" s="106">
        <v>6</v>
      </c>
      <c r="C11" s="106" t="s">
        <v>422</v>
      </c>
      <c r="D11" s="93">
        <v>6</v>
      </c>
      <c r="E11" s="122" t="s">
        <v>477</v>
      </c>
      <c r="F11" s="106">
        <v>4</v>
      </c>
      <c r="G11" s="93" t="s">
        <v>587</v>
      </c>
      <c r="H11" s="94" t="s">
        <v>437</v>
      </c>
      <c r="I11" s="171"/>
      <c r="J11" s="95">
        <v>75</v>
      </c>
      <c r="K11" s="96">
        <v>0</v>
      </c>
      <c r="L11" s="96">
        <v>120</v>
      </c>
      <c r="M11" s="96" t="s">
        <v>8</v>
      </c>
      <c r="N11" s="96">
        <v>100</v>
      </c>
      <c r="O11" s="111" t="s">
        <v>379</v>
      </c>
      <c r="P11" s="106" t="s">
        <v>339</v>
      </c>
      <c r="Q11" s="106"/>
      <c r="R11" s="106"/>
      <c r="S11" s="106"/>
      <c r="T11" s="106"/>
    </row>
    <row r="12" spans="1:20" ht="15" x14ac:dyDescent="0.4">
      <c r="A12" s="106" t="s">
        <v>319</v>
      </c>
      <c r="B12" s="106">
        <v>7</v>
      </c>
      <c r="C12" s="106" t="s">
        <v>422</v>
      </c>
      <c r="D12" s="93">
        <v>7</v>
      </c>
      <c r="E12" s="122" t="s">
        <v>477</v>
      </c>
      <c r="F12" s="106">
        <v>5</v>
      </c>
      <c r="G12" s="93" t="s">
        <v>588</v>
      </c>
      <c r="H12" s="94" t="s">
        <v>438</v>
      </c>
      <c r="I12" s="171"/>
      <c r="J12" s="95">
        <v>100</v>
      </c>
      <c r="K12" s="96">
        <v>0</v>
      </c>
      <c r="L12" s="96">
        <v>120</v>
      </c>
      <c r="M12" s="96" t="s">
        <v>8</v>
      </c>
      <c r="N12" s="96">
        <v>100</v>
      </c>
      <c r="O12" s="111" t="s">
        <v>379</v>
      </c>
      <c r="P12" s="106" t="s">
        <v>339</v>
      </c>
      <c r="Q12" s="106"/>
      <c r="R12" s="106"/>
      <c r="S12" s="106"/>
      <c r="T12" s="106"/>
    </row>
    <row r="13" spans="1:20" ht="15" x14ac:dyDescent="0.4">
      <c r="A13" s="106" t="s">
        <v>319</v>
      </c>
      <c r="B13" s="106">
        <v>8</v>
      </c>
      <c r="C13" s="106" t="s">
        <v>422</v>
      </c>
      <c r="D13" s="93">
        <v>8</v>
      </c>
      <c r="E13" s="122" t="s">
        <v>477</v>
      </c>
      <c r="F13" s="106">
        <v>6</v>
      </c>
      <c r="G13" s="93" t="s">
        <v>589</v>
      </c>
      <c r="H13" s="94" t="s">
        <v>439</v>
      </c>
      <c r="I13" s="171"/>
      <c r="J13" s="95">
        <v>110</v>
      </c>
      <c r="K13" s="96">
        <v>0</v>
      </c>
      <c r="L13" s="96">
        <v>120</v>
      </c>
      <c r="M13" s="96" t="s">
        <v>8</v>
      </c>
      <c r="N13" s="96">
        <v>100</v>
      </c>
      <c r="O13" s="111" t="s">
        <v>379</v>
      </c>
      <c r="P13" s="106" t="s">
        <v>339</v>
      </c>
      <c r="Q13" s="106"/>
      <c r="R13" s="106"/>
      <c r="S13" s="106"/>
      <c r="T13" s="106"/>
    </row>
    <row r="14" spans="1:20" ht="15" x14ac:dyDescent="0.4">
      <c r="A14" s="106" t="s">
        <v>319</v>
      </c>
      <c r="B14" s="106">
        <v>9</v>
      </c>
      <c r="C14" s="106" t="s">
        <v>422</v>
      </c>
      <c r="D14" s="93">
        <v>9</v>
      </c>
      <c r="E14" s="122" t="s">
        <v>477</v>
      </c>
      <c r="F14" s="106">
        <v>7</v>
      </c>
      <c r="G14" s="93" t="s">
        <v>590</v>
      </c>
      <c r="H14" s="94" t="s">
        <v>440</v>
      </c>
      <c r="I14" s="171"/>
      <c r="J14" s="95">
        <v>111</v>
      </c>
      <c r="K14" s="96">
        <v>0</v>
      </c>
      <c r="L14" s="96">
        <v>120</v>
      </c>
      <c r="M14" s="96" t="s">
        <v>8</v>
      </c>
      <c r="N14" s="96">
        <v>100</v>
      </c>
      <c r="O14" s="111" t="s">
        <v>379</v>
      </c>
      <c r="P14" s="106" t="s">
        <v>339</v>
      </c>
      <c r="Q14" s="106"/>
      <c r="R14" s="106"/>
      <c r="S14" s="106"/>
      <c r="T14" s="106"/>
    </row>
    <row r="15" spans="1:20" ht="15" x14ac:dyDescent="0.4">
      <c r="A15" s="106" t="s">
        <v>319</v>
      </c>
      <c r="B15" s="106">
        <v>10</v>
      </c>
      <c r="C15" s="106" t="s">
        <v>422</v>
      </c>
      <c r="D15" s="93">
        <v>10</v>
      </c>
      <c r="E15" s="122" t="s">
        <v>477</v>
      </c>
      <c r="F15" s="106">
        <v>8</v>
      </c>
      <c r="G15" s="93" t="s">
        <v>591</v>
      </c>
      <c r="H15" s="94" t="s">
        <v>441</v>
      </c>
      <c r="I15" s="171"/>
      <c r="J15" s="95">
        <v>112</v>
      </c>
      <c r="K15" s="96">
        <v>0</v>
      </c>
      <c r="L15" s="96">
        <v>120</v>
      </c>
      <c r="M15" s="96" t="s">
        <v>8</v>
      </c>
      <c r="N15" s="96">
        <v>100</v>
      </c>
      <c r="O15" s="111" t="s">
        <v>379</v>
      </c>
      <c r="P15" s="106" t="s">
        <v>339</v>
      </c>
      <c r="Q15" s="106"/>
      <c r="R15" s="106"/>
      <c r="S15" s="106"/>
      <c r="T15" s="106"/>
    </row>
    <row r="16" spans="1:20" ht="15" x14ac:dyDescent="0.4">
      <c r="A16" s="106" t="s">
        <v>319</v>
      </c>
      <c r="B16" s="106">
        <v>11</v>
      </c>
      <c r="C16" s="106" t="s">
        <v>422</v>
      </c>
      <c r="D16" s="93">
        <v>11</v>
      </c>
      <c r="E16" s="122" t="s">
        <v>477</v>
      </c>
      <c r="F16" s="106">
        <v>9</v>
      </c>
      <c r="G16" s="93" t="s">
        <v>592</v>
      </c>
      <c r="H16" s="94" t="s">
        <v>442</v>
      </c>
      <c r="I16" s="171"/>
      <c r="J16" s="95">
        <v>113</v>
      </c>
      <c r="K16" s="96">
        <v>0</v>
      </c>
      <c r="L16" s="96">
        <v>120</v>
      </c>
      <c r="M16" s="96" t="s">
        <v>8</v>
      </c>
      <c r="N16" s="96">
        <v>100</v>
      </c>
      <c r="O16" s="111" t="s">
        <v>379</v>
      </c>
      <c r="P16" s="106" t="s">
        <v>339</v>
      </c>
      <c r="Q16" s="106"/>
      <c r="R16" s="106"/>
      <c r="S16" s="106"/>
      <c r="T16" s="106"/>
    </row>
    <row r="17" spans="1:20" ht="15" x14ac:dyDescent="0.4">
      <c r="A17" s="106" t="s">
        <v>319</v>
      </c>
      <c r="B17" s="106">
        <v>12</v>
      </c>
      <c r="C17" s="106" t="s">
        <v>422</v>
      </c>
      <c r="D17" s="93">
        <v>12</v>
      </c>
      <c r="E17" s="122" t="s">
        <v>477</v>
      </c>
      <c r="F17" s="106">
        <v>10</v>
      </c>
      <c r="G17" s="93" t="s">
        <v>593</v>
      </c>
      <c r="H17" s="94" t="s">
        <v>443</v>
      </c>
      <c r="I17" s="171"/>
      <c r="J17" s="95">
        <v>114</v>
      </c>
      <c r="K17" s="96">
        <v>0</v>
      </c>
      <c r="L17" s="96">
        <v>120</v>
      </c>
      <c r="M17" s="96" t="s">
        <v>8</v>
      </c>
      <c r="N17" s="96">
        <v>100</v>
      </c>
      <c r="O17" s="111" t="s">
        <v>379</v>
      </c>
      <c r="P17" s="106" t="s">
        <v>339</v>
      </c>
      <c r="Q17" s="106"/>
      <c r="R17" s="106"/>
      <c r="S17" s="106"/>
      <c r="T17" s="106"/>
    </row>
    <row r="18" spans="1:20" ht="15" x14ac:dyDescent="0.4">
      <c r="A18" s="106" t="s">
        <v>319</v>
      </c>
      <c r="B18" s="106">
        <v>13</v>
      </c>
      <c r="C18" s="106" t="s">
        <v>422</v>
      </c>
      <c r="D18" s="93">
        <v>13</v>
      </c>
      <c r="E18" s="122" t="s">
        <v>477</v>
      </c>
      <c r="F18" s="106">
        <v>11</v>
      </c>
      <c r="G18" s="93" t="s">
        <v>594</v>
      </c>
      <c r="H18" s="94" t="s">
        <v>444</v>
      </c>
      <c r="I18" s="171"/>
      <c r="J18" s="95">
        <v>115</v>
      </c>
      <c r="K18" s="96">
        <v>0</v>
      </c>
      <c r="L18" s="96">
        <v>120</v>
      </c>
      <c r="M18" s="96" t="s">
        <v>8</v>
      </c>
      <c r="N18" s="96">
        <v>100</v>
      </c>
      <c r="O18" s="111" t="s">
        <v>379</v>
      </c>
      <c r="P18" s="106" t="s">
        <v>339</v>
      </c>
      <c r="Q18" s="106"/>
      <c r="R18" s="106"/>
      <c r="S18" s="106"/>
      <c r="T18" s="106"/>
    </row>
    <row r="19" spans="1:20" ht="16.8" x14ac:dyDescent="0.4">
      <c r="A19" s="106" t="s">
        <v>319</v>
      </c>
      <c r="B19" s="106">
        <v>14</v>
      </c>
      <c r="C19" s="106" t="s">
        <v>422</v>
      </c>
      <c r="D19" s="93">
        <v>14</v>
      </c>
      <c r="E19" s="122" t="s">
        <v>478</v>
      </c>
      <c r="F19" s="106">
        <v>0</v>
      </c>
      <c r="G19" s="93" t="s">
        <v>500</v>
      </c>
      <c r="H19" s="88" t="s">
        <v>551</v>
      </c>
      <c r="I19" s="171"/>
      <c r="J19" s="95">
        <v>3700</v>
      </c>
      <c r="K19" s="96">
        <v>0</v>
      </c>
      <c r="L19" s="96">
        <v>10000</v>
      </c>
      <c r="M19" s="96" t="s">
        <v>289</v>
      </c>
      <c r="N19" s="96">
        <v>1</v>
      </c>
      <c r="O19" s="111" t="s">
        <v>379</v>
      </c>
      <c r="P19" s="106" t="s">
        <v>339</v>
      </c>
      <c r="Q19" s="106"/>
      <c r="R19" s="106"/>
      <c r="S19" s="106"/>
      <c r="T19" s="106"/>
    </row>
    <row r="20" spans="1:20" ht="15" x14ac:dyDescent="0.4">
      <c r="A20" s="106" t="s">
        <v>319</v>
      </c>
      <c r="B20" s="106">
        <v>15</v>
      </c>
      <c r="C20" s="106" t="s">
        <v>422</v>
      </c>
      <c r="D20" s="93">
        <v>15</v>
      </c>
      <c r="E20" s="122" t="s">
        <v>478</v>
      </c>
      <c r="F20" s="106">
        <v>1</v>
      </c>
      <c r="G20" s="93" t="s">
        <v>595</v>
      </c>
      <c r="H20" s="88" t="s">
        <v>445</v>
      </c>
      <c r="I20" s="171"/>
      <c r="J20" s="95">
        <v>3763</v>
      </c>
      <c r="K20" s="96">
        <v>0</v>
      </c>
      <c r="L20" s="96">
        <v>10000</v>
      </c>
      <c r="M20" s="96" t="s">
        <v>289</v>
      </c>
      <c r="N20" s="96">
        <v>1</v>
      </c>
      <c r="O20" s="111" t="s">
        <v>379</v>
      </c>
      <c r="P20" s="106" t="s">
        <v>339</v>
      </c>
      <c r="Q20" s="106"/>
      <c r="R20" s="106"/>
      <c r="S20" s="106"/>
      <c r="T20" s="106"/>
    </row>
    <row r="21" spans="1:20" ht="15" x14ac:dyDescent="0.4">
      <c r="A21" s="106" t="s">
        <v>319</v>
      </c>
      <c r="B21" s="106">
        <v>16</v>
      </c>
      <c r="C21" s="106" t="s">
        <v>422</v>
      </c>
      <c r="D21" s="93">
        <v>16</v>
      </c>
      <c r="E21" s="122" t="s">
        <v>478</v>
      </c>
      <c r="F21" s="106">
        <v>2</v>
      </c>
      <c r="G21" s="93" t="s">
        <v>596</v>
      </c>
      <c r="H21" s="88" t="s">
        <v>446</v>
      </c>
      <c r="I21" s="171"/>
      <c r="J21" s="95">
        <v>3725</v>
      </c>
      <c r="K21" s="96">
        <v>0</v>
      </c>
      <c r="L21" s="96">
        <v>10000</v>
      </c>
      <c r="M21" s="96" t="s">
        <v>289</v>
      </c>
      <c r="N21" s="96">
        <v>1</v>
      </c>
      <c r="O21" s="111" t="s">
        <v>379</v>
      </c>
      <c r="P21" s="106" t="s">
        <v>339</v>
      </c>
      <c r="Q21" s="106"/>
      <c r="R21" s="106"/>
      <c r="S21" s="106"/>
      <c r="T21" s="106"/>
    </row>
    <row r="22" spans="1:20" ht="15" x14ac:dyDescent="0.4">
      <c r="A22" s="106" t="s">
        <v>319</v>
      </c>
      <c r="B22" s="106">
        <v>17</v>
      </c>
      <c r="C22" s="106" t="s">
        <v>422</v>
      </c>
      <c r="D22" s="93">
        <v>17</v>
      </c>
      <c r="E22" s="122" t="s">
        <v>478</v>
      </c>
      <c r="F22" s="106">
        <v>3</v>
      </c>
      <c r="G22" s="93" t="s">
        <v>597</v>
      </c>
      <c r="H22" s="88" t="s">
        <v>447</v>
      </c>
      <c r="I22" s="171"/>
      <c r="J22" s="95">
        <v>5042</v>
      </c>
      <c r="K22" s="96">
        <v>0</v>
      </c>
      <c r="L22" s="96">
        <v>10000</v>
      </c>
      <c r="M22" s="96" t="s">
        <v>289</v>
      </c>
      <c r="N22" s="96">
        <v>1</v>
      </c>
      <c r="O22" s="111" t="s">
        <v>379</v>
      </c>
      <c r="P22" s="106" t="s">
        <v>339</v>
      </c>
      <c r="Q22" s="106"/>
      <c r="R22" s="106"/>
      <c r="S22" s="106"/>
      <c r="T22" s="106"/>
    </row>
    <row r="23" spans="1:20" ht="15" x14ac:dyDescent="0.4">
      <c r="A23" s="106" t="s">
        <v>319</v>
      </c>
      <c r="B23" s="106">
        <v>18</v>
      </c>
      <c r="C23" s="106" t="s">
        <v>422</v>
      </c>
      <c r="D23" s="93">
        <v>18</v>
      </c>
      <c r="E23" s="122" t="s">
        <v>478</v>
      </c>
      <c r="F23" s="106">
        <v>4</v>
      </c>
      <c r="G23" s="93" t="s">
        <v>598</v>
      </c>
      <c r="H23" s="88" t="s">
        <v>448</v>
      </c>
      <c r="I23" s="171"/>
      <c r="J23" s="95">
        <v>6773</v>
      </c>
      <c r="K23" s="96">
        <v>0</v>
      </c>
      <c r="L23" s="96">
        <v>10000</v>
      </c>
      <c r="M23" s="96" t="s">
        <v>289</v>
      </c>
      <c r="N23" s="96">
        <v>1</v>
      </c>
      <c r="O23" s="111" t="s">
        <v>379</v>
      </c>
      <c r="P23" s="106" t="s">
        <v>339</v>
      </c>
      <c r="Q23" s="106"/>
      <c r="R23" s="106"/>
      <c r="S23" s="106"/>
      <c r="T23" s="106"/>
    </row>
    <row r="24" spans="1:20" ht="15" x14ac:dyDescent="0.4">
      <c r="A24" s="106" t="s">
        <v>319</v>
      </c>
      <c r="B24" s="106">
        <v>19</v>
      </c>
      <c r="C24" s="106" t="s">
        <v>422</v>
      </c>
      <c r="D24" s="93">
        <v>19</v>
      </c>
      <c r="E24" s="122" t="s">
        <v>478</v>
      </c>
      <c r="F24" s="106">
        <v>5</v>
      </c>
      <c r="G24" s="93" t="s">
        <v>599</v>
      </c>
      <c r="H24" s="88" t="s">
        <v>449</v>
      </c>
      <c r="I24" s="171"/>
      <c r="J24" s="95">
        <v>8729</v>
      </c>
      <c r="K24" s="96">
        <v>0</v>
      </c>
      <c r="L24" s="96">
        <v>10000</v>
      </c>
      <c r="M24" s="96" t="s">
        <v>289</v>
      </c>
      <c r="N24" s="96">
        <v>1</v>
      </c>
      <c r="O24" s="111" t="s">
        <v>379</v>
      </c>
      <c r="P24" s="106" t="s">
        <v>339</v>
      </c>
      <c r="Q24" s="106"/>
      <c r="R24" s="106"/>
      <c r="S24" s="106"/>
      <c r="T24" s="106"/>
    </row>
    <row r="25" spans="1:20" ht="15" x14ac:dyDescent="0.4">
      <c r="A25" s="106" t="s">
        <v>319</v>
      </c>
      <c r="B25" s="106">
        <v>20</v>
      </c>
      <c r="C25" s="106" t="s">
        <v>422</v>
      </c>
      <c r="D25" s="93">
        <v>20</v>
      </c>
      <c r="E25" s="122" t="s">
        <v>478</v>
      </c>
      <c r="F25" s="106">
        <v>6</v>
      </c>
      <c r="G25" s="93" t="s">
        <v>600</v>
      </c>
      <c r="H25" s="88" t="s">
        <v>450</v>
      </c>
      <c r="I25" s="171"/>
      <c r="J25" s="95">
        <v>8729</v>
      </c>
      <c r="K25" s="96">
        <v>0</v>
      </c>
      <c r="L25" s="96">
        <v>10000</v>
      </c>
      <c r="M25" s="96" t="s">
        <v>289</v>
      </c>
      <c r="N25" s="96">
        <v>1</v>
      </c>
      <c r="O25" s="111" t="s">
        <v>379</v>
      </c>
      <c r="P25" s="106" t="s">
        <v>339</v>
      </c>
      <c r="Q25" s="106"/>
      <c r="R25" s="106"/>
      <c r="S25" s="106"/>
      <c r="T25" s="106"/>
    </row>
    <row r="26" spans="1:20" ht="15" x14ac:dyDescent="0.4">
      <c r="A26" s="106" t="s">
        <v>319</v>
      </c>
      <c r="B26" s="106">
        <v>21</v>
      </c>
      <c r="C26" s="106" t="s">
        <v>422</v>
      </c>
      <c r="D26" s="93">
        <v>21</v>
      </c>
      <c r="E26" s="122" t="s">
        <v>478</v>
      </c>
      <c r="F26" s="106">
        <v>7</v>
      </c>
      <c r="G26" s="93" t="s">
        <v>601</v>
      </c>
      <c r="H26" s="88" t="s">
        <v>451</v>
      </c>
      <c r="I26" s="171"/>
      <c r="J26" s="95">
        <v>8729</v>
      </c>
      <c r="K26" s="96">
        <v>0</v>
      </c>
      <c r="L26" s="96">
        <v>10000</v>
      </c>
      <c r="M26" s="96" t="s">
        <v>289</v>
      </c>
      <c r="N26" s="96">
        <v>1</v>
      </c>
      <c r="O26" s="111" t="s">
        <v>379</v>
      </c>
      <c r="P26" s="106" t="s">
        <v>339</v>
      </c>
      <c r="Q26" s="106"/>
      <c r="R26" s="106"/>
      <c r="S26" s="106"/>
      <c r="T26" s="106"/>
    </row>
    <row r="27" spans="1:20" ht="15" x14ac:dyDescent="0.4">
      <c r="A27" s="106" t="s">
        <v>319</v>
      </c>
      <c r="B27" s="106">
        <v>22</v>
      </c>
      <c r="C27" s="106" t="s">
        <v>422</v>
      </c>
      <c r="D27" s="93">
        <v>22</v>
      </c>
      <c r="E27" s="122" t="s">
        <v>478</v>
      </c>
      <c r="F27" s="106">
        <v>8</v>
      </c>
      <c r="G27" s="93" t="s">
        <v>602</v>
      </c>
      <c r="H27" s="88" t="s">
        <v>452</v>
      </c>
      <c r="I27" s="171"/>
      <c r="J27" s="95">
        <v>8729</v>
      </c>
      <c r="K27" s="96">
        <v>0</v>
      </c>
      <c r="L27" s="96">
        <v>10000</v>
      </c>
      <c r="M27" s="96" t="s">
        <v>289</v>
      </c>
      <c r="N27" s="96">
        <v>1</v>
      </c>
      <c r="O27" s="111" t="s">
        <v>379</v>
      </c>
      <c r="P27" s="106" t="s">
        <v>339</v>
      </c>
      <c r="Q27" s="106"/>
      <c r="R27" s="106"/>
      <c r="S27" s="106"/>
      <c r="T27" s="106"/>
    </row>
    <row r="28" spans="1:20" ht="15" x14ac:dyDescent="0.4">
      <c r="A28" s="106" t="s">
        <v>319</v>
      </c>
      <c r="B28" s="106">
        <v>23</v>
      </c>
      <c r="C28" s="106" t="s">
        <v>422</v>
      </c>
      <c r="D28" s="93">
        <v>23</v>
      </c>
      <c r="E28" s="122" t="s">
        <v>478</v>
      </c>
      <c r="F28" s="106">
        <v>9</v>
      </c>
      <c r="G28" s="93" t="s">
        <v>603</v>
      </c>
      <c r="H28" s="88" t="s">
        <v>453</v>
      </c>
      <c r="I28" s="171"/>
      <c r="J28" s="95">
        <v>8729</v>
      </c>
      <c r="K28" s="96">
        <v>0</v>
      </c>
      <c r="L28" s="96">
        <v>10000</v>
      </c>
      <c r="M28" s="96" t="s">
        <v>289</v>
      </c>
      <c r="N28" s="96">
        <v>1</v>
      </c>
      <c r="O28" s="111" t="s">
        <v>379</v>
      </c>
      <c r="P28" s="106" t="s">
        <v>339</v>
      </c>
      <c r="Q28" s="106"/>
      <c r="R28" s="106"/>
      <c r="S28" s="106"/>
      <c r="T28" s="106"/>
    </row>
    <row r="29" spans="1:20" ht="15" x14ac:dyDescent="0.4">
      <c r="A29" s="106" t="s">
        <v>319</v>
      </c>
      <c r="B29" s="106">
        <v>24</v>
      </c>
      <c r="C29" s="106" t="s">
        <v>422</v>
      </c>
      <c r="D29" s="93">
        <v>24</v>
      </c>
      <c r="E29" s="122" t="s">
        <v>478</v>
      </c>
      <c r="F29" s="106">
        <v>10</v>
      </c>
      <c r="G29" s="93" t="s">
        <v>604</v>
      </c>
      <c r="H29" s="88" t="s">
        <v>454</v>
      </c>
      <c r="I29" s="171"/>
      <c r="J29" s="95">
        <v>8729</v>
      </c>
      <c r="K29" s="96">
        <v>0</v>
      </c>
      <c r="L29" s="96">
        <v>10000</v>
      </c>
      <c r="M29" s="96" t="s">
        <v>289</v>
      </c>
      <c r="N29" s="96">
        <v>1</v>
      </c>
      <c r="O29" s="111" t="s">
        <v>379</v>
      </c>
      <c r="P29" s="106" t="s">
        <v>339</v>
      </c>
      <c r="Q29" s="106"/>
      <c r="R29" s="106"/>
      <c r="S29" s="106"/>
      <c r="T29" s="106"/>
    </row>
    <row r="30" spans="1:20" ht="15" x14ac:dyDescent="0.4">
      <c r="A30" s="106" t="s">
        <v>319</v>
      </c>
      <c r="B30" s="106">
        <v>25</v>
      </c>
      <c r="C30" s="106" t="s">
        <v>422</v>
      </c>
      <c r="D30" s="93">
        <v>25</v>
      </c>
      <c r="E30" s="122" t="s">
        <v>478</v>
      </c>
      <c r="F30" s="106">
        <v>11</v>
      </c>
      <c r="G30" s="93" t="s">
        <v>605</v>
      </c>
      <c r="H30" s="88" t="s">
        <v>455</v>
      </c>
      <c r="I30" s="171"/>
      <c r="J30" s="95">
        <v>8729</v>
      </c>
      <c r="K30" s="96">
        <v>0</v>
      </c>
      <c r="L30" s="96">
        <v>10000</v>
      </c>
      <c r="M30" s="96" t="s">
        <v>289</v>
      </c>
      <c r="N30" s="96">
        <v>1</v>
      </c>
      <c r="O30" s="111" t="s">
        <v>379</v>
      </c>
      <c r="P30" s="106" t="s">
        <v>339</v>
      </c>
      <c r="Q30" s="106"/>
      <c r="R30" s="106"/>
      <c r="S30" s="106"/>
      <c r="T30" s="106"/>
    </row>
    <row r="31" spans="1:20" ht="15" x14ac:dyDescent="0.4">
      <c r="A31" s="106" t="s">
        <v>319</v>
      </c>
      <c r="B31" s="106">
        <v>26</v>
      </c>
      <c r="C31" s="106" t="s">
        <v>422</v>
      </c>
      <c r="D31" s="93">
        <v>26</v>
      </c>
      <c r="E31" s="122" t="s">
        <v>491</v>
      </c>
      <c r="F31" s="106">
        <v>0</v>
      </c>
      <c r="G31" s="93" t="s">
        <v>492</v>
      </c>
      <c r="H31" s="94" t="s">
        <v>479</v>
      </c>
      <c r="I31" s="171"/>
      <c r="J31" s="95">
        <v>310</v>
      </c>
      <c r="K31" s="96">
        <v>0</v>
      </c>
      <c r="L31" s="96">
        <v>1000</v>
      </c>
      <c r="M31" s="96" t="s">
        <v>9</v>
      </c>
      <c r="N31" s="96">
        <v>10</v>
      </c>
      <c r="O31" s="111" t="s">
        <v>379</v>
      </c>
      <c r="P31" s="106" t="s">
        <v>339</v>
      </c>
      <c r="Q31" s="106"/>
      <c r="R31" s="106"/>
      <c r="S31" s="106"/>
      <c r="T31" s="106"/>
    </row>
    <row r="32" spans="1:20" ht="15" x14ac:dyDescent="0.4">
      <c r="A32" s="106" t="s">
        <v>319</v>
      </c>
      <c r="B32" s="106">
        <v>27</v>
      </c>
      <c r="C32" s="106" t="s">
        <v>422</v>
      </c>
      <c r="D32" s="93">
        <v>27</v>
      </c>
      <c r="E32" s="122" t="s">
        <v>491</v>
      </c>
      <c r="F32" s="106">
        <v>1</v>
      </c>
      <c r="G32" s="93" t="s">
        <v>606</v>
      </c>
      <c r="H32" s="94" t="s">
        <v>480</v>
      </c>
      <c r="I32" s="171"/>
      <c r="J32" s="95">
        <v>310</v>
      </c>
      <c r="K32" s="96">
        <v>0</v>
      </c>
      <c r="L32" s="96">
        <v>1000</v>
      </c>
      <c r="M32" s="96" t="s">
        <v>9</v>
      </c>
      <c r="N32" s="96">
        <v>10</v>
      </c>
      <c r="O32" s="111" t="s">
        <v>379</v>
      </c>
      <c r="P32" s="106" t="s">
        <v>339</v>
      </c>
      <c r="Q32" s="106"/>
      <c r="R32" s="106"/>
      <c r="S32" s="106"/>
      <c r="T32" s="106"/>
    </row>
    <row r="33" spans="1:20" ht="15" x14ac:dyDescent="0.4">
      <c r="A33" s="106" t="s">
        <v>319</v>
      </c>
      <c r="B33" s="106">
        <v>28</v>
      </c>
      <c r="C33" s="106" t="s">
        <v>422</v>
      </c>
      <c r="D33" s="93">
        <v>28</v>
      </c>
      <c r="E33" s="122" t="s">
        <v>491</v>
      </c>
      <c r="F33" s="106">
        <v>2</v>
      </c>
      <c r="G33" s="93" t="s">
        <v>607</v>
      </c>
      <c r="H33" s="94" t="s">
        <v>481</v>
      </c>
      <c r="I33" s="171"/>
      <c r="J33" s="95">
        <v>330</v>
      </c>
      <c r="K33" s="96">
        <v>0</v>
      </c>
      <c r="L33" s="96">
        <v>1000</v>
      </c>
      <c r="M33" s="96" t="s">
        <v>9</v>
      </c>
      <c r="N33" s="96">
        <v>10</v>
      </c>
      <c r="O33" s="111" t="s">
        <v>379</v>
      </c>
      <c r="P33" s="106" t="s">
        <v>339</v>
      </c>
      <c r="Q33" s="106"/>
      <c r="R33" s="106"/>
      <c r="S33" s="106"/>
      <c r="T33" s="106"/>
    </row>
    <row r="34" spans="1:20" ht="15" x14ac:dyDescent="0.4">
      <c r="A34" s="106" t="s">
        <v>319</v>
      </c>
      <c r="B34" s="106">
        <v>29</v>
      </c>
      <c r="C34" s="106" t="s">
        <v>422</v>
      </c>
      <c r="D34" s="93">
        <v>29</v>
      </c>
      <c r="E34" s="122" t="s">
        <v>491</v>
      </c>
      <c r="F34" s="106">
        <v>3</v>
      </c>
      <c r="G34" s="93" t="s">
        <v>608</v>
      </c>
      <c r="H34" s="94" t="s">
        <v>482</v>
      </c>
      <c r="I34" s="171"/>
      <c r="J34" s="95">
        <v>430</v>
      </c>
      <c r="K34" s="96">
        <v>0</v>
      </c>
      <c r="L34" s="96">
        <v>1000</v>
      </c>
      <c r="M34" s="96" t="s">
        <v>9</v>
      </c>
      <c r="N34" s="96">
        <v>10</v>
      </c>
      <c r="O34" s="111" t="s">
        <v>379</v>
      </c>
      <c r="P34" s="106" t="s">
        <v>339</v>
      </c>
      <c r="Q34" s="106"/>
      <c r="R34" s="106"/>
      <c r="S34" s="106"/>
      <c r="T34" s="106"/>
    </row>
    <row r="35" spans="1:20" ht="15" x14ac:dyDescent="0.4">
      <c r="A35" s="106" t="s">
        <v>319</v>
      </c>
      <c r="B35" s="106">
        <v>30</v>
      </c>
      <c r="C35" s="106" t="s">
        <v>422</v>
      </c>
      <c r="D35" s="93">
        <v>30</v>
      </c>
      <c r="E35" s="122" t="s">
        <v>491</v>
      </c>
      <c r="F35" s="106">
        <v>4</v>
      </c>
      <c r="G35" s="93" t="s">
        <v>609</v>
      </c>
      <c r="H35" s="94" t="s">
        <v>483</v>
      </c>
      <c r="I35" s="171"/>
      <c r="J35" s="95">
        <v>390</v>
      </c>
      <c r="K35" s="96">
        <v>0</v>
      </c>
      <c r="L35" s="96">
        <v>1000</v>
      </c>
      <c r="M35" s="96" t="s">
        <v>9</v>
      </c>
      <c r="N35" s="96">
        <v>10</v>
      </c>
      <c r="O35" s="111" t="s">
        <v>379</v>
      </c>
      <c r="P35" s="106" t="s">
        <v>339</v>
      </c>
      <c r="Q35" s="106"/>
      <c r="R35" s="106"/>
      <c r="S35" s="106"/>
      <c r="T35" s="106"/>
    </row>
    <row r="36" spans="1:20" ht="15" x14ac:dyDescent="0.4">
      <c r="A36" s="106" t="s">
        <v>319</v>
      </c>
      <c r="B36" s="106">
        <v>31</v>
      </c>
      <c r="C36" s="106" t="s">
        <v>422</v>
      </c>
      <c r="D36" s="93">
        <v>31</v>
      </c>
      <c r="E36" s="122" t="s">
        <v>491</v>
      </c>
      <c r="F36" s="106">
        <v>5</v>
      </c>
      <c r="G36" s="93" t="s">
        <v>610</v>
      </c>
      <c r="H36" s="94" t="s">
        <v>484</v>
      </c>
      <c r="I36" s="171"/>
      <c r="J36" s="95">
        <v>350</v>
      </c>
      <c r="K36" s="96">
        <v>0</v>
      </c>
      <c r="L36" s="96">
        <v>1000</v>
      </c>
      <c r="M36" s="96" t="s">
        <v>9</v>
      </c>
      <c r="N36" s="96">
        <v>10</v>
      </c>
      <c r="O36" s="111" t="s">
        <v>379</v>
      </c>
      <c r="P36" s="106" t="s">
        <v>339</v>
      </c>
      <c r="Q36" s="106"/>
      <c r="R36" s="106"/>
      <c r="S36" s="106"/>
      <c r="T36" s="106"/>
    </row>
    <row r="37" spans="1:20" ht="15" x14ac:dyDescent="0.4">
      <c r="A37" s="106" t="s">
        <v>319</v>
      </c>
      <c r="B37" s="106">
        <v>32</v>
      </c>
      <c r="C37" s="106" t="s">
        <v>422</v>
      </c>
      <c r="D37" s="93">
        <v>32</v>
      </c>
      <c r="E37" s="122" t="s">
        <v>491</v>
      </c>
      <c r="F37" s="106">
        <v>6</v>
      </c>
      <c r="G37" s="93" t="s">
        <v>611</v>
      </c>
      <c r="H37" s="94" t="s">
        <v>485</v>
      </c>
      <c r="I37" s="171"/>
      <c r="J37" s="95">
        <v>350</v>
      </c>
      <c r="K37" s="96">
        <v>0</v>
      </c>
      <c r="L37" s="96">
        <v>1000</v>
      </c>
      <c r="M37" s="96" t="s">
        <v>9</v>
      </c>
      <c r="N37" s="96">
        <v>10</v>
      </c>
      <c r="O37" s="111" t="s">
        <v>379</v>
      </c>
      <c r="P37" s="106" t="s">
        <v>339</v>
      </c>
      <c r="Q37" s="106"/>
      <c r="R37" s="106"/>
      <c r="S37" s="106"/>
      <c r="T37" s="106"/>
    </row>
    <row r="38" spans="1:20" ht="15" x14ac:dyDescent="0.4">
      <c r="A38" s="106" t="s">
        <v>319</v>
      </c>
      <c r="B38" s="106">
        <v>33</v>
      </c>
      <c r="C38" s="106" t="s">
        <v>422</v>
      </c>
      <c r="D38" s="93">
        <v>33</v>
      </c>
      <c r="E38" s="122" t="s">
        <v>491</v>
      </c>
      <c r="F38" s="106">
        <v>7</v>
      </c>
      <c r="G38" s="93" t="s">
        <v>612</v>
      </c>
      <c r="H38" s="94" t="s">
        <v>486</v>
      </c>
      <c r="I38" s="171"/>
      <c r="J38" s="95">
        <v>350</v>
      </c>
      <c r="K38" s="96">
        <v>0</v>
      </c>
      <c r="L38" s="96">
        <v>1000</v>
      </c>
      <c r="M38" s="96" t="s">
        <v>9</v>
      </c>
      <c r="N38" s="96">
        <v>10</v>
      </c>
      <c r="O38" s="111" t="s">
        <v>379</v>
      </c>
      <c r="P38" s="106" t="s">
        <v>339</v>
      </c>
      <c r="Q38" s="106"/>
      <c r="R38" s="106"/>
      <c r="S38" s="106"/>
      <c r="T38" s="106"/>
    </row>
    <row r="39" spans="1:20" ht="15" x14ac:dyDescent="0.4">
      <c r="A39" s="106" t="s">
        <v>319</v>
      </c>
      <c r="B39" s="106">
        <v>34</v>
      </c>
      <c r="C39" s="106" t="s">
        <v>422</v>
      </c>
      <c r="D39" s="93">
        <v>34</v>
      </c>
      <c r="E39" s="122" t="s">
        <v>491</v>
      </c>
      <c r="F39" s="106">
        <v>8</v>
      </c>
      <c r="G39" s="93" t="s">
        <v>613</v>
      </c>
      <c r="H39" s="94" t="s">
        <v>487</v>
      </c>
      <c r="I39" s="171"/>
      <c r="J39" s="95">
        <v>400</v>
      </c>
      <c r="K39" s="96">
        <v>0</v>
      </c>
      <c r="L39" s="96">
        <v>1000</v>
      </c>
      <c r="M39" s="96" t="s">
        <v>9</v>
      </c>
      <c r="N39" s="96">
        <v>10</v>
      </c>
      <c r="O39" s="111" t="s">
        <v>379</v>
      </c>
      <c r="P39" s="106" t="s">
        <v>339</v>
      </c>
      <c r="Q39" s="106"/>
      <c r="R39" s="106"/>
      <c r="S39" s="106"/>
      <c r="T39" s="106"/>
    </row>
    <row r="40" spans="1:20" ht="15" x14ac:dyDescent="0.4">
      <c r="A40" s="106" t="s">
        <v>319</v>
      </c>
      <c r="B40" s="106">
        <v>35</v>
      </c>
      <c r="C40" s="106" t="s">
        <v>422</v>
      </c>
      <c r="D40" s="93">
        <v>35</v>
      </c>
      <c r="E40" s="122" t="s">
        <v>491</v>
      </c>
      <c r="F40" s="106">
        <v>9</v>
      </c>
      <c r="G40" s="93" t="s">
        <v>614</v>
      </c>
      <c r="H40" s="94" t="s">
        <v>488</v>
      </c>
      <c r="I40" s="171"/>
      <c r="J40" s="95">
        <v>420</v>
      </c>
      <c r="K40" s="96">
        <v>0</v>
      </c>
      <c r="L40" s="96">
        <v>1000</v>
      </c>
      <c r="M40" s="96" t="s">
        <v>9</v>
      </c>
      <c r="N40" s="96">
        <v>10</v>
      </c>
      <c r="O40" s="111" t="s">
        <v>379</v>
      </c>
      <c r="P40" s="106" t="s">
        <v>339</v>
      </c>
      <c r="Q40" s="106"/>
      <c r="R40" s="106"/>
      <c r="S40" s="106"/>
      <c r="T40" s="106"/>
    </row>
    <row r="41" spans="1:20" ht="15" x14ac:dyDescent="0.4">
      <c r="A41" s="106" t="s">
        <v>319</v>
      </c>
      <c r="B41" s="106">
        <v>36</v>
      </c>
      <c r="C41" s="106" t="s">
        <v>422</v>
      </c>
      <c r="D41" s="93">
        <v>36</v>
      </c>
      <c r="E41" s="122" t="s">
        <v>491</v>
      </c>
      <c r="F41" s="106">
        <v>10</v>
      </c>
      <c r="G41" s="93" t="s">
        <v>615</v>
      </c>
      <c r="H41" s="94" t="s">
        <v>489</v>
      </c>
      <c r="I41" s="171"/>
      <c r="J41" s="95">
        <v>440</v>
      </c>
      <c r="K41" s="96">
        <v>0</v>
      </c>
      <c r="L41" s="96">
        <v>1000</v>
      </c>
      <c r="M41" s="96" t="s">
        <v>9</v>
      </c>
      <c r="N41" s="96">
        <v>10</v>
      </c>
      <c r="O41" s="111" t="s">
        <v>379</v>
      </c>
      <c r="P41" s="106" t="s">
        <v>339</v>
      </c>
      <c r="Q41" s="106"/>
      <c r="R41" s="106"/>
      <c r="S41" s="106"/>
      <c r="T41" s="106"/>
    </row>
    <row r="42" spans="1:20" ht="15" x14ac:dyDescent="0.4">
      <c r="A42" s="106" t="s">
        <v>319</v>
      </c>
      <c r="B42" s="106">
        <v>37</v>
      </c>
      <c r="C42" s="106" t="s">
        <v>422</v>
      </c>
      <c r="D42" s="93">
        <v>37</v>
      </c>
      <c r="E42" s="122" t="s">
        <v>491</v>
      </c>
      <c r="F42" s="106">
        <v>11</v>
      </c>
      <c r="G42" s="93" t="s">
        <v>616</v>
      </c>
      <c r="H42" s="94" t="s">
        <v>490</v>
      </c>
      <c r="I42" s="171"/>
      <c r="J42" s="95">
        <v>460</v>
      </c>
      <c r="K42" s="96">
        <v>0</v>
      </c>
      <c r="L42" s="96">
        <v>1000</v>
      </c>
      <c r="M42" s="96" t="s">
        <v>9</v>
      </c>
      <c r="N42" s="96">
        <v>10</v>
      </c>
      <c r="O42" s="111" t="s">
        <v>379</v>
      </c>
      <c r="P42" s="106" t="s">
        <v>339</v>
      </c>
      <c r="Q42" s="106"/>
      <c r="R42" s="106"/>
      <c r="S42" s="106"/>
      <c r="T42" s="106"/>
    </row>
    <row r="43" spans="1:20" ht="15" x14ac:dyDescent="0.4">
      <c r="A43" s="106" t="s">
        <v>319</v>
      </c>
      <c r="B43" s="106">
        <v>38</v>
      </c>
      <c r="C43" s="106" t="s">
        <v>422</v>
      </c>
      <c r="D43" s="93">
        <v>38</v>
      </c>
      <c r="E43" s="123" t="s">
        <v>499</v>
      </c>
      <c r="F43" s="106">
        <v>0</v>
      </c>
      <c r="G43" s="93" t="s">
        <v>498</v>
      </c>
      <c r="H43" s="94" t="s">
        <v>271</v>
      </c>
      <c r="I43" s="171"/>
      <c r="J43" s="95">
        <v>1</v>
      </c>
      <c r="K43" s="96">
        <v>0</v>
      </c>
      <c r="L43" s="96">
        <v>100</v>
      </c>
      <c r="M43" s="96" t="s">
        <v>6</v>
      </c>
      <c r="N43" s="96">
        <v>100</v>
      </c>
      <c r="O43" s="111" t="s">
        <v>379</v>
      </c>
      <c r="P43" s="106" t="s">
        <v>339</v>
      </c>
      <c r="Q43" s="106"/>
      <c r="R43" s="106"/>
      <c r="S43" s="106"/>
      <c r="T43" s="106"/>
    </row>
    <row r="44" spans="1:20" ht="15" x14ac:dyDescent="0.4">
      <c r="A44" s="106" t="s">
        <v>319</v>
      </c>
      <c r="B44" s="106">
        <v>39</v>
      </c>
      <c r="C44" s="106" t="s">
        <v>422</v>
      </c>
      <c r="D44" s="93">
        <v>39</v>
      </c>
      <c r="E44" s="123" t="s">
        <v>499</v>
      </c>
      <c r="F44" s="106">
        <v>1</v>
      </c>
      <c r="G44" s="93" t="s">
        <v>617</v>
      </c>
      <c r="H44" s="94" t="s">
        <v>272</v>
      </c>
      <c r="I44" s="171"/>
      <c r="J44" s="95">
        <v>1</v>
      </c>
      <c r="K44" s="96">
        <v>0</v>
      </c>
      <c r="L44" s="96">
        <v>100</v>
      </c>
      <c r="M44" s="96" t="s">
        <v>6</v>
      </c>
      <c r="N44" s="96">
        <v>100</v>
      </c>
      <c r="O44" s="111" t="s">
        <v>379</v>
      </c>
      <c r="P44" s="106" t="s">
        <v>339</v>
      </c>
      <c r="Q44" s="106"/>
      <c r="R44" s="106"/>
      <c r="S44" s="106"/>
      <c r="T44" s="106"/>
    </row>
    <row r="45" spans="1:20" ht="15" x14ac:dyDescent="0.4">
      <c r="A45" s="106" t="s">
        <v>319</v>
      </c>
      <c r="B45" s="106">
        <v>40</v>
      </c>
      <c r="C45" s="106" t="s">
        <v>422</v>
      </c>
      <c r="D45" s="93">
        <v>40</v>
      </c>
      <c r="E45" s="123" t="s">
        <v>499</v>
      </c>
      <c r="F45" s="106">
        <v>2</v>
      </c>
      <c r="G45" s="93" t="s">
        <v>618</v>
      </c>
      <c r="H45" s="94" t="s">
        <v>273</v>
      </c>
      <c r="I45" s="171"/>
      <c r="J45" s="95">
        <v>1</v>
      </c>
      <c r="K45" s="96">
        <v>0</v>
      </c>
      <c r="L45" s="96">
        <v>100</v>
      </c>
      <c r="M45" s="96" t="s">
        <v>6</v>
      </c>
      <c r="N45" s="96">
        <v>100</v>
      </c>
      <c r="O45" s="111" t="s">
        <v>379</v>
      </c>
      <c r="P45" s="106" t="s">
        <v>339</v>
      </c>
      <c r="Q45" s="106"/>
      <c r="R45" s="106"/>
      <c r="S45" s="106"/>
      <c r="T45" s="106"/>
    </row>
    <row r="46" spans="1:20" ht="15" x14ac:dyDescent="0.4">
      <c r="A46" s="106" t="s">
        <v>319</v>
      </c>
      <c r="B46" s="106">
        <v>41</v>
      </c>
      <c r="C46" s="106" t="s">
        <v>422</v>
      </c>
      <c r="D46" s="93">
        <v>41</v>
      </c>
      <c r="E46" s="123" t="s">
        <v>499</v>
      </c>
      <c r="F46" s="106">
        <v>3</v>
      </c>
      <c r="G46" s="93" t="s">
        <v>619</v>
      </c>
      <c r="H46" s="94" t="s">
        <v>274</v>
      </c>
      <c r="I46" s="171"/>
      <c r="J46" s="95">
        <v>1</v>
      </c>
      <c r="K46" s="96">
        <v>0</v>
      </c>
      <c r="L46" s="96">
        <v>100</v>
      </c>
      <c r="M46" s="96" t="s">
        <v>6</v>
      </c>
      <c r="N46" s="96">
        <v>100</v>
      </c>
      <c r="O46" s="111" t="s">
        <v>379</v>
      </c>
      <c r="P46" s="106" t="s">
        <v>339</v>
      </c>
      <c r="Q46" s="106"/>
      <c r="R46" s="106"/>
      <c r="S46" s="106"/>
      <c r="T46" s="106"/>
    </row>
    <row r="47" spans="1:20" ht="15" x14ac:dyDescent="0.4">
      <c r="A47" s="106" t="s">
        <v>319</v>
      </c>
      <c r="B47" s="106">
        <v>42</v>
      </c>
      <c r="C47" s="106" t="s">
        <v>422</v>
      </c>
      <c r="D47" s="93">
        <v>42</v>
      </c>
      <c r="E47" s="123" t="s">
        <v>499</v>
      </c>
      <c r="F47" s="106">
        <v>4</v>
      </c>
      <c r="G47" s="93" t="s">
        <v>620</v>
      </c>
      <c r="H47" s="94" t="s">
        <v>275</v>
      </c>
      <c r="I47" s="171"/>
      <c r="J47" s="95">
        <v>1</v>
      </c>
      <c r="K47" s="96">
        <v>0</v>
      </c>
      <c r="L47" s="96">
        <v>100</v>
      </c>
      <c r="M47" s="96" t="s">
        <v>6</v>
      </c>
      <c r="N47" s="96">
        <v>100</v>
      </c>
      <c r="O47" s="111" t="s">
        <v>379</v>
      </c>
      <c r="P47" s="106" t="s">
        <v>339</v>
      </c>
      <c r="Q47" s="106"/>
      <c r="R47" s="106"/>
      <c r="S47" s="106"/>
      <c r="T47" s="106"/>
    </row>
    <row r="48" spans="1:20" ht="15" x14ac:dyDescent="0.4">
      <c r="A48" s="106" t="s">
        <v>319</v>
      </c>
      <c r="B48" s="106">
        <v>43</v>
      </c>
      <c r="C48" s="106" t="s">
        <v>422</v>
      </c>
      <c r="D48" s="93">
        <v>43</v>
      </c>
      <c r="E48" s="123" t="s">
        <v>499</v>
      </c>
      <c r="F48" s="106">
        <v>5</v>
      </c>
      <c r="G48" s="93" t="s">
        <v>621</v>
      </c>
      <c r="H48" s="94" t="s">
        <v>276</v>
      </c>
      <c r="I48" s="171"/>
      <c r="J48" s="95">
        <v>1</v>
      </c>
      <c r="K48" s="96">
        <v>0</v>
      </c>
      <c r="L48" s="96">
        <v>100</v>
      </c>
      <c r="M48" s="96" t="s">
        <v>6</v>
      </c>
      <c r="N48" s="96">
        <v>100</v>
      </c>
      <c r="O48" s="111" t="s">
        <v>379</v>
      </c>
      <c r="P48" s="106" t="s">
        <v>339</v>
      </c>
      <c r="Q48" s="106"/>
      <c r="R48" s="106"/>
      <c r="S48" s="106"/>
      <c r="T48" s="106"/>
    </row>
    <row r="49" spans="1:20" ht="15" x14ac:dyDescent="0.4">
      <c r="A49" s="106" t="s">
        <v>319</v>
      </c>
      <c r="B49" s="106">
        <v>44</v>
      </c>
      <c r="C49" s="106" t="s">
        <v>422</v>
      </c>
      <c r="D49" s="93">
        <v>44</v>
      </c>
      <c r="E49" s="123" t="s">
        <v>499</v>
      </c>
      <c r="F49" s="106">
        <v>6</v>
      </c>
      <c r="G49" s="93" t="s">
        <v>622</v>
      </c>
      <c r="H49" s="94" t="s">
        <v>277</v>
      </c>
      <c r="I49" s="171"/>
      <c r="J49" s="95">
        <v>1</v>
      </c>
      <c r="K49" s="96">
        <v>0</v>
      </c>
      <c r="L49" s="96">
        <v>100</v>
      </c>
      <c r="M49" s="96" t="s">
        <v>6</v>
      </c>
      <c r="N49" s="96">
        <v>100</v>
      </c>
      <c r="O49" s="111" t="s">
        <v>379</v>
      </c>
      <c r="P49" s="106" t="s">
        <v>339</v>
      </c>
      <c r="Q49" s="106"/>
      <c r="R49" s="106"/>
      <c r="S49" s="106"/>
      <c r="T49" s="106"/>
    </row>
    <row r="50" spans="1:20" ht="15" x14ac:dyDescent="0.4">
      <c r="A50" s="106" t="s">
        <v>319</v>
      </c>
      <c r="B50" s="106">
        <v>45</v>
      </c>
      <c r="C50" s="106" t="s">
        <v>422</v>
      </c>
      <c r="D50" s="93">
        <v>45</v>
      </c>
      <c r="E50" s="123" t="s">
        <v>499</v>
      </c>
      <c r="F50" s="106">
        <v>7</v>
      </c>
      <c r="G50" s="93" t="s">
        <v>623</v>
      </c>
      <c r="H50" s="94" t="s">
        <v>278</v>
      </c>
      <c r="I50" s="171"/>
      <c r="J50" s="95">
        <v>1</v>
      </c>
      <c r="K50" s="96">
        <v>0</v>
      </c>
      <c r="L50" s="96">
        <v>100</v>
      </c>
      <c r="M50" s="96" t="s">
        <v>6</v>
      </c>
      <c r="N50" s="96">
        <v>100</v>
      </c>
      <c r="O50" s="111" t="s">
        <v>379</v>
      </c>
      <c r="P50" s="106" t="s">
        <v>339</v>
      </c>
      <c r="Q50" s="106"/>
      <c r="R50" s="106"/>
      <c r="S50" s="106"/>
      <c r="T50" s="106"/>
    </row>
    <row r="51" spans="1:20" ht="15" x14ac:dyDescent="0.4">
      <c r="A51" s="106" t="s">
        <v>319</v>
      </c>
      <c r="B51" s="106">
        <v>46</v>
      </c>
      <c r="C51" s="106" t="s">
        <v>422</v>
      </c>
      <c r="D51" s="93">
        <v>46</v>
      </c>
      <c r="E51" s="123" t="s">
        <v>499</v>
      </c>
      <c r="F51" s="106">
        <v>8</v>
      </c>
      <c r="G51" s="93" t="s">
        <v>624</v>
      </c>
      <c r="H51" s="94" t="s">
        <v>279</v>
      </c>
      <c r="I51" s="171"/>
      <c r="J51" s="95">
        <v>1</v>
      </c>
      <c r="K51" s="96">
        <v>0</v>
      </c>
      <c r="L51" s="96">
        <v>100</v>
      </c>
      <c r="M51" s="96" t="s">
        <v>6</v>
      </c>
      <c r="N51" s="96">
        <v>100</v>
      </c>
      <c r="O51" s="111" t="s">
        <v>379</v>
      </c>
      <c r="P51" s="106" t="s">
        <v>339</v>
      </c>
      <c r="Q51" s="106"/>
      <c r="R51" s="106"/>
      <c r="S51" s="106"/>
      <c r="T51" s="106"/>
    </row>
    <row r="52" spans="1:20" ht="15" x14ac:dyDescent="0.4">
      <c r="A52" s="106" t="s">
        <v>319</v>
      </c>
      <c r="B52" s="106">
        <v>47</v>
      </c>
      <c r="C52" s="106" t="s">
        <v>422</v>
      </c>
      <c r="D52" s="93">
        <v>47</v>
      </c>
      <c r="E52" s="123" t="s">
        <v>499</v>
      </c>
      <c r="F52" s="106">
        <v>9</v>
      </c>
      <c r="G52" s="93" t="s">
        <v>625</v>
      </c>
      <c r="H52" s="94" t="s">
        <v>280</v>
      </c>
      <c r="I52" s="171"/>
      <c r="J52" s="95">
        <v>1</v>
      </c>
      <c r="K52" s="96">
        <v>0</v>
      </c>
      <c r="L52" s="96">
        <v>100</v>
      </c>
      <c r="M52" s="96" t="s">
        <v>6</v>
      </c>
      <c r="N52" s="96">
        <v>100</v>
      </c>
      <c r="O52" s="111" t="s">
        <v>379</v>
      </c>
      <c r="P52" s="106" t="s">
        <v>339</v>
      </c>
      <c r="Q52" s="106"/>
      <c r="R52" s="106"/>
      <c r="S52" s="106"/>
      <c r="T52" s="106"/>
    </row>
    <row r="53" spans="1:20" ht="15" x14ac:dyDescent="0.4">
      <c r="A53" s="106" t="s">
        <v>319</v>
      </c>
      <c r="B53" s="106">
        <v>48</v>
      </c>
      <c r="C53" s="106" t="s">
        <v>422</v>
      </c>
      <c r="D53" s="93">
        <v>48</v>
      </c>
      <c r="E53" s="123" t="s">
        <v>499</v>
      </c>
      <c r="F53" s="106">
        <v>10</v>
      </c>
      <c r="G53" s="93" t="s">
        <v>626</v>
      </c>
      <c r="H53" s="94" t="s">
        <v>281</v>
      </c>
      <c r="I53" s="171"/>
      <c r="J53" s="95">
        <v>1</v>
      </c>
      <c r="K53" s="96">
        <v>0</v>
      </c>
      <c r="L53" s="96">
        <v>100</v>
      </c>
      <c r="M53" s="96" t="s">
        <v>6</v>
      </c>
      <c r="N53" s="96">
        <v>100</v>
      </c>
      <c r="O53" s="111" t="s">
        <v>379</v>
      </c>
      <c r="P53" s="106" t="s">
        <v>339</v>
      </c>
      <c r="Q53" s="106"/>
      <c r="R53" s="106"/>
      <c r="S53" s="106"/>
      <c r="T53" s="106"/>
    </row>
    <row r="54" spans="1:20" ht="15" x14ac:dyDescent="0.4">
      <c r="A54" s="106" t="s">
        <v>319</v>
      </c>
      <c r="B54" s="106">
        <v>49</v>
      </c>
      <c r="C54" s="106" t="s">
        <v>422</v>
      </c>
      <c r="D54" s="93">
        <v>49</v>
      </c>
      <c r="E54" s="123" t="s">
        <v>499</v>
      </c>
      <c r="F54" s="106">
        <v>11</v>
      </c>
      <c r="G54" s="93" t="s">
        <v>627</v>
      </c>
      <c r="H54" s="94" t="s">
        <v>282</v>
      </c>
      <c r="I54" s="171"/>
      <c r="J54" s="95">
        <v>1</v>
      </c>
      <c r="K54" s="96">
        <v>0</v>
      </c>
      <c r="L54" s="96">
        <v>100</v>
      </c>
      <c r="M54" s="96" t="s">
        <v>6</v>
      </c>
      <c r="N54" s="96">
        <v>100</v>
      </c>
      <c r="O54" s="111" t="s">
        <v>379</v>
      </c>
      <c r="P54" s="106" t="s">
        <v>339</v>
      </c>
      <c r="Q54" s="106"/>
      <c r="R54" s="106"/>
      <c r="S54" s="106"/>
      <c r="T54" s="106"/>
    </row>
    <row r="55" spans="1:20" ht="15" x14ac:dyDescent="0.4">
      <c r="A55" s="106" t="s">
        <v>319</v>
      </c>
      <c r="B55" s="106">
        <v>50</v>
      </c>
      <c r="C55" s="106" t="s">
        <v>422</v>
      </c>
      <c r="D55" s="93">
        <v>50</v>
      </c>
      <c r="E55" s="122"/>
      <c r="F55" s="106"/>
      <c r="G55" s="93"/>
      <c r="H55" s="94"/>
      <c r="I55" s="98"/>
      <c r="J55" s="95">
        <v>0</v>
      </c>
      <c r="K55" s="96">
        <v>0</v>
      </c>
      <c r="L55" s="96">
        <v>1</v>
      </c>
      <c r="M55" s="96" t="s">
        <v>43</v>
      </c>
      <c r="N55" s="96">
        <v>1</v>
      </c>
      <c r="O55" s="111" t="s">
        <v>6</v>
      </c>
      <c r="P55" s="106" t="s">
        <v>339</v>
      </c>
      <c r="Q55" s="106"/>
      <c r="R55" s="106"/>
      <c r="S55" s="106"/>
      <c r="T55" s="106"/>
    </row>
    <row r="56" spans="1:20" ht="15" x14ac:dyDescent="0.4">
      <c r="A56" s="106" t="s">
        <v>319</v>
      </c>
      <c r="B56" s="106">
        <v>51</v>
      </c>
      <c r="C56" s="106" t="s">
        <v>422</v>
      </c>
      <c r="D56" s="93">
        <v>51</v>
      </c>
      <c r="E56" s="122"/>
      <c r="F56" s="106"/>
      <c r="G56" s="93"/>
      <c r="H56" s="94"/>
      <c r="I56" s="98"/>
      <c r="J56" s="95">
        <v>0</v>
      </c>
      <c r="K56" s="96">
        <v>0</v>
      </c>
      <c r="L56" s="96">
        <v>1</v>
      </c>
      <c r="M56" s="96" t="s">
        <v>43</v>
      </c>
      <c r="N56" s="96">
        <v>1</v>
      </c>
      <c r="O56" s="111" t="s">
        <v>6</v>
      </c>
      <c r="P56" s="106" t="s">
        <v>339</v>
      </c>
      <c r="Q56" s="106"/>
      <c r="R56" s="106"/>
      <c r="S56" s="106"/>
      <c r="T56" s="106"/>
    </row>
    <row r="57" spans="1:20" ht="15" x14ac:dyDescent="0.4">
      <c r="A57" s="106" t="s">
        <v>319</v>
      </c>
      <c r="B57" s="106">
        <v>52</v>
      </c>
      <c r="C57" s="106" t="s">
        <v>422</v>
      </c>
      <c r="D57" s="93">
        <v>52</v>
      </c>
      <c r="E57" s="122"/>
      <c r="F57" s="106"/>
      <c r="G57" s="93"/>
      <c r="H57" s="94"/>
      <c r="I57" s="98"/>
      <c r="J57" s="95">
        <v>0</v>
      </c>
      <c r="K57" s="96">
        <v>0</v>
      </c>
      <c r="L57" s="96">
        <v>1</v>
      </c>
      <c r="M57" s="96" t="s">
        <v>43</v>
      </c>
      <c r="N57" s="96">
        <v>1</v>
      </c>
      <c r="O57" s="111" t="s">
        <v>6</v>
      </c>
      <c r="P57" s="106" t="s">
        <v>339</v>
      </c>
      <c r="Q57" s="106"/>
      <c r="R57" s="106"/>
      <c r="S57" s="106"/>
      <c r="T57" s="106"/>
    </row>
    <row r="58" spans="1:20" ht="15" x14ac:dyDescent="0.4">
      <c r="A58" s="106" t="s">
        <v>319</v>
      </c>
      <c r="B58" s="106">
        <v>53</v>
      </c>
      <c r="C58" s="106" t="s">
        <v>422</v>
      </c>
      <c r="D58" s="93">
        <v>53</v>
      </c>
      <c r="E58" s="122"/>
      <c r="F58" s="106"/>
      <c r="G58" s="93"/>
      <c r="H58" s="94"/>
      <c r="I58" s="98"/>
      <c r="J58" s="95">
        <v>0</v>
      </c>
      <c r="K58" s="96">
        <v>0</v>
      </c>
      <c r="L58" s="96">
        <v>1</v>
      </c>
      <c r="M58" s="96" t="s">
        <v>43</v>
      </c>
      <c r="N58" s="96">
        <v>1</v>
      </c>
      <c r="O58" s="111" t="s">
        <v>6</v>
      </c>
      <c r="P58" s="106" t="s">
        <v>339</v>
      </c>
      <c r="Q58" s="106"/>
      <c r="R58" s="106"/>
      <c r="S58" s="106"/>
      <c r="T58" s="106"/>
    </row>
    <row r="59" spans="1:20" ht="15" x14ac:dyDescent="0.4">
      <c r="A59" s="106" t="s">
        <v>319</v>
      </c>
      <c r="B59" s="106">
        <v>54</v>
      </c>
      <c r="C59" s="106" t="s">
        <v>422</v>
      </c>
      <c r="D59" s="93">
        <v>54</v>
      </c>
      <c r="E59" s="122"/>
      <c r="F59" s="106"/>
      <c r="G59" s="93"/>
      <c r="H59" s="94"/>
      <c r="I59" s="98"/>
      <c r="J59" s="95">
        <v>0</v>
      </c>
      <c r="K59" s="96">
        <v>0</v>
      </c>
      <c r="L59" s="96">
        <v>1</v>
      </c>
      <c r="M59" s="96" t="s">
        <v>43</v>
      </c>
      <c r="N59" s="96">
        <v>1</v>
      </c>
      <c r="O59" s="111" t="s">
        <v>6</v>
      </c>
      <c r="P59" s="106" t="s">
        <v>339</v>
      </c>
      <c r="Q59" s="106"/>
      <c r="R59" s="106"/>
      <c r="S59" s="106"/>
      <c r="T59" s="106"/>
    </row>
    <row r="60" spans="1:20" ht="15" x14ac:dyDescent="0.4">
      <c r="A60" s="106" t="s">
        <v>319</v>
      </c>
      <c r="B60" s="106">
        <v>55</v>
      </c>
      <c r="C60" s="106" t="s">
        <v>422</v>
      </c>
      <c r="D60" s="93">
        <v>55</v>
      </c>
      <c r="E60" s="122"/>
      <c r="F60" s="106"/>
      <c r="G60" s="93"/>
      <c r="H60" s="94"/>
      <c r="I60" s="98"/>
      <c r="J60" s="95">
        <v>0</v>
      </c>
      <c r="K60" s="96">
        <v>0</v>
      </c>
      <c r="L60" s="96">
        <v>1</v>
      </c>
      <c r="M60" s="96" t="s">
        <v>43</v>
      </c>
      <c r="N60" s="96">
        <v>1</v>
      </c>
      <c r="O60" s="111" t="s">
        <v>6</v>
      </c>
      <c r="P60" s="106" t="s">
        <v>339</v>
      </c>
      <c r="Q60" s="106"/>
      <c r="R60" s="106"/>
      <c r="S60" s="106"/>
      <c r="T60" s="106"/>
    </row>
    <row r="61" spans="1:20" ht="15" x14ac:dyDescent="0.4">
      <c r="A61" s="106" t="s">
        <v>319</v>
      </c>
      <c r="B61" s="106">
        <v>56</v>
      </c>
      <c r="C61" s="106" t="s">
        <v>422</v>
      </c>
      <c r="D61" s="93">
        <v>56</v>
      </c>
      <c r="E61" s="122"/>
      <c r="F61" s="106"/>
      <c r="G61" s="93"/>
      <c r="H61" s="94"/>
      <c r="I61" s="98"/>
      <c r="J61" s="95">
        <v>0</v>
      </c>
      <c r="K61" s="96">
        <v>0</v>
      </c>
      <c r="L61" s="96">
        <v>1</v>
      </c>
      <c r="M61" s="96" t="s">
        <v>43</v>
      </c>
      <c r="N61" s="96">
        <v>1</v>
      </c>
      <c r="O61" s="111" t="s">
        <v>6</v>
      </c>
      <c r="P61" s="106" t="s">
        <v>339</v>
      </c>
      <c r="Q61" s="106"/>
      <c r="R61" s="106"/>
      <c r="S61" s="106"/>
      <c r="T61" s="106"/>
    </row>
    <row r="62" spans="1:20" ht="15" x14ac:dyDescent="0.4">
      <c r="A62" s="106" t="s">
        <v>319</v>
      </c>
      <c r="B62" s="106">
        <v>57</v>
      </c>
      <c r="C62" s="106" t="s">
        <v>422</v>
      </c>
      <c r="D62" s="93">
        <v>57</v>
      </c>
      <c r="E62" s="122"/>
      <c r="F62" s="106"/>
      <c r="G62" s="93"/>
      <c r="H62" s="94"/>
      <c r="I62" s="98"/>
      <c r="J62" s="95">
        <v>0</v>
      </c>
      <c r="K62" s="96">
        <v>0</v>
      </c>
      <c r="L62" s="96">
        <v>1</v>
      </c>
      <c r="M62" s="96" t="s">
        <v>43</v>
      </c>
      <c r="N62" s="96">
        <v>1</v>
      </c>
      <c r="O62" s="111" t="s">
        <v>6</v>
      </c>
      <c r="P62" s="106" t="s">
        <v>339</v>
      </c>
      <c r="Q62" s="106"/>
      <c r="R62" s="106"/>
      <c r="S62" s="106"/>
      <c r="T62" s="106"/>
    </row>
    <row r="63" spans="1:20" ht="15" x14ac:dyDescent="0.4">
      <c r="A63" s="106" t="s">
        <v>319</v>
      </c>
      <c r="B63" s="106">
        <v>58</v>
      </c>
      <c r="C63" s="106" t="s">
        <v>422</v>
      </c>
      <c r="D63" s="93">
        <v>58</v>
      </c>
      <c r="E63" s="122"/>
      <c r="F63" s="106"/>
      <c r="G63" s="93"/>
      <c r="H63" s="94"/>
      <c r="I63" s="98"/>
      <c r="J63" s="95">
        <v>0</v>
      </c>
      <c r="K63" s="96">
        <v>0</v>
      </c>
      <c r="L63" s="96">
        <v>1</v>
      </c>
      <c r="M63" s="96" t="s">
        <v>43</v>
      </c>
      <c r="N63" s="96">
        <v>1</v>
      </c>
      <c r="O63" s="111" t="s">
        <v>6</v>
      </c>
      <c r="P63" s="106" t="s">
        <v>339</v>
      </c>
      <c r="Q63" s="106"/>
      <c r="R63" s="106"/>
      <c r="S63" s="106"/>
      <c r="T63" s="106"/>
    </row>
    <row r="64" spans="1:20" ht="15" x14ac:dyDescent="0.4">
      <c r="A64" s="106" t="s">
        <v>319</v>
      </c>
      <c r="B64" s="106">
        <v>59</v>
      </c>
      <c r="C64" s="106" t="s">
        <v>422</v>
      </c>
      <c r="D64" s="93">
        <v>59</v>
      </c>
      <c r="E64" s="122"/>
      <c r="F64" s="106"/>
      <c r="G64" s="93"/>
      <c r="H64" s="94"/>
      <c r="I64" s="98"/>
      <c r="J64" s="95">
        <v>0</v>
      </c>
      <c r="K64" s="96">
        <v>0</v>
      </c>
      <c r="L64" s="96">
        <v>1</v>
      </c>
      <c r="M64" s="96" t="s">
        <v>43</v>
      </c>
      <c r="N64" s="96">
        <v>1</v>
      </c>
      <c r="O64" s="111" t="s">
        <v>6</v>
      </c>
      <c r="P64" s="106" t="s">
        <v>339</v>
      </c>
      <c r="Q64" s="106"/>
      <c r="R64" s="106"/>
      <c r="S64" s="106"/>
      <c r="T64" s="106"/>
    </row>
    <row r="65" spans="1:20" ht="15" hidden="1" x14ac:dyDescent="0.4">
      <c r="A65" s="106" t="s">
        <v>319</v>
      </c>
      <c r="B65" s="106">
        <v>60</v>
      </c>
      <c r="C65" s="106" t="s">
        <v>422</v>
      </c>
      <c r="D65" s="93">
        <v>60</v>
      </c>
      <c r="E65" s="122"/>
      <c r="F65" s="106"/>
      <c r="G65" s="93"/>
      <c r="H65" s="94"/>
      <c r="I65" s="98"/>
      <c r="J65" s="95">
        <v>0</v>
      </c>
      <c r="K65" s="96">
        <v>0</v>
      </c>
      <c r="L65" s="96">
        <v>1</v>
      </c>
      <c r="M65" s="96" t="s">
        <v>43</v>
      </c>
      <c r="N65" s="96">
        <v>1</v>
      </c>
      <c r="O65" s="111" t="s">
        <v>6</v>
      </c>
      <c r="P65" s="106" t="s">
        <v>339</v>
      </c>
      <c r="Q65" s="106"/>
      <c r="R65" s="106"/>
      <c r="S65" s="106"/>
      <c r="T65" s="106"/>
    </row>
    <row r="66" spans="1:20" ht="15" hidden="1" x14ac:dyDescent="0.4">
      <c r="A66" s="106" t="s">
        <v>319</v>
      </c>
      <c r="B66" s="106">
        <v>61</v>
      </c>
      <c r="C66" s="106" t="s">
        <v>422</v>
      </c>
      <c r="D66" s="93">
        <v>61</v>
      </c>
      <c r="E66" s="122"/>
      <c r="F66" s="106"/>
      <c r="G66" s="93"/>
      <c r="H66" s="94"/>
      <c r="I66" s="98"/>
      <c r="J66" s="95">
        <v>0</v>
      </c>
      <c r="K66" s="96">
        <v>0</v>
      </c>
      <c r="L66" s="96">
        <v>1</v>
      </c>
      <c r="M66" s="96" t="s">
        <v>43</v>
      </c>
      <c r="N66" s="96">
        <v>1</v>
      </c>
      <c r="O66" s="111" t="s">
        <v>6</v>
      </c>
      <c r="P66" s="106" t="s">
        <v>339</v>
      </c>
      <c r="Q66" s="106"/>
      <c r="R66" s="106"/>
      <c r="S66" s="106"/>
      <c r="T66" s="106"/>
    </row>
    <row r="67" spans="1:20" ht="15" hidden="1" x14ac:dyDescent="0.4">
      <c r="A67" s="106" t="s">
        <v>319</v>
      </c>
      <c r="B67" s="106">
        <v>62</v>
      </c>
      <c r="C67" s="106" t="s">
        <v>422</v>
      </c>
      <c r="D67" s="93">
        <v>62</v>
      </c>
      <c r="E67" s="122"/>
      <c r="F67" s="106"/>
      <c r="G67" s="93"/>
      <c r="H67" s="94"/>
      <c r="I67" s="98"/>
      <c r="J67" s="95">
        <v>0</v>
      </c>
      <c r="K67" s="96">
        <v>0</v>
      </c>
      <c r="L67" s="96">
        <v>1</v>
      </c>
      <c r="M67" s="96" t="s">
        <v>43</v>
      </c>
      <c r="N67" s="96">
        <v>1</v>
      </c>
      <c r="O67" s="111" t="s">
        <v>6</v>
      </c>
      <c r="P67" s="106" t="s">
        <v>339</v>
      </c>
      <c r="Q67" s="106"/>
      <c r="R67" s="106"/>
      <c r="S67" s="106"/>
      <c r="T67" s="106"/>
    </row>
    <row r="68" spans="1:20" ht="15" hidden="1" x14ac:dyDescent="0.4">
      <c r="A68" s="106" t="s">
        <v>319</v>
      </c>
      <c r="B68" s="106">
        <v>63</v>
      </c>
      <c r="C68" s="106" t="s">
        <v>422</v>
      </c>
      <c r="D68" s="93">
        <v>63</v>
      </c>
      <c r="E68" s="122"/>
      <c r="F68" s="106"/>
      <c r="G68" s="93"/>
      <c r="H68" s="94"/>
      <c r="I68" s="98"/>
      <c r="J68" s="95">
        <v>0</v>
      </c>
      <c r="K68" s="96">
        <v>0</v>
      </c>
      <c r="L68" s="96">
        <v>1</v>
      </c>
      <c r="M68" s="96" t="s">
        <v>43</v>
      </c>
      <c r="N68" s="96">
        <v>1</v>
      </c>
      <c r="O68" s="111" t="s">
        <v>6</v>
      </c>
      <c r="P68" s="106" t="s">
        <v>339</v>
      </c>
      <c r="Q68" s="106"/>
      <c r="R68" s="106"/>
      <c r="S68" s="106"/>
      <c r="T68" s="106"/>
    </row>
    <row r="69" spans="1:20" ht="15" hidden="1" x14ac:dyDescent="0.4">
      <c r="A69" s="106" t="s">
        <v>319</v>
      </c>
      <c r="B69" s="106">
        <v>64</v>
      </c>
      <c r="C69" s="106" t="s">
        <v>422</v>
      </c>
      <c r="D69" s="93">
        <v>64</v>
      </c>
      <c r="E69" s="122"/>
      <c r="F69" s="106"/>
      <c r="G69" s="93"/>
      <c r="H69" s="94"/>
      <c r="I69" s="98"/>
      <c r="J69" s="95">
        <v>0</v>
      </c>
      <c r="K69" s="96">
        <v>0</v>
      </c>
      <c r="L69" s="96">
        <v>1</v>
      </c>
      <c r="M69" s="96" t="s">
        <v>43</v>
      </c>
      <c r="N69" s="96">
        <v>1</v>
      </c>
      <c r="O69" s="111" t="s">
        <v>6</v>
      </c>
      <c r="P69" s="106" t="s">
        <v>339</v>
      </c>
      <c r="Q69" s="106"/>
      <c r="R69" s="106"/>
      <c r="S69" s="106"/>
      <c r="T69" s="106"/>
    </row>
    <row r="70" spans="1:20" ht="15" hidden="1" x14ac:dyDescent="0.4">
      <c r="A70" s="106" t="s">
        <v>319</v>
      </c>
      <c r="B70" s="106">
        <v>65</v>
      </c>
      <c r="C70" s="106" t="s">
        <v>422</v>
      </c>
      <c r="D70" s="93">
        <v>65</v>
      </c>
      <c r="E70" s="122"/>
      <c r="F70" s="106"/>
      <c r="G70" s="93"/>
      <c r="H70" s="94"/>
      <c r="I70" s="98"/>
      <c r="J70" s="95">
        <v>0</v>
      </c>
      <c r="K70" s="96">
        <v>0</v>
      </c>
      <c r="L70" s="96">
        <v>1</v>
      </c>
      <c r="M70" s="96" t="s">
        <v>43</v>
      </c>
      <c r="N70" s="96">
        <v>1</v>
      </c>
      <c r="O70" s="111" t="s">
        <v>6</v>
      </c>
      <c r="P70" s="106" t="s">
        <v>339</v>
      </c>
      <c r="Q70" s="106"/>
      <c r="R70" s="106"/>
      <c r="S70" s="106"/>
      <c r="T70" s="106"/>
    </row>
    <row r="71" spans="1:20" ht="15" hidden="1" x14ac:dyDescent="0.4">
      <c r="A71" s="106" t="s">
        <v>319</v>
      </c>
      <c r="B71" s="106">
        <v>66</v>
      </c>
      <c r="C71" s="106" t="s">
        <v>422</v>
      </c>
      <c r="D71" s="93">
        <v>66</v>
      </c>
      <c r="E71" s="122"/>
      <c r="F71" s="106"/>
      <c r="G71" s="93"/>
      <c r="H71" s="94"/>
      <c r="I71" s="98"/>
      <c r="J71" s="95">
        <v>0</v>
      </c>
      <c r="K71" s="96">
        <v>0</v>
      </c>
      <c r="L71" s="96">
        <v>1</v>
      </c>
      <c r="M71" s="96" t="s">
        <v>43</v>
      </c>
      <c r="N71" s="96">
        <v>1</v>
      </c>
      <c r="O71" s="111" t="s">
        <v>6</v>
      </c>
      <c r="P71" s="106" t="s">
        <v>339</v>
      </c>
      <c r="Q71" s="106"/>
      <c r="R71" s="106"/>
      <c r="S71" s="106"/>
      <c r="T71" s="106"/>
    </row>
    <row r="72" spans="1:20" ht="15" hidden="1" x14ac:dyDescent="0.4">
      <c r="A72" s="106" t="s">
        <v>319</v>
      </c>
      <c r="B72" s="106">
        <v>67</v>
      </c>
      <c r="C72" s="106" t="s">
        <v>422</v>
      </c>
      <c r="D72" s="93">
        <v>67</v>
      </c>
      <c r="E72" s="122"/>
      <c r="F72" s="106"/>
      <c r="G72" s="93"/>
      <c r="H72" s="94"/>
      <c r="I72" s="98"/>
      <c r="J72" s="95">
        <v>0</v>
      </c>
      <c r="K72" s="96">
        <v>0</v>
      </c>
      <c r="L72" s="96">
        <v>1</v>
      </c>
      <c r="M72" s="96" t="s">
        <v>43</v>
      </c>
      <c r="N72" s="96">
        <v>1</v>
      </c>
      <c r="O72" s="111" t="s">
        <v>6</v>
      </c>
      <c r="P72" s="106" t="s">
        <v>339</v>
      </c>
      <c r="Q72" s="106"/>
      <c r="R72" s="106"/>
      <c r="S72" s="106"/>
      <c r="T72" s="106"/>
    </row>
    <row r="73" spans="1:20" ht="15" hidden="1" x14ac:dyDescent="0.4">
      <c r="A73" s="106" t="s">
        <v>319</v>
      </c>
      <c r="B73" s="106">
        <v>68</v>
      </c>
      <c r="C73" s="106" t="s">
        <v>422</v>
      </c>
      <c r="D73" s="93">
        <v>68</v>
      </c>
      <c r="E73" s="122"/>
      <c r="F73" s="106"/>
      <c r="G73" s="93"/>
      <c r="H73" s="94"/>
      <c r="I73" s="98"/>
      <c r="J73" s="95">
        <v>0</v>
      </c>
      <c r="K73" s="96">
        <v>0</v>
      </c>
      <c r="L73" s="96">
        <v>1</v>
      </c>
      <c r="M73" s="96" t="s">
        <v>43</v>
      </c>
      <c r="N73" s="96">
        <v>1</v>
      </c>
      <c r="O73" s="111" t="s">
        <v>6</v>
      </c>
      <c r="P73" s="106" t="s">
        <v>339</v>
      </c>
      <c r="Q73" s="106"/>
      <c r="R73" s="106"/>
      <c r="S73" s="106"/>
      <c r="T73" s="106"/>
    </row>
    <row r="74" spans="1:20" ht="15" hidden="1" x14ac:dyDescent="0.4">
      <c r="A74" s="106" t="s">
        <v>319</v>
      </c>
      <c r="B74" s="106">
        <v>69</v>
      </c>
      <c r="C74" s="106" t="s">
        <v>422</v>
      </c>
      <c r="D74" s="93">
        <v>69</v>
      </c>
      <c r="E74" s="122"/>
      <c r="F74" s="106"/>
      <c r="G74" s="93"/>
      <c r="H74" s="94"/>
      <c r="I74" s="98"/>
      <c r="J74" s="95">
        <v>0</v>
      </c>
      <c r="K74" s="96">
        <v>0</v>
      </c>
      <c r="L74" s="96">
        <v>1</v>
      </c>
      <c r="M74" s="96" t="s">
        <v>43</v>
      </c>
      <c r="N74" s="96">
        <v>1</v>
      </c>
      <c r="O74" s="111" t="s">
        <v>6</v>
      </c>
      <c r="P74" s="106" t="s">
        <v>339</v>
      </c>
      <c r="Q74" s="106"/>
      <c r="R74" s="106"/>
      <c r="S74" s="106"/>
      <c r="T74" s="106"/>
    </row>
    <row r="75" spans="1:20" ht="17.399999999999999" hidden="1" customHeight="1" x14ac:dyDescent="0.4">
      <c r="A75" s="106" t="s">
        <v>319</v>
      </c>
      <c r="B75" s="106">
        <v>70</v>
      </c>
      <c r="C75" s="106" t="s">
        <v>422</v>
      </c>
      <c r="D75" s="93">
        <v>70</v>
      </c>
      <c r="E75" s="122"/>
      <c r="F75" s="106"/>
      <c r="G75" s="93"/>
      <c r="H75" s="94"/>
      <c r="I75" s="98"/>
      <c r="J75" s="95">
        <v>0</v>
      </c>
      <c r="K75" s="96">
        <v>0</v>
      </c>
      <c r="L75" s="96">
        <v>1</v>
      </c>
      <c r="M75" s="96" t="s">
        <v>43</v>
      </c>
      <c r="N75" s="96">
        <v>1</v>
      </c>
      <c r="O75" s="111" t="s">
        <v>6</v>
      </c>
      <c r="P75" s="106" t="s">
        <v>339</v>
      </c>
      <c r="Q75" s="106"/>
      <c r="R75" s="106"/>
      <c r="S75" s="106"/>
      <c r="T75" s="106"/>
    </row>
    <row r="76" spans="1:20" ht="17.399999999999999" hidden="1" customHeight="1" x14ac:dyDescent="0.4">
      <c r="A76" s="106" t="s">
        <v>319</v>
      </c>
      <c r="B76" s="106">
        <v>71</v>
      </c>
      <c r="C76" s="106" t="s">
        <v>422</v>
      </c>
      <c r="D76" s="93">
        <v>71</v>
      </c>
      <c r="E76" s="122"/>
      <c r="F76" s="106"/>
      <c r="G76" s="93"/>
      <c r="H76" s="94"/>
      <c r="I76" s="98"/>
      <c r="J76" s="95">
        <v>0</v>
      </c>
      <c r="K76" s="96">
        <v>0</v>
      </c>
      <c r="L76" s="96">
        <v>1</v>
      </c>
      <c r="M76" s="96" t="s">
        <v>43</v>
      </c>
      <c r="N76" s="96">
        <v>1</v>
      </c>
      <c r="O76" s="111" t="s">
        <v>6</v>
      </c>
      <c r="P76" s="106" t="s">
        <v>339</v>
      </c>
      <c r="Q76" s="106"/>
      <c r="R76" s="106"/>
      <c r="S76" s="106"/>
      <c r="T76" s="106"/>
    </row>
    <row r="77" spans="1:20" ht="17.399999999999999" hidden="1" customHeight="1" x14ac:dyDescent="0.4">
      <c r="A77" s="106" t="s">
        <v>319</v>
      </c>
      <c r="B77" s="106">
        <v>72</v>
      </c>
      <c r="C77" s="106" t="s">
        <v>422</v>
      </c>
      <c r="D77" s="93">
        <v>72</v>
      </c>
      <c r="E77" s="122"/>
      <c r="F77" s="106"/>
      <c r="G77" s="93"/>
      <c r="H77" s="94"/>
      <c r="I77" s="98"/>
      <c r="J77" s="95">
        <v>0</v>
      </c>
      <c r="K77" s="96">
        <v>0</v>
      </c>
      <c r="L77" s="96">
        <v>1</v>
      </c>
      <c r="M77" s="96" t="s">
        <v>43</v>
      </c>
      <c r="N77" s="96">
        <v>1</v>
      </c>
      <c r="O77" s="111" t="s">
        <v>6</v>
      </c>
      <c r="P77" s="106" t="s">
        <v>339</v>
      </c>
      <c r="Q77" s="106"/>
      <c r="R77" s="106"/>
      <c r="S77" s="106"/>
      <c r="T77" s="106"/>
    </row>
    <row r="78" spans="1:20" ht="17.399999999999999" hidden="1" customHeight="1" x14ac:dyDescent="0.4">
      <c r="A78" s="106" t="s">
        <v>319</v>
      </c>
      <c r="B78" s="106">
        <v>73</v>
      </c>
      <c r="C78" s="106" t="s">
        <v>422</v>
      </c>
      <c r="D78" s="93">
        <v>73</v>
      </c>
      <c r="E78" s="122"/>
      <c r="F78" s="106"/>
      <c r="G78" s="93"/>
      <c r="H78" s="94"/>
      <c r="I78" s="98"/>
      <c r="J78" s="95">
        <v>0</v>
      </c>
      <c r="K78" s="96">
        <v>0</v>
      </c>
      <c r="L78" s="96">
        <v>1</v>
      </c>
      <c r="M78" s="96" t="s">
        <v>43</v>
      </c>
      <c r="N78" s="96">
        <v>1</v>
      </c>
      <c r="O78" s="111" t="s">
        <v>6</v>
      </c>
      <c r="P78" s="106" t="s">
        <v>339</v>
      </c>
      <c r="Q78" s="106"/>
      <c r="R78" s="106"/>
      <c r="S78" s="106"/>
      <c r="T78" s="106"/>
    </row>
    <row r="79" spans="1:20" ht="17.399999999999999" hidden="1" customHeight="1" x14ac:dyDescent="0.4">
      <c r="A79" s="106" t="s">
        <v>319</v>
      </c>
      <c r="B79" s="106">
        <v>74</v>
      </c>
      <c r="C79" s="106" t="s">
        <v>422</v>
      </c>
      <c r="D79" s="93">
        <v>74</v>
      </c>
      <c r="E79" s="122"/>
      <c r="F79" s="106"/>
      <c r="G79" s="93"/>
      <c r="H79" s="94"/>
      <c r="I79" s="98"/>
      <c r="J79" s="95">
        <v>0</v>
      </c>
      <c r="K79" s="96">
        <v>0</v>
      </c>
      <c r="L79" s="96">
        <v>1</v>
      </c>
      <c r="M79" s="96" t="s">
        <v>43</v>
      </c>
      <c r="N79" s="96">
        <v>1</v>
      </c>
      <c r="O79" s="111" t="s">
        <v>6</v>
      </c>
      <c r="P79" s="106" t="s">
        <v>339</v>
      </c>
      <c r="Q79" s="106"/>
      <c r="R79" s="106"/>
      <c r="S79" s="106"/>
      <c r="T79" s="106"/>
    </row>
    <row r="80" spans="1:20" ht="17.399999999999999" hidden="1" customHeight="1" x14ac:dyDescent="0.4">
      <c r="A80" s="106" t="s">
        <v>319</v>
      </c>
      <c r="B80" s="106">
        <v>75</v>
      </c>
      <c r="C80" s="106" t="s">
        <v>422</v>
      </c>
      <c r="D80" s="93">
        <v>75</v>
      </c>
      <c r="E80" s="122"/>
      <c r="F80" s="106"/>
      <c r="G80" s="93"/>
      <c r="H80" s="94"/>
      <c r="I80" s="98"/>
      <c r="J80" s="95">
        <v>0</v>
      </c>
      <c r="K80" s="96">
        <v>0</v>
      </c>
      <c r="L80" s="96">
        <v>1</v>
      </c>
      <c r="M80" s="96" t="s">
        <v>43</v>
      </c>
      <c r="N80" s="96">
        <v>1</v>
      </c>
      <c r="O80" s="111" t="s">
        <v>6</v>
      </c>
      <c r="P80" s="106" t="s">
        <v>339</v>
      </c>
      <c r="Q80" s="106"/>
      <c r="R80" s="106"/>
      <c r="S80" s="106"/>
      <c r="T80" s="106"/>
    </row>
    <row r="81" spans="1:20" ht="17.399999999999999" hidden="1" customHeight="1" x14ac:dyDescent="0.4">
      <c r="A81" s="106" t="s">
        <v>319</v>
      </c>
      <c r="B81" s="106">
        <v>76</v>
      </c>
      <c r="C81" s="106" t="s">
        <v>422</v>
      </c>
      <c r="D81" s="93">
        <v>76</v>
      </c>
      <c r="E81" s="122"/>
      <c r="F81" s="106"/>
      <c r="G81" s="93"/>
      <c r="H81" s="94"/>
      <c r="I81" s="98"/>
      <c r="J81" s="95">
        <v>0</v>
      </c>
      <c r="K81" s="96">
        <v>0</v>
      </c>
      <c r="L81" s="96">
        <v>1</v>
      </c>
      <c r="M81" s="96" t="s">
        <v>43</v>
      </c>
      <c r="N81" s="96">
        <v>1</v>
      </c>
      <c r="O81" s="111" t="s">
        <v>6</v>
      </c>
      <c r="P81" s="106" t="s">
        <v>339</v>
      </c>
      <c r="Q81" s="106"/>
      <c r="R81" s="106"/>
      <c r="S81" s="106"/>
      <c r="T81" s="106"/>
    </row>
    <row r="82" spans="1:20" ht="17.399999999999999" hidden="1" customHeight="1" x14ac:dyDescent="0.4">
      <c r="A82" s="106" t="s">
        <v>319</v>
      </c>
      <c r="B82" s="106">
        <v>77</v>
      </c>
      <c r="C82" s="106" t="s">
        <v>422</v>
      </c>
      <c r="D82" s="93">
        <v>77</v>
      </c>
      <c r="E82" s="122"/>
      <c r="F82" s="106"/>
      <c r="G82" s="93"/>
      <c r="H82" s="94"/>
      <c r="I82" s="98"/>
      <c r="J82" s="95">
        <v>0</v>
      </c>
      <c r="K82" s="96">
        <v>0</v>
      </c>
      <c r="L82" s="96">
        <v>1</v>
      </c>
      <c r="M82" s="96" t="s">
        <v>43</v>
      </c>
      <c r="N82" s="96">
        <v>1</v>
      </c>
      <c r="O82" s="111" t="s">
        <v>6</v>
      </c>
      <c r="P82" s="106" t="s">
        <v>339</v>
      </c>
      <c r="Q82" s="106"/>
      <c r="R82" s="106"/>
      <c r="S82" s="106"/>
      <c r="T82" s="106"/>
    </row>
    <row r="83" spans="1:20" ht="17.399999999999999" hidden="1" customHeight="1" x14ac:dyDescent="0.4">
      <c r="A83" s="106" t="s">
        <v>319</v>
      </c>
      <c r="B83" s="106">
        <v>78</v>
      </c>
      <c r="C83" s="106" t="s">
        <v>422</v>
      </c>
      <c r="D83" s="93">
        <v>78</v>
      </c>
      <c r="E83" s="122"/>
      <c r="F83" s="106"/>
      <c r="G83" s="93"/>
      <c r="H83" s="94"/>
      <c r="I83" s="98"/>
      <c r="J83" s="95">
        <v>0</v>
      </c>
      <c r="K83" s="96">
        <v>0</v>
      </c>
      <c r="L83" s="96">
        <v>1</v>
      </c>
      <c r="M83" s="96" t="s">
        <v>43</v>
      </c>
      <c r="N83" s="96">
        <v>1</v>
      </c>
      <c r="O83" s="111" t="s">
        <v>6</v>
      </c>
      <c r="P83" s="106" t="s">
        <v>339</v>
      </c>
      <c r="Q83" s="106"/>
      <c r="R83" s="106"/>
      <c r="S83" s="106"/>
      <c r="T83" s="106"/>
    </row>
    <row r="84" spans="1:20" ht="17.399999999999999" hidden="1" customHeight="1" x14ac:dyDescent="0.4">
      <c r="A84" s="106" t="s">
        <v>319</v>
      </c>
      <c r="B84" s="106">
        <v>79</v>
      </c>
      <c r="C84" s="106" t="s">
        <v>422</v>
      </c>
      <c r="D84" s="93">
        <v>79</v>
      </c>
      <c r="E84" s="122"/>
      <c r="F84" s="106"/>
      <c r="G84" s="93"/>
      <c r="H84" s="94"/>
      <c r="I84" s="98"/>
      <c r="J84" s="95">
        <v>0</v>
      </c>
      <c r="K84" s="96">
        <v>0</v>
      </c>
      <c r="L84" s="96">
        <v>1</v>
      </c>
      <c r="M84" s="96" t="s">
        <v>43</v>
      </c>
      <c r="N84" s="96">
        <v>1</v>
      </c>
      <c r="O84" s="111" t="s">
        <v>6</v>
      </c>
      <c r="P84" s="106" t="s">
        <v>339</v>
      </c>
      <c r="Q84" s="106"/>
      <c r="R84" s="106"/>
      <c r="S84" s="106"/>
      <c r="T84" s="106"/>
    </row>
    <row r="85" spans="1:20" ht="17.399999999999999" hidden="1" customHeight="1" x14ac:dyDescent="0.4">
      <c r="A85" s="106" t="s">
        <v>319</v>
      </c>
      <c r="B85" s="106">
        <v>80</v>
      </c>
      <c r="C85" s="106" t="s">
        <v>422</v>
      </c>
      <c r="D85" s="93">
        <v>80</v>
      </c>
      <c r="E85" s="122"/>
      <c r="F85" s="106"/>
      <c r="G85" s="93"/>
      <c r="H85" s="94"/>
      <c r="I85" s="98"/>
      <c r="J85" s="95">
        <v>0</v>
      </c>
      <c r="K85" s="96">
        <v>0</v>
      </c>
      <c r="L85" s="96">
        <v>1</v>
      </c>
      <c r="M85" s="96" t="s">
        <v>43</v>
      </c>
      <c r="N85" s="96">
        <v>1</v>
      </c>
      <c r="O85" s="111" t="s">
        <v>6</v>
      </c>
      <c r="P85" s="106" t="s">
        <v>339</v>
      </c>
      <c r="Q85" s="106"/>
      <c r="R85" s="106"/>
      <c r="S85" s="106"/>
      <c r="T85" s="106"/>
    </row>
    <row r="86" spans="1:20" ht="17.399999999999999" hidden="1" customHeight="1" x14ac:dyDescent="0.4">
      <c r="A86" s="106" t="s">
        <v>319</v>
      </c>
      <c r="B86" s="106">
        <v>81</v>
      </c>
      <c r="C86" s="106" t="s">
        <v>422</v>
      </c>
      <c r="D86" s="93">
        <v>81</v>
      </c>
      <c r="E86" s="122"/>
      <c r="F86" s="106"/>
      <c r="G86" s="93"/>
      <c r="H86" s="94"/>
      <c r="I86" s="98"/>
      <c r="J86" s="95">
        <v>0</v>
      </c>
      <c r="K86" s="96">
        <v>0</v>
      </c>
      <c r="L86" s="96">
        <v>1</v>
      </c>
      <c r="M86" s="96" t="s">
        <v>43</v>
      </c>
      <c r="N86" s="96">
        <v>1</v>
      </c>
      <c r="O86" s="111" t="s">
        <v>6</v>
      </c>
      <c r="P86" s="106" t="s">
        <v>339</v>
      </c>
      <c r="Q86" s="106"/>
      <c r="R86" s="106"/>
      <c r="S86" s="106"/>
      <c r="T86" s="106"/>
    </row>
    <row r="87" spans="1:20" ht="17.399999999999999" hidden="1" customHeight="1" x14ac:dyDescent="0.4">
      <c r="A87" s="106" t="s">
        <v>319</v>
      </c>
      <c r="B87" s="106">
        <v>82</v>
      </c>
      <c r="C87" s="106" t="s">
        <v>422</v>
      </c>
      <c r="D87" s="93">
        <v>82</v>
      </c>
      <c r="E87" s="122"/>
      <c r="F87" s="106"/>
      <c r="G87" s="93"/>
      <c r="H87" s="94"/>
      <c r="I87" s="98"/>
      <c r="J87" s="95">
        <v>0</v>
      </c>
      <c r="K87" s="96">
        <v>0</v>
      </c>
      <c r="L87" s="96">
        <v>1</v>
      </c>
      <c r="M87" s="96" t="s">
        <v>43</v>
      </c>
      <c r="N87" s="96">
        <v>1</v>
      </c>
      <c r="O87" s="111" t="s">
        <v>6</v>
      </c>
      <c r="P87" s="106" t="s">
        <v>339</v>
      </c>
      <c r="Q87" s="106"/>
      <c r="R87" s="106"/>
      <c r="S87" s="106"/>
      <c r="T87" s="106"/>
    </row>
    <row r="88" spans="1:20" ht="17.399999999999999" hidden="1" customHeight="1" x14ac:dyDescent="0.4">
      <c r="A88" s="106" t="s">
        <v>319</v>
      </c>
      <c r="B88" s="106">
        <v>83</v>
      </c>
      <c r="C88" s="106" t="s">
        <v>422</v>
      </c>
      <c r="D88" s="93">
        <v>83</v>
      </c>
      <c r="E88" s="122"/>
      <c r="F88" s="106"/>
      <c r="G88" s="93"/>
      <c r="H88" s="94"/>
      <c r="I88" s="98"/>
      <c r="J88" s="95">
        <v>0</v>
      </c>
      <c r="K88" s="96">
        <v>0</v>
      </c>
      <c r="L88" s="96">
        <v>1</v>
      </c>
      <c r="M88" s="96" t="s">
        <v>43</v>
      </c>
      <c r="N88" s="96">
        <v>1</v>
      </c>
      <c r="O88" s="111" t="s">
        <v>6</v>
      </c>
      <c r="P88" s="106" t="s">
        <v>339</v>
      </c>
      <c r="Q88" s="106"/>
      <c r="R88" s="106"/>
      <c r="S88" s="106"/>
      <c r="T88" s="106"/>
    </row>
    <row r="89" spans="1:20" ht="17.399999999999999" hidden="1" customHeight="1" x14ac:dyDescent="0.4">
      <c r="A89" s="106" t="s">
        <v>319</v>
      </c>
      <c r="B89" s="106">
        <v>84</v>
      </c>
      <c r="C89" s="106" t="s">
        <v>422</v>
      </c>
      <c r="D89" s="93">
        <v>84</v>
      </c>
      <c r="E89" s="122"/>
      <c r="F89" s="106"/>
      <c r="G89" s="93"/>
      <c r="H89" s="94"/>
      <c r="I89" s="98"/>
      <c r="J89" s="95">
        <v>0</v>
      </c>
      <c r="K89" s="96">
        <v>0</v>
      </c>
      <c r="L89" s="96">
        <v>1</v>
      </c>
      <c r="M89" s="96" t="s">
        <v>43</v>
      </c>
      <c r="N89" s="96">
        <v>1</v>
      </c>
      <c r="O89" s="111" t="s">
        <v>6</v>
      </c>
      <c r="P89" s="106" t="s">
        <v>339</v>
      </c>
      <c r="Q89" s="106"/>
      <c r="R89" s="106"/>
      <c r="S89" s="106"/>
      <c r="T89" s="106"/>
    </row>
    <row r="90" spans="1:20" ht="17.399999999999999" hidden="1" customHeight="1" x14ac:dyDescent="0.4">
      <c r="A90" s="106" t="s">
        <v>319</v>
      </c>
      <c r="B90" s="106">
        <v>85</v>
      </c>
      <c r="C90" s="106" t="s">
        <v>422</v>
      </c>
      <c r="D90" s="93">
        <v>85</v>
      </c>
      <c r="E90" s="122"/>
      <c r="F90" s="106"/>
      <c r="G90" s="93"/>
      <c r="H90" s="94"/>
      <c r="I90" s="98"/>
      <c r="J90" s="95">
        <v>0</v>
      </c>
      <c r="K90" s="96">
        <v>0</v>
      </c>
      <c r="L90" s="96">
        <v>1</v>
      </c>
      <c r="M90" s="96" t="s">
        <v>43</v>
      </c>
      <c r="N90" s="96">
        <v>1</v>
      </c>
      <c r="O90" s="111" t="s">
        <v>6</v>
      </c>
      <c r="P90" s="106" t="s">
        <v>339</v>
      </c>
      <c r="Q90" s="106"/>
      <c r="R90" s="106"/>
      <c r="S90" s="106"/>
      <c r="T90" s="106"/>
    </row>
    <row r="91" spans="1:20" ht="17.399999999999999" hidden="1" customHeight="1" x14ac:dyDescent="0.4">
      <c r="A91" s="106" t="s">
        <v>319</v>
      </c>
      <c r="B91" s="106">
        <v>86</v>
      </c>
      <c r="C91" s="106" t="s">
        <v>422</v>
      </c>
      <c r="D91" s="93">
        <v>86</v>
      </c>
      <c r="E91" s="122"/>
      <c r="F91" s="106"/>
      <c r="G91" s="93"/>
      <c r="H91" s="94"/>
      <c r="I91" s="98"/>
      <c r="J91" s="95">
        <v>0</v>
      </c>
      <c r="K91" s="96">
        <v>0</v>
      </c>
      <c r="L91" s="96">
        <v>1</v>
      </c>
      <c r="M91" s="96" t="s">
        <v>43</v>
      </c>
      <c r="N91" s="96">
        <v>1</v>
      </c>
      <c r="O91" s="111" t="s">
        <v>6</v>
      </c>
      <c r="P91" s="106" t="s">
        <v>339</v>
      </c>
      <c r="Q91" s="106"/>
      <c r="R91" s="106"/>
      <c r="S91" s="106"/>
      <c r="T91" s="106"/>
    </row>
    <row r="92" spans="1:20" ht="17.399999999999999" hidden="1" customHeight="1" x14ac:dyDescent="0.4">
      <c r="A92" s="106" t="s">
        <v>319</v>
      </c>
      <c r="B92" s="106">
        <v>87</v>
      </c>
      <c r="C92" s="106" t="s">
        <v>422</v>
      </c>
      <c r="D92" s="93">
        <v>87</v>
      </c>
      <c r="E92" s="122"/>
      <c r="F92" s="106"/>
      <c r="G92" s="93"/>
      <c r="H92" s="94"/>
      <c r="I92" s="98"/>
      <c r="J92" s="95">
        <v>0</v>
      </c>
      <c r="K92" s="96">
        <v>0</v>
      </c>
      <c r="L92" s="96">
        <v>1</v>
      </c>
      <c r="M92" s="96" t="s">
        <v>43</v>
      </c>
      <c r="N92" s="96">
        <v>1</v>
      </c>
      <c r="O92" s="111" t="s">
        <v>6</v>
      </c>
      <c r="P92" s="106" t="s">
        <v>339</v>
      </c>
      <c r="Q92" s="106"/>
      <c r="R92" s="106"/>
      <c r="S92" s="106"/>
      <c r="T92" s="106"/>
    </row>
    <row r="93" spans="1:20" ht="17.399999999999999" hidden="1" customHeight="1" x14ac:dyDescent="0.4">
      <c r="A93" s="106" t="s">
        <v>319</v>
      </c>
      <c r="B93" s="106">
        <v>88</v>
      </c>
      <c r="C93" s="106" t="s">
        <v>422</v>
      </c>
      <c r="D93" s="93">
        <v>88</v>
      </c>
      <c r="E93" s="122"/>
      <c r="F93" s="106"/>
      <c r="G93" s="93"/>
      <c r="H93" s="94"/>
      <c r="I93" s="98"/>
      <c r="J93" s="95">
        <v>0</v>
      </c>
      <c r="K93" s="96">
        <v>0</v>
      </c>
      <c r="L93" s="96">
        <v>1</v>
      </c>
      <c r="M93" s="96" t="s">
        <v>43</v>
      </c>
      <c r="N93" s="96">
        <v>1</v>
      </c>
      <c r="O93" s="111" t="s">
        <v>6</v>
      </c>
      <c r="P93" s="106" t="s">
        <v>339</v>
      </c>
      <c r="Q93" s="106"/>
      <c r="R93" s="106"/>
      <c r="S93" s="106"/>
      <c r="T93" s="106"/>
    </row>
    <row r="94" spans="1:20" ht="15" hidden="1" x14ac:dyDescent="0.4">
      <c r="A94" s="106" t="s">
        <v>319</v>
      </c>
      <c r="B94" s="106">
        <v>89</v>
      </c>
      <c r="C94" s="106" t="s">
        <v>422</v>
      </c>
      <c r="D94" s="93">
        <v>89</v>
      </c>
      <c r="E94" s="122"/>
      <c r="F94" s="106"/>
      <c r="G94" s="93"/>
      <c r="H94" s="94"/>
      <c r="I94" s="98"/>
      <c r="J94" s="95">
        <v>0</v>
      </c>
      <c r="K94" s="96">
        <v>0</v>
      </c>
      <c r="L94" s="96">
        <v>1</v>
      </c>
      <c r="M94" s="96" t="s">
        <v>43</v>
      </c>
      <c r="N94" s="96">
        <v>1</v>
      </c>
      <c r="O94" s="111" t="s">
        <v>6</v>
      </c>
      <c r="P94" s="106" t="s">
        <v>339</v>
      </c>
      <c r="Q94" s="106"/>
      <c r="R94" s="106"/>
      <c r="S94" s="106"/>
      <c r="T94" s="106"/>
    </row>
    <row r="95" spans="1:20" ht="15" hidden="1" x14ac:dyDescent="0.4">
      <c r="A95" s="106" t="s">
        <v>319</v>
      </c>
      <c r="B95" s="106">
        <v>90</v>
      </c>
      <c r="C95" s="106" t="s">
        <v>422</v>
      </c>
      <c r="D95" s="93">
        <v>90</v>
      </c>
      <c r="E95" s="122"/>
      <c r="F95" s="106"/>
      <c r="G95" s="93"/>
      <c r="H95" s="94"/>
      <c r="I95" s="98"/>
      <c r="J95" s="95">
        <v>0</v>
      </c>
      <c r="K95" s="96">
        <v>0</v>
      </c>
      <c r="L95" s="96">
        <v>1</v>
      </c>
      <c r="M95" s="96" t="s">
        <v>43</v>
      </c>
      <c r="N95" s="96">
        <v>1</v>
      </c>
      <c r="O95" s="111" t="s">
        <v>6</v>
      </c>
      <c r="P95" s="106" t="s">
        <v>339</v>
      </c>
      <c r="Q95" s="106"/>
      <c r="R95" s="106"/>
      <c r="S95" s="106"/>
      <c r="T95" s="106"/>
    </row>
    <row r="96" spans="1:20" ht="15" hidden="1" x14ac:dyDescent="0.4">
      <c r="A96" s="106" t="s">
        <v>319</v>
      </c>
      <c r="B96" s="106">
        <v>91</v>
      </c>
      <c r="C96" s="106" t="s">
        <v>422</v>
      </c>
      <c r="D96" s="93">
        <v>91</v>
      </c>
      <c r="E96" s="122"/>
      <c r="F96" s="106"/>
      <c r="G96" s="93"/>
      <c r="H96" s="94"/>
      <c r="I96" s="98"/>
      <c r="J96" s="95">
        <v>0</v>
      </c>
      <c r="K96" s="96">
        <v>0</v>
      </c>
      <c r="L96" s="96">
        <v>1</v>
      </c>
      <c r="M96" s="96" t="s">
        <v>43</v>
      </c>
      <c r="N96" s="96">
        <v>1</v>
      </c>
      <c r="O96" s="111" t="s">
        <v>6</v>
      </c>
      <c r="P96" s="106" t="s">
        <v>339</v>
      </c>
      <c r="Q96" s="106"/>
      <c r="R96" s="106"/>
      <c r="S96" s="106"/>
      <c r="T96" s="106"/>
    </row>
    <row r="97" spans="1:20" ht="15" hidden="1" x14ac:dyDescent="0.4">
      <c r="A97" s="106" t="s">
        <v>319</v>
      </c>
      <c r="B97" s="106">
        <v>92</v>
      </c>
      <c r="C97" s="106" t="s">
        <v>422</v>
      </c>
      <c r="D97" s="93">
        <v>92</v>
      </c>
      <c r="E97" s="122"/>
      <c r="F97" s="106"/>
      <c r="G97" s="93"/>
      <c r="H97" s="94"/>
      <c r="I97" s="98"/>
      <c r="J97" s="95">
        <v>0</v>
      </c>
      <c r="K97" s="96">
        <v>0</v>
      </c>
      <c r="L97" s="96">
        <v>1</v>
      </c>
      <c r="M97" s="96" t="s">
        <v>43</v>
      </c>
      <c r="N97" s="96">
        <v>1</v>
      </c>
      <c r="O97" s="111" t="s">
        <v>6</v>
      </c>
      <c r="P97" s="106" t="s">
        <v>339</v>
      </c>
      <c r="Q97" s="106"/>
      <c r="R97" s="106"/>
      <c r="S97" s="106"/>
      <c r="T97" s="106"/>
    </row>
    <row r="98" spans="1:20" ht="15" hidden="1" x14ac:dyDescent="0.4">
      <c r="A98" s="106" t="s">
        <v>319</v>
      </c>
      <c r="B98" s="106">
        <v>93</v>
      </c>
      <c r="C98" s="106" t="s">
        <v>422</v>
      </c>
      <c r="D98" s="93">
        <v>93</v>
      </c>
      <c r="E98" s="122"/>
      <c r="F98" s="106"/>
      <c r="G98" s="93"/>
      <c r="H98" s="94"/>
      <c r="I98" s="98"/>
      <c r="J98" s="95">
        <v>0</v>
      </c>
      <c r="K98" s="96">
        <v>0</v>
      </c>
      <c r="L98" s="96">
        <v>1</v>
      </c>
      <c r="M98" s="96" t="s">
        <v>43</v>
      </c>
      <c r="N98" s="96">
        <v>1</v>
      </c>
      <c r="O98" s="111" t="s">
        <v>6</v>
      </c>
      <c r="P98" s="106" t="s">
        <v>339</v>
      </c>
      <c r="Q98" s="106"/>
      <c r="R98" s="106"/>
      <c r="S98" s="106"/>
      <c r="T98" s="106"/>
    </row>
    <row r="99" spans="1:20" ht="15" hidden="1" x14ac:dyDescent="0.4">
      <c r="A99" s="106" t="s">
        <v>319</v>
      </c>
      <c r="B99" s="106">
        <v>94</v>
      </c>
      <c r="C99" s="106" t="s">
        <v>422</v>
      </c>
      <c r="D99" s="93">
        <v>94</v>
      </c>
      <c r="E99" s="122"/>
      <c r="F99" s="106"/>
      <c r="G99" s="93"/>
      <c r="H99" s="94"/>
      <c r="I99" s="98"/>
      <c r="J99" s="95">
        <v>0</v>
      </c>
      <c r="K99" s="96">
        <v>0</v>
      </c>
      <c r="L99" s="96">
        <v>1</v>
      </c>
      <c r="M99" s="96" t="s">
        <v>43</v>
      </c>
      <c r="N99" s="96">
        <v>1</v>
      </c>
      <c r="O99" s="111" t="s">
        <v>6</v>
      </c>
      <c r="P99" s="106" t="s">
        <v>339</v>
      </c>
      <c r="Q99" s="106"/>
      <c r="R99" s="106"/>
      <c r="S99" s="106"/>
      <c r="T99" s="106"/>
    </row>
    <row r="100" spans="1:20" ht="15" hidden="1" x14ac:dyDescent="0.4">
      <c r="A100" s="106" t="s">
        <v>319</v>
      </c>
      <c r="B100" s="106">
        <v>95</v>
      </c>
      <c r="C100" s="106" t="s">
        <v>422</v>
      </c>
      <c r="D100" s="93">
        <v>95</v>
      </c>
      <c r="E100" s="122"/>
      <c r="F100" s="106"/>
      <c r="G100" s="93"/>
      <c r="H100" s="94"/>
      <c r="I100" s="98"/>
      <c r="J100" s="95">
        <v>0</v>
      </c>
      <c r="K100" s="96">
        <v>0</v>
      </c>
      <c r="L100" s="96">
        <v>1</v>
      </c>
      <c r="M100" s="96" t="s">
        <v>43</v>
      </c>
      <c r="N100" s="96">
        <v>1</v>
      </c>
      <c r="O100" s="111" t="s">
        <v>6</v>
      </c>
      <c r="P100" s="106" t="s">
        <v>339</v>
      </c>
      <c r="Q100" s="106"/>
      <c r="R100" s="106"/>
      <c r="S100" s="106"/>
      <c r="T100" s="106"/>
    </row>
    <row r="101" spans="1:20" ht="15" hidden="1" x14ac:dyDescent="0.4">
      <c r="A101" s="106" t="s">
        <v>319</v>
      </c>
      <c r="B101" s="106">
        <v>96</v>
      </c>
      <c r="C101" s="106" t="s">
        <v>422</v>
      </c>
      <c r="D101" s="93">
        <v>96</v>
      </c>
      <c r="E101" s="122"/>
      <c r="F101" s="106"/>
      <c r="G101" s="93"/>
      <c r="H101" s="94"/>
      <c r="I101" s="98"/>
      <c r="J101" s="95">
        <v>0</v>
      </c>
      <c r="K101" s="96">
        <v>0</v>
      </c>
      <c r="L101" s="96">
        <v>1</v>
      </c>
      <c r="M101" s="96" t="s">
        <v>43</v>
      </c>
      <c r="N101" s="96">
        <v>1</v>
      </c>
      <c r="O101" s="111" t="s">
        <v>6</v>
      </c>
      <c r="P101" s="106" t="s">
        <v>339</v>
      </c>
      <c r="Q101" s="106"/>
      <c r="R101" s="106"/>
      <c r="S101" s="106"/>
      <c r="T101" s="106"/>
    </row>
    <row r="102" spans="1:20" ht="15" hidden="1" x14ac:dyDescent="0.4">
      <c r="A102" s="106" t="s">
        <v>319</v>
      </c>
      <c r="B102" s="106">
        <v>97</v>
      </c>
      <c r="C102" s="106" t="s">
        <v>422</v>
      </c>
      <c r="D102" s="93">
        <v>97</v>
      </c>
      <c r="E102" s="122"/>
      <c r="F102" s="106"/>
      <c r="G102" s="93"/>
      <c r="H102" s="94"/>
      <c r="I102" s="98"/>
      <c r="J102" s="95">
        <v>0</v>
      </c>
      <c r="K102" s="96">
        <v>0</v>
      </c>
      <c r="L102" s="96">
        <v>1</v>
      </c>
      <c r="M102" s="96" t="s">
        <v>43</v>
      </c>
      <c r="N102" s="96">
        <v>1</v>
      </c>
      <c r="O102" s="111" t="s">
        <v>6</v>
      </c>
      <c r="P102" s="106" t="s">
        <v>339</v>
      </c>
      <c r="Q102" s="106"/>
      <c r="R102" s="106"/>
      <c r="S102" s="106"/>
      <c r="T102" s="106"/>
    </row>
    <row r="103" spans="1:20" ht="15" hidden="1" x14ac:dyDescent="0.4">
      <c r="A103" s="106" t="s">
        <v>319</v>
      </c>
      <c r="B103" s="106">
        <v>98</v>
      </c>
      <c r="C103" s="106" t="s">
        <v>422</v>
      </c>
      <c r="D103" s="93">
        <v>98</v>
      </c>
      <c r="E103" s="122"/>
      <c r="F103" s="106"/>
      <c r="G103" s="93"/>
      <c r="H103" s="94"/>
      <c r="I103" s="98"/>
      <c r="J103" s="95">
        <v>0</v>
      </c>
      <c r="K103" s="96">
        <v>0</v>
      </c>
      <c r="L103" s="96">
        <v>1</v>
      </c>
      <c r="M103" s="96" t="s">
        <v>43</v>
      </c>
      <c r="N103" s="96">
        <v>1</v>
      </c>
      <c r="O103" s="111" t="s">
        <v>6</v>
      </c>
      <c r="P103" s="106" t="s">
        <v>339</v>
      </c>
      <c r="Q103" s="106"/>
      <c r="R103" s="106"/>
      <c r="S103" s="106"/>
      <c r="T103" s="106"/>
    </row>
    <row r="104" spans="1:20" ht="15" hidden="1" x14ac:dyDescent="0.4">
      <c r="A104" s="106" t="s">
        <v>319</v>
      </c>
      <c r="B104" s="106">
        <v>99</v>
      </c>
      <c r="C104" s="106" t="s">
        <v>422</v>
      </c>
      <c r="D104" s="93">
        <v>99</v>
      </c>
      <c r="E104" s="122"/>
      <c r="F104" s="106"/>
      <c r="G104" s="93"/>
      <c r="H104" s="94"/>
      <c r="I104" s="98"/>
      <c r="J104" s="95">
        <v>0</v>
      </c>
      <c r="K104" s="96">
        <v>0</v>
      </c>
      <c r="L104" s="96">
        <v>1</v>
      </c>
      <c r="M104" s="96" t="s">
        <v>43</v>
      </c>
      <c r="N104" s="96">
        <v>1</v>
      </c>
      <c r="O104" s="111" t="s">
        <v>6</v>
      </c>
      <c r="P104" s="106" t="s">
        <v>339</v>
      </c>
      <c r="Q104" s="106"/>
      <c r="R104" s="106"/>
      <c r="S104" s="106"/>
      <c r="T104" s="106"/>
    </row>
    <row r="105" spans="1:20" ht="15" x14ac:dyDescent="0.4">
      <c r="A105" s="106" t="s">
        <v>319</v>
      </c>
      <c r="B105" s="106">
        <v>100</v>
      </c>
      <c r="C105" s="106" t="s">
        <v>423</v>
      </c>
      <c r="D105" s="93">
        <v>0</v>
      </c>
      <c r="E105" s="122" t="s">
        <v>417</v>
      </c>
      <c r="F105" s="106">
        <v>0</v>
      </c>
      <c r="G105" s="93" t="s">
        <v>294</v>
      </c>
      <c r="H105" s="94" t="s">
        <v>49</v>
      </c>
      <c r="I105" s="98"/>
      <c r="J105" s="95">
        <v>0.1</v>
      </c>
      <c r="K105" s="96">
        <v>0</v>
      </c>
      <c r="L105" s="96">
        <v>30</v>
      </c>
      <c r="M105" s="96" t="s">
        <v>6</v>
      </c>
      <c r="N105" s="96">
        <v>1000</v>
      </c>
      <c r="O105" s="111" t="s">
        <v>379</v>
      </c>
      <c r="P105" s="106" t="s">
        <v>339</v>
      </c>
      <c r="Q105" s="106"/>
      <c r="R105" s="106"/>
      <c r="S105" s="106"/>
      <c r="T105" s="106"/>
    </row>
    <row r="106" spans="1:20" ht="15" x14ac:dyDescent="0.4">
      <c r="A106" s="106" t="s">
        <v>319</v>
      </c>
      <c r="B106" s="106">
        <v>101</v>
      </c>
      <c r="C106" s="106" t="s">
        <v>423</v>
      </c>
      <c r="D106" s="93">
        <v>1</v>
      </c>
      <c r="E106" s="122" t="s">
        <v>417</v>
      </c>
      <c r="F106" s="106">
        <v>1</v>
      </c>
      <c r="G106" s="93" t="s">
        <v>628</v>
      </c>
      <c r="H106" s="94" t="s">
        <v>50</v>
      </c>
      <c r="I106" s="98"/>
      <c r="J106" s="95">
        <v>0.1</v>
      </c>
      <c r="K106" s="96">
        <v>0</v>
      </c>
      <c r="L106" s="96">
        <v>30</v>
      </c>
      <c r="M106" s="96" t="s">
        <v>6</v>
      </c>
      <c r="N106" s="96">
        <v>1000</v>
      </c>
      <c r="O106" s="111" t="s">
        <v>379</v>
      </c>
      <c r="P106" s="106" t="s">
        <v>339</v>
      </c>
      <c r="Q106" s="106"/>
      <c r="R106" s="106"/>
      <c r="S106" s="106"/>
      <c r="T106" s="106"/>
    </row>
    <row r="107" spans="1:20" ht="15" x14ac:dyDescent="0.4">
      <c r="A107" s="106" t="s">
        <v>319</v>
      </c>
      <c r="B107" s="106">
        <v>102</v>
      </c>
      <c r="C107" s="106" t="s">
        <v>423</v>
      </c>
      <c r="D107" s="93">
        <v>2</v>
      </c>
      <c r="E107" s="122" t="s">
        <v>417</v>
      </c>
      <c r="F107" s="106">
        <v>2</v>
      </c>
      <c r="G107" s="93" t="s">
        <v>629</v>
      </c>
      <c r="H107" s="94" t="s">
        <v>51</v>
      </c>
      <c r="I107" s="98"/>
      <c r="J107" s="95">
        <v>0.1</v>
      </c>
      <c r="K107" s="96">
        <v>0</v>
      </c>
      <c r="L107" s="96">
        <v>30</v>
      </c>
      <c r="M107" s="96" t="s">
        <v>6</v>
      </c>
      <c r="N107" s="96">
        <v>1000</v>
      </c>
      <c r="O107" s="111" t="s">
        <v>379</v>
      </c>
      <c r="P107" s="106" t="s">
        <v>339</v>
      </c>
      <c r="Q107" s="106"/>
      <c r="R107" s="106"/>
      <c r="S107" s="106"/>
      <c r="T107" s="106"/>
    </row>
    <row r="108" spans="1:20" ht="15" x14ac:dyDescent="0.4">
      <c r="A108" s="106" t="s">
        <v>319</v>
      </c>
      <c r="B108" s="106">
        <v>103</v>
      </c>
      <c r="C108" s="106" t="s">
        <v>423</v>
      </c>
      <c r="D108" s="93">
        <v>3</v>
      </c>
      <c r="E108" s="122" t="s">
        <v>417</v>
      </c>
      <c r="F108" s="106">
        <v>3</v>
      </c>
      <c r="G108" s="93" t="s">
        <v>630</v>
      </c>
      <c r="H108" s="94" t="s">
        <v>52</v>
      </c>
      <c r="I108" s="98"/>
      <c r="J108" s="95">
        <v>0.1</v>
      </c>
      <c r="K108" s="96">
        <v>0</v>
      </c>
      <c r="L108" s="96">
        <v>30</v>
      </c>
      <c r="M108" s="96" t="s">
        <v>6</v>
      </c>
      <c r="N108" s="96">
        <v>1000</v>
      </c>
      <c r="O108" s="111" t="s">
        <v>379</v>
      </c>
      <c r="P108" s="106" t="s">
        <v>339</v>
      </c>
      <c r="Q108" s="106"/>
      <c r="R108" s="106"/>
      <c r="S108" s="106"/>
      <c r="T108" s="106"/>
    </row>
    <row r="109" spans="1:20" ht="15" x14ac:dyDescent="0.4">
      <c r="A109" s="106" t="s">
        <v>319</v>
      </c>
      <c r="B109" s="106">
        <v>104</v>
      </c>
      <c r="C109" s="106" t="s">
        <v>423</v>
      </c>
      <c r="D109" s="93">
        <v>4</v>
      </c>
      <c r="E109" s="122" t="s">
        <v>417</v>
      </c>
      <c r="F109" s="106">
        <v>4</v>
      </c>
      <c r="G109" s="93" t="s">
        <v>631</v>
      </c>
      <c r="H109" s="94" t="s">
        <v>53</v>
      </c>
      <c r="I109" s="98"/>
      <c r="J109" s="95">
        <v>0.1</v>
      </c>
      <c r="K109" s="96">
        <v>0</v>
      </c>
      <c r="L109" s="96">
        <v>30</v>
      </c>
      <c r="M109" s="96" t="s">
        <v>6</v>
      </c>
      <c r="N109" s="96">
        <v>1000</v>
      </c>
      <c r="O109" s="111" t="s">
        <v>379</v>
      </c>
      <c r="P109" s="106" t="s">
        <v>339</v>
      </c>
      <c r="Q109" s="106"/>
      <c r="R109" s="106"/>
      <c r="S109" s="106"/>
      <c r="T109" s="106"/>
    </row>
    <row r="110" spans="1:20" ht="15" x14ac:dyDescent="0.4">
      <c r="A110" s="106" t="s">
        <v>319</v>
      </c>
      <c r="B110" s="106">
        <v>105</v>
      </c>
      <c r="C110" s="106" t="s">
        <v>423</v>
      </c>
      <c r="D110" s="93">
        <v>5</v>
      </c>
      <c r="E110" s="122" t="s">
        <v>417</v>
      </c>
      <c r="F110" s="106">
        <v>5</v>
      </c>
      <c r="G110" s="93" t="s">
        <v>632</v>
      </c>
      <c r="H110" s="94" t="s">
        <v>54</v>
      </c>
      <c r="I110" s="98"/>
      <c r="J110" s="95">
        <v>0.1</v>
      </c>
      <c r="K110" s="96">
        <v>0</v>
      </c>
      <c r="L110" s="96">
        <v>30</v>
      </c>
      <c r="M110" s="96" t="s">
        <v>6</v>
      </c>
      <c r="N110" s="96">
        <v>1000</v>
      </c>
      <c r="O110" s="111" t="s">
        <v>379</v>
      </c>
      <c r="P110" s="106" t="s">
        <v>339</v>
      </c>
      <c r="Q110" s="106"/>
      <c r="R110" s="106"/>
      <c r="S110" s="106"/>
      <c r="T110" s="106"/>
    </row>
    <row r="111" spans="1:20" ht="15" x14ac:dyDescent="0.4">
      <c r="A111" s="106" t="s">
        <v>319</v>
      </c>
      <c r="B111" s="106">
        <v>106</v>
      </c>
      <c r="C111" s="106" t="s">
        <v>423</v>
      </c>
      <c r="D111" s="93">
        <v>6</v>
      </c>
      <c r="E111" s="122" t="s">
        <v>417</v>
      </c>
      <c r="F111" s="106">
        <v>6</v>
      </c>
      <c r="G111" s="93" t="s">
        <v>633</v>
      </c>
      <c r="H111" s="94" t="s">
        <v>55</v>
      </c>
      <c r="I111" s="98"/>
      <c r="J111" s="95">
        <v>0.1</v>
      </c>
      <c r="K111" s="96">
        <v>0</v>
      </c>
      <c r="L111" s="96">
        <v>30</v>
      </c>
      <c r="M111" s="96" t="s">
        <v>6</v>
      </c>
      <c r="N111" s="96">
        <v>1000</v>
      </c>
      <c r="O111" s="111" t="s">
        <v>379</v>
      </c>
      <c r="P111" s="106" t="s">
        <v>339</v>
      </c>
      <c r="Q111" s="106"/>
      <c r="R111" s="106"/>
      <c r="S111" s="106"/>
      <c r="T111" s="106"/>
    </row>
    <row r="112" spans="1:20" ht="15" x14ac:dyDescent="0.4">
      <c r="A112" s="106" t="s">
        <v>319</v>
      </c>
      <c r="B112" s="106">
        <v>107</v>
      </c>
      <c r="C112" s="106" t="s">
        <v>423</v>
      </c>
      <c r="D112" s="93">
        <v>7</v>
      </c>
      <c r="E112" s="122" t="s">
        <v>417</v>
      </c>
      <c r="F112" s="106">
        <v>7</v>
      </c>
      <c r="G112" s="93" t="s">
        <v>634</v>
      </c>
      <c r="H112" s="94" t="s">
        <v>56</v>
      </c>
      <c r="I112" s="98"/>
      <c r="J112" s="95">
        <v>0.1</v>
      </c>
      <c r="K112" s="96">
        <v>0</v>
      </c>
      <c r="L112" s="96">
        <v>30</v>
      </c>
      <c r="M112" s="96" t="s">
        <v>6</v>
      </c>
      <c r="N112" s="96">
        <v>1000</v>
      </c>
      <c r="O112" s="111" t="s">
        <v>379</v>
      </c>
      <c r="P112" s="106" t="s">
        <v>339</v>
      </c>
      <c r="Q112" s="106"/>
      <c r="R112" s="106"/>
      <c r="S112" s="106"/>
      <c r="T112" s="106"/>
    </row>
    <row r="113" spans="1:20" ht="15" x14ac:dyDescent="0.4">
      <c r="A113" s="106" t="s">
        <v>319</v>
      </c>
      <c r="B113" s="106">
        <v>108</v>
      </c>
      <c r="C113" s="106" t="s">
        <v>423</v>
      </c>
      <c r="D113" s="93">
        <v>8</v>
      </c>
      <c r="E113" s="122" t="s">
        <v>417</v>
      </c>
      <c r="F113" s="106">
        <v>8</v>
      </c>
      <c r="G113" s="93" t="s">
        <v>635</v>
      </c>
      <c r="H113" s="94" t="s">
        <v>57</v>
      </c>
      <c r="I113" s="98"/>
      <c r="J113" s="95">
        <v>0.1</v>
      </c>
      <c r="K113" s="96">
        <v>0</v>
      </c>
      <c r="L113" s="96">
        <v>30</v>
      </c>
      <c r="M113" s="96" t="s">
        <v>6</v>
      </c>
      <c r="N113" s="96">
        <v>1000</v>
      </c>
      <c r="O113" s="111" t="s">
        <v>379</v>
      </c>
      <c r="P113" s="106" t="s">
        <v>339</v>
      </c>
      <c r="Q113" s="106"/>
      <c r="R113" s="106"/>
      <c r="S113" s="106"/>
      <c r="T113" s="106"/>
    </row>
    <row r="114" spans="1:20" ht="15" x14ac:dyDescent="0.4">
      <c r="A114" s="106" t="s">
        <v>319</v>
      </c>
      <c r="B114" s="106">
        <v>109</v>
      </c>
      <c r="C114" s="106" t="s">
        <v>423</v>
      </c>
      <c r="D114" s="93">
        <v>9</v>
      </c>
      <c r="E114" s="122" t="s">
        <v>417</v>
      </c>
      <c r="F114" s="106">
        <v>9</v>
      </c>
      <c r="G114" s="93" t="s">
        <v>636</v>
      </c>
      <c r="H114" s="94" t="s">
        <v>58</v>
      </c>
      <c r="I114" s="98"/>
      <c r="J114" s="95">
        <v>0.1</v>
      </c>
      <c r="K114" s="96">
        <v>0</v>
      </c>
      <c r="L114" s="96">
        <v>30</v>
      </c>
      <c r="M114" s="96" t="s">
        <v>6</v>
      </c>
      <c r="N114" s="96">
        <v>1000</v>
      </c>
      <c r="O114" s="111" t="s">
        <v>379</v>
      </c>
      <c r="P114" s="106" t="s">
        <v>339</v>
      </c>
      <c r="Q114" s="106"/>
      <c r="R114" s="106"/>
      <c r="S114" s="106"/>
      <c r="T114" s="106"/>
    </row>
    <row r="115" spans="1:20" ht="15" x14ac:dyDescent="0.4">
      <c r="A115" s="106" t="s">
        <v>319</v>
      </c>
      <c r="B115" s="106">
        <v>110</v>
      </c>
      <c r="C115" s="106" t="s">
        <v>423</v>
      </c>
      <c r="D115" s="93">
        <v>10</v>
      </c>
      <c r="E115" s="122" t="s">
        <v>417</v>
      </c>
      <c r="F115" s="106">
        <v>10</v>
      </c>
      <c r="G115" s="93" t="s">
        <v>637</v>
      </c>
      <c r="H115" s="94" t="s">
        <v>59</v>
      </c>
      <c r="I115" s="98"/>
      <c r="J115" s="95">
        <v>0.1</v>
      </c>
      <c r="K115" s="96">
        <v>0</v>
      </c>
      <c r="L115" s="96">
        <v>30</v>
      </c>
      <c r="M115" s="96" t="s">
        <v>6</v>
      </c>
      <c r="N115" s="96">
        <v>1000</v>
      </c>
      <c r="O115" s="111" t="s">
        <v>379</v>
      </c>
      <c r="P115" s="106" t="s">
        <v>339</v>
      </c>
      <c r="Q115" s="106"/>
      <c r="R115" s="106"/>
      <c r="S115" s="106"/>
      <c r="T115" s="106"/>
    </row>
    <row r="116" spans="1:20" ht="15" x14ac:dyDescent="0.4">
      <c r="A116" s="106" t="s">
        <v>319</v>
      </c>
      <c r="B116" s="106">
        <v>111</v>
      </c>
      <c r="C116" s="106" t="s">
        <v>423</v>
      </c>
      <c r="D116" s="93">
        <v>11</v>
      </c>
      <c r="E116" s="122" t="s">
        <v>417</v>
      </c>
      <c r="F116" s="106">
        <v>11</v>
      </c>
      <c r="G116" s="93" t="s">
        <v>638</v>
      </c>
      <c r="H116" s="94" t="s">
        <v>60</v>
      </c>
      <c r="I116" s="98"/>
      <c r="J116" s="95">
        <v>0.1</v>
      </c>
      <c r="K116" s="96">
        <v>0</v>
      </c>
      <c r="L116" s="96">
        <v>30</v>
      </c>
      <c r="M116" s="96" t="s">
        <v>6</v>
      </c>
      <c r="N116" s="96">
        <v>1000</v>
      </c>
      <c r="O116" s="111" t="s">
        <v>379</v>
      </c>
      <c r="P116" s="106" t="s">
        <v>339</v>
      </c>
      <c r="Q116" s="106"/>
      <c r="R116" s="106"/>
      <c r="S116" s="106"/>
      <c r="T116" s="106"/>
    </row>
    <row r="117" spans="1:20" ht="15" x14ac:dyDescent="0.4">
      <c r="A117" s="106" t="s">
        <v>319</v>
      </c>
      <c r="B117" s="106">
        <v>112</v>
      </c>
      <c r="C117" s="106" t="s">
        <v>423</v>
      </c>
      <c r="D117" s="93">
        <v>12</v>
      </c>
      <c r="E117" s="122" t="s">
        <v>418</v>
      </c>
      <c r="F117" s="106">
        <v>0</v>
      </c>
      <c r="G117" s="93" t="s">
        <v>639</v>
      </c>
      <c r="H117" s="94" t="s">
        <v>24</v>
      </c>
      <c r="I117" s="98"/>
      <c r="J117" s="95">
        <v>10</v>
      </c>
      <c r="K117" s="96">
        <v>0</v>
      </c>
      <c r="L117" s="96">
        <v>300</v>
      </c>
      <c r="M117" s="96" t="s">
        <v>6</v>
      </c>
      <c r="N117" s="96">
        <v>100</v>
      </c>
      <c r="O117" s="111" t="s">
        <v>379</v>
      </c>
      <c r="P117" s="106" t="s">
        <v>339</v>
      </c>
      <c r="Q117" s="106"/>
      <c r="R117" s="106"/>
      <c r="S117" s="106"/>
      <c r="T117" s="106"/>
    </row>
    <row r="118" spans="1:20" ht="15" x14ac:dyDescent="0.4">
      <c r="A118" s="106" t="s">
        <v>319</v>
      </c>
      <c r="B118" s="106">
        <v>113</v>
      </c>
      <c r="C118" s="106" t="s">
        <v>423</v>
      </c>
      <c r="D118" s="93">
        <v>13</v>
      </c>
      <c r="E118" s="122" t="s">
        <v>418</v>
      </c>
      <c r="F118" s="106">
        <v>1</v>
      </c>
      <c r="G118" s="93" t="s">
        <v>640</v>
      </c>
      <c r="H118" s="94" t="s">
        <v>25</v>
      </c>
      <c r="I118" s="98"/>
      <c r="J118" s="95">
        <v>0.5</v>
      </c>
      <c r="K118" s="96">
        <v>0</v>
      </c>
      <c r="L118" s="96">
        <v>300</v>
      </c>
      <c r="M118" s="96" t="s">
        <v>6</v>
      </c>
      <c r="N118" s="96">
        <v>100</v>
      </c>
      <c r="O118" s="111" t="s">
        <v>379</v>
      </c>
      <c r="P118" s="106" t="s">
        <v>339</v>
      </c>
      <c r="Q118" s="106"/>
      <c r="R118" s="106"/>
      <c r="S118" s="106"/>
      <c r="T118" s="106"/>
    </row>
    <row r="119" spans="1:20" ht="15" x14ac:dyDescent="0.4">
      <c r="A119" s="106" t="s">
        <v>319</v>
      </c>
      <c r="B119" s="106">
        <v>114</v>
      </c>
      <c r="C119" s="106" t="s">
        <v>423</v>
      </c>
      <c r="D119" s="93">
        <v>14</v>
      </c>
      <c r="E119" s="122" t="s">
        <v>418</v>
      </c>
      <c r="F119" s="106">
        <v>2</v>
      </c>
      <c r="G119" s="93" t="s">
        <v>641</v>
      </c>
      <c r="H119" s="94" t="s">
        <v>29</v>
      </c>
      <c r="I119" s="98"/>
      <c r="J119" s="95">
        <v>0.2</v>
      </c>
      <c r="K119" s="96">
        <v>0</v>
      </c>
      <c r="L119" s="96">
        <v>300</v>
      </c>
      <c r="M119" s="96" t="s">
        <v>6</v>
      </c>
      <c r="N119" s="96">
        <v>100</v>
      </c>
      <c r="O119" s="111" t="s">
        <v>379</v>
      </c>
      <c r="P119" s="106" t="s">
        <v>339</v>
      </c>
      <c r="Q119" s="106"/>
      <c r="R119" s="106"/>
      <c r="S119" s="106"/>
      <c r="T119" s="106"/>
    </row>
    <row r="120" spans="1:20" ht="15" x14ac:dyDescent="0.4">
      <c r="A120" s="106" t="s">
        <v>319</v>
      </c>
      <c r="B120" s="106">
        <v>115</v>
      </c>
      <c r="C120" s="106" t="s">
        <v>423</v>
      </c>
      <c r="D120" s="93">
        <v>15</v>
      </c>
      <c r="E120" s="122" t="s">
        <v>418</v>
      </c>
      <c r="F120" s="106">
        <v>3</v>
      </c>
      <c r="G120" s="93" t="s">
        <v>642</v>
      </c>
      <c r="H120" s="94" t="s">
        <v>42</v>
      </c>
      <c r="I120" s="98"/>
      <c r="J120" s="95">
        <v>0.1</v>
      </c>
      <c r="K120" s="96">
        <v>0</v>
      </c>
      <c r="L120" s="96">
        <v>30</v>
      </c>
      <c r="M120" s="96" t="s">
        <v>43</v>
      </c>
      <c r="N120" s="96">
        <v>1000</v>
      </c>
      <c r="O120" s="111" t="s">
        <v>379</v>
      </c>
      <c r="P120" s="106" t="s">
        <v>339</v>
      </c>
      <c r="Q120" s="106"/>
      <c r="R120" s="106"/>
      <c r="S120" s="106"/>
      <c r="T120" s="106"/>
    </row>
    <row r="121" spans="1:20" ht="15" x14ac:dyDescent="0.4">
      <c r="A121" s="106" t="s">
        <v>319</v>
      </c>
      <c r="B121" s="106">
        <v>116</v>
      </c>
      <c r="C121" s="106" t="s">
        <v>423</v>
      </c>
      <c r="D121" s="93">
        <v>16</v>
      </c>
      <c r="E121" s="122" t="s">
        <v>418</v>
      </c>
      <c r="F121" s="106">
        <v>4</v>
      </c>
      <c r="G121" s="93" t="s">
        <v>643</v>
      </c>
      <c r="H121" s="94" t="s">
        <v>44</v>
      </c>
      <c r="I121" s="98"/>
      <c r="J121" s="95">
        <v>1</v>
      </c>
      <c r="K121" s="96">
        <v>0</v>
      </c>
      <c r="L121" s="96">
        <v>300</v>
      </c>
      <c r="M121" s="96" t="s">
        <v>43</v>
      </c>
      <c r="N121" s="96">
        <v>100</v>
      </c>
      <c r="O121" s="111" t="s">
        <v>379</v>
      </c>
      <c r="P121" s="106" t="s">
        <v>339</v>
      </c>
      <c r="Q121" s="106"/>
      <c r="R121" s="106"/>
      <c r="S121" s="106"/>
      <c r="T121" s="106"/>
    </row>
    <row r="122" spans="1:20" ht="15" x14ac:dyDescent="0.4">
      <c r="A122" s="106" t="s">
        <v>319</v>
      </c>
      <c r="B122" s="106">
        <v>117</v>
      </c>
      <c r="C122" s="106" t="s">
        <v>423</v>
      </c>
      <c r="D122" s="93">
        <v>17</v>
      </c>
      <c r="E122" s="122" t="s">
        <v>418</v>
      </c>
      <c r="F122" s="106">
        <v>5</v>
      </c>
      <c r="G122" s="93" t="s">
        <v>644</v>
      </c>
      <c r="H122" s="94" t="s">
        <v>45</v>
      </c>
      <c r="I122" s="98"/>
      <c r="J122" s="95">
        <v>0</v>
      </c>
      <c r="K122" s="96">
        <v>0</v>
      </c>
      <c r="L122" s="96">
        <v>300</v>
      </c>
      <c r="M122" s="96" t="s">
        <v>43</v>
      </c>
      <c r="N122" s="96">
        <v>100</v>
      </c>
      <c r="O122" s="111" t="s">
        <v>379</v>
      </c>
      <c r="P122" s="106" t="s">
        <v>339</v>
      </c>
      <c r="Q122" s="106"/>
      <c r="R122" s="106"/>
      <c r="S122" s="106"/>
      <c r="T122" s="106"/>
    </row>
    <row r="123" spans="1:20" ht="15" x14ac:dyDescent="0.4">
      <c r="A123" s="106" t="s">
        <v>319</v>
      </c>
      <c r="B123" s="106">
        <v>118</v>
      </c>
      <c r="C123" s="106" t="s">
        <v>423</v>
      </c>
      <c r="D123" s="93">
        <v>18</v>
      </c>
      <c r="E123" s="122" t="s">
        <v>418</v>
      </c>
      <c r="F123" s="106">
        <v>6</v>
      </c>
      <c r="G123" s="93" t="s">
        <v>645</v>
      </c>
      <c r="H123" s="94" t="s">
        <v>46</v>
      </c>
      <c r="I123" s="98"/>
      <c r="J123" s="95">
        <v>0</v>
      </c>
      <c r="K123" s="96">
        <v>0</v>
      </c>
      <c r="L123" s="96">
        <v>300</v>
      </c>
      <c r="M123" s="96" t="s">
        <v>43</v>
      </c>
      <c r="N123" s="96">
        <v>100</v>
      </c>
      <c r="O123" s="111" t="s">
        <v>379</v>
      </c>
      <c r="P123" s="106" t="s">
        <v>339</v>
      </c>
      <c r="Q123" s="106"/>
      <c r="R123" s="106"/>
      <c r="S123" s="106"/>
      <c r="T123" s="106"/>
    </row>
    <row r="124" spans="1:20" ht="15" x14ac:dyDescent="0.4">
      <c r="A124" s="106" t="s">
        <v>319</v>
      </c>
      <c r="B124" s="106">
        <v>119</v>
      </c>
      <c r="C124" s="106" t="s">
        <v>423</v>
      </c>
      <c r="D124" s="93">
        <v>19</v>
      </c>
      <c r="E124" s="122"/>
      <c r="F124" s="106"/>
      <c r="G124" s="93"/>
      <c r="H124" s="94"/>
      <c r="I124" s="98"/>
      <c r="J124" s="95">
        <v>0</v>
      </c>
      <c r="K124" s="96">
        <v>0</v>
      </c>
      <c r="L124" s="96">
        <v>1</v>
      </c>
      <c r="M124" s="96" t="s">
        <v>43</v>
      </c>
      <c r="N124" s="96">
        <v>1</v>
      </c>
      <c r="O124" s="111" t="s">
        <v>6</v>
      </c>
      <c r="P124" s="106" t="s">
        <v>339</v>
      </c>
      <c r="Q124" s="106"/>
      <c r="R124" s="106"/>
      <c r="S124" s="106"/>
      <c r="T124" s="106"/>
    </row>
    <row r="125" spans="1:20" ht="15" x14ac:dyDescent="0.4">
      <c r="A125" s="106" t="s">
        <v>319</v>
      </c>
      <c r="B125" s="106">
        <v>120</v>
      </c>
      <c r="C125" s="106" t="s">
        <v>423</v>
      </c>
      <c r="D125" s="93">
        <v>20</v>
      </c>
      <c r="E125" s="122"/>
      <c r="F125" s="106"/>
      <c r="G125" s="93"/>
      <c r="H125" s="94"/>
      <c r="I125" s="98"/>
      <c r="J125" s="95">
        <v>0</v>
      </c>
      <c r="K125" s="96">
        <v>0</v>
      </c>
      <c r="L125" s="96">
        <v>1</v>
      </c>
      <c r="M125" s="96" t="s">
        <v>43</v>
      </c>
      <c r="N125" s="96">
        <v>1</v>
      </c>
      <c r="O125" s="111" t="s">
        <v>6</v>
      </c>
      <c r="P125" s="106" t="s">
        <v>339</v>
      </c>
      <c r="Q125" s="106"/>
      <c r="R125" s="106"/>
      <c r="S125" s="106"/>
      <c r="T125" s="106"/>
    </row>
    <row r="126" spans="1:20" ht="15" x14ac:dyDescent="0.4">
      <c r="A126" s="106" t="s">
        <v>319</v>
      </c>
      <c r="B126" s="106">
        <v>121</v>
      </c>
      <c r="C126" s="106" t="s">
        <v>423</v>
      </c>
      <c r="D126" s="93">
        <v>21</v>
      </c>
      <c r="E126" s="122"/>
      <c r="F126" s="106"/>
      <c r="G126" s="93"/>
      <c r="H126" s="94"/>
      <c r="I126" s="98"/>
      <c r="J126" s="95">
        <v>0</v>
      </c>
      <c r="K126" s="96">
        <v>0</v>
      </c>
      <c r="L126" s="96">
        <v>1</v>
      </c>
      <c r="M126" s="96" t="s">
        <v>43</v>
      </c>
      <c r="N126" s="96">
        <v>1</v>
      </c>
      <c r="O126" s="111" t="s">
        <v>6</v>
      </c>
      <c r="P126" s="106" t="s">
        <v>339</v>
      </c>
      <c r="Q126" s="106"/>
      <c r="R126" s="106"/>
      <c r="S126" s="106"/>
      <c r="T126" s="106"/>
    </row>
    <row r="127" spans="1:20" ht="15" x14ac:dyDescent="0.4">
      <c r="A127" s="106" t="s">
        <v>319</v>
      </c>
      <c r="B127" s="106">
        <v>122</v>
      </c>
      <c r="C127" s="106" t="s">
        <v>423</v>
      </c>
      <c r="D127" s="93">
        <v>22</v>
      </c>
      <c r="E127" s="122"/>
      <c r="F127" s="106"/>
      <c r="G127" s="93"/>
      <c r="H127" s="94"/>
      <c r="I127" s="98"/>
      <c r="J127" s="95">
        <v>0</v>
      </c>
      <c r="K127" s="96">
        <v>0</v>
      </c>
      <c r="L127" s="96">
        <v>1</v>
      </c>
      <c r="M127" s="96" t="s">
        <v>43</v>
      </c>
      <c r="N127" s="96">
        <v>1</v>
      </c>
      <c r="O127" s="111" t="s">
        <v>6</v>
      </c>
      <c r="P127" s="106" t="s">
        <v>339</v>
      </c>
      <c r="Q127" s="106"/>
      <c r="R127" s="106"/>
      <c r="S127" s="106"/>
      <c r="T127" s="106"/>
    </row>
    <row r="128" spans="1:20" ht="15" x14ac:dyDescent="0.4">
      <c r="A128" s="106" t="s">
        <v>319</v>
      </c>
      <c r="B128" s="106">
        <v>123</v>
      </c>
      <c r="C128" s="106" t="s">
        <v>423</v>
      </c>
      <c r="D128" s="93">
        <v>23</v>
      </c>
      <c r="E128" s="122"/>
      <c r="F128" s="106"/>
      <c r="G128" s="93"/>
      <c r="H128" s="94"/>
      <c r="I128" s="98"/>
      <c r="J128" s="95">
        <v>0</v>
      </c>
      <c r="K128" s="96">
        <v>0</v>
      </c>
      <c r="L128" s="96">
        <v>1</v>
      </c>
      <c r="M128" s="96" t="s">
        <v>43</v>
      </c>
      <c r="N128" s="96">
        <v>1</v>
      </c>
      <c r="O128" s="111" t="s">
        <v>6</v>
      </c>
      <c r="P128" s="106" t="s">
        <v>339</v>
      </c>
      <c r="Q128" s="106"/>
      <c r="R128" s="106"/>
      <c r="S128" s="106"/>
      <c r="T128" s="106"/>
    </row>
    <row r="129" spans="1:20" ht="15" x14ac:dyDescent="0.4">
      <c r="A129" s="106" t="s">
        <v>319</v>
      </c>
      <c r="B129" s="106">
        <v>124</v>
      </c>
      <c r="C129" s="106" t="s">
        <v>423</v>
      </c>
      <c r="D129" s="93">
        <v>24</v>
      </c>
      <c r="E129" s="122"/>
      <c r="F129" s="106"/>
      <c r="G129" s="93"/>
      <c r="H129" s="94"/>
      <c r="I129" s="98"/>
      <c r="J129" s="95">
        <v>0</v>
      </c>
      <c r="K129" s="96">
        <v>0</v>
      </c>
      <c r="L129" s="96">
        <v>1</v>
      </c>
      <c r="M129" s="96" t="s">
        <v>43</v>
      </c>
      <c r="N129" s="96">
        <v>1</v>
      </c>
      <c r="O129" s="111" t="s">
        <v>6</v>
      </c>
      <c r="P129" s="106" t="s">
        <v>339</v>
      </c>
      <c r="Q129" s="106"/>
      <c r="R129" s="106"/>
      <c r="S129" s="106"/>
      <c r="T129" s="106"/>
    </row>
    <row r="130" spans="1:20" ht="15" x14ac:dyDescent="0.4">
      <c r="A130" s="106" t="s">
        <v>319</v>
      </c>
      <c r="B130" s="106">
        <v>125</v>
      </c>
      <c r="C130" s="106" t="s">
        <v>423</v>
      </c>
      <c r="D130" s="93">
        <v>25</v>
      </c>
      <c r="E130" s="122"/>
      <c r="F130" s="106"/>
      <c r="G130" s="93"/>
      <c r="H130" s="94"/>
      <c r="I130" s="98"/>
      <c r="J130" s="95">
        <v>0</v>
      </c>
      <c r="K130" s="96">
        <v>0</v>
      </c>
      <c r="L130" s="96">
        <v>1</v>
      </c>
      <c r="M130" s="96" t="s">
        <v>43</v>
      </c>
      <c r="N130" s="96">
        <v>1</v>
      </c>
      <c r="O130" s="111" t="s">
        <v>6</v>
      </c>
      <c r="P130" s="106" t="s">
        <v>339</v>
      </c>
      <c r="Q130" s="106"/>
      <c r="R130" s="106"/>
      <c r="S130" s="106"/>
      <c r="T130" s="106"/>
    </row>
    <row r="131" spans="1:20" ht="15" x14ac:dyDescent="0.4">
      <c r="A131" s="106" t="s">
        <v>319</v>
      </c>
      <c r="B131" s="106">
        <v>126</v>
      </c>
      <c r="C131" s="106" t="s">
        <v>423</v>
      </c>
      <c r="D131" s="93">
        <v>26</v>
      </c>
      <c r="E131" s="122"/>
      <c r="F131" s="106"/>
      <c r="G131" s="93"/>
      <c r="H131" s="94"/>
      <c r="I131" s="98"/>
      <c r="J131" s="95">
        <v>0</v>
      </c>
      <c r="K131" s="96">
        <v>0</v>
      </c>
      <c r="L131" s="96">
        <v>1</v>
      </c>
      <c r="M131" s="96" t="s">
        <v>43</v>
      </c>
      <c r="N131" s="96">
        <v>1</v>
      </c>
      <c r="O131" s="111" t="s">
        <v>6</v>
      </c>
      <c r="P131" s="106" t="s">
        <v>339</v>
      </c>
      <c r="Q131" s="106"/>
      <c r="R131" s="106"/>
      <c r="S131" s="106"/>
      <c r="T131" s="106"/>
    </row>
    <row r="132" spans="1:20" ht="15" x14ac:dyDescent="0.4">
      <c r="A132" s="106" t="s">
        <v>319</v>
      </c>
      <c r="B132" s="106">
        <v>127</v>
      </c>
      <c r="C132" s="106" t="s">
        <v>423</v>
      </c>
      <c r="D132" s="93">
        <v>27</v>
      </c>
      <c r="E132" s="122"/>
      <c r="F132" s="106"/>
      <c r="G132" s="93"/>
      <c r="H132" s="94"/>
      <c r="I132" s="98"/>
      <c r="J132" s="95">
        <v>0</v>
      </c>
      <c r="K132" s="96">
        <v>0</v>
      </c>
      <c r="L132" s="96">
        <v>1</v>
      </c>
      <c r="M132" s="96" t="s">
        <v>43</v>
      </c>
      <c r="N132" s="96">
        <v>1</v>
      </c>
      <c r="O132" s="111" t="s">
        <v>6</v>
      </c>
      <c r="P132" s="106" t="s">
        <v>339</v>
      </c>
      <c r="Q132" s="106"/>
      <c r="R132" s="106"/>
      <c r="S132" s="106"/>
      <c r="T132" s="106"/>
    </row>
    <row r="133" spans="1:20" ht="15" x14ac:dyDescent="0.4">
      <c r="A133" s="106" t="s">
        <v>319</v>
      </c>
      <c r="B133" s="106">
        <v>128</v>
      </c>
      <c r="C133" s="106" t="s">
        <v>423</v>
      </c>
      <c r="D133" s="93">
        <v>28</v>
      </c>
      <c r="E133" s="122"/>
      <c r="F133" s="106"/>
      <c r="G133" s="93"/>
      <c r="H133" s="94"/>
      <c r="I133" s="98"/>
      <c r="J133" s="95">
        <v>0</v>
      </c>
      <c r="K133" s="96">
        <v>0</v>
      </c>
      <c r="L133" s="96">
        <v>1</v>
      </c>
      <c r="M133" s="96" t="s">
        <v>43</v>
      </c>
      <c r="N133" s="96">
        <v>1</v>
      </c>
      <c r="O133" s="111" t="s">
        <v>6</v>
      </c>
      <c r="P133" s="106" t="s">
        <v>339</v>
      </c>
      <c r="Q133" s="106"/>
      <c r="R133" s="106"/>
      <c r="S133" s="106"/>
      <c r="T133" s="106"/>
    </row>
    <row r="134" spans="1:20" ht="15" x14ac:dyDescent="0.4">
      <c r="A134" s="106" t="s">
        <v>319</v>
      </c>
      <c r="B134" s="106">
        <v>129</v>
      </c>
      <c r="C134" s="106" t="s">
        <v>423</v>
      </c>
      <c r="D134" s="93">
        <v>29</v>
      </c>
      <c r="E134" s="122"/>
      <c r="F134" s="106"/>
      <c r="G134" s="93"/>
      <c r="H134" s="94"/>
      <c r="I134" s="98"/>
      <c r="J134" s="95">
        <v>0</v>
      </c>
      <c r="K134" s="96">
        <v>0</v>
      </c>
      <c r="L134" s="96">
        <v>1</v>
      </c>
      <c r="M134" s="96" t="s">
        <v>43</v>
      </c>
      <c r="N134" s="96">
        <v>1</v>
      </c>
      <c r="O134" s="111" t="s">
        <v>6</v>
      </c>
      <c r="P134" s="106" t="s">
        <v>339</v>
      </c>
      <c r="Q134" s="106"/>
      <c r="R134" s="106"/>
      <c r="S134" s="106"/>
      <c r="T134" s="106"/>
    </row>
    <row r="135" spans="1:20" ht="15" hidden="1" x14ac:dyDescent="0.4">
      <c r="A135" s="106" t="s">
        <v>319</v>
      </c>
      <c r="B135" s="106">
        <v>130</v>
      </c>
      <c r="C135" s="106" t="s">
        <v>423</v>
      </c>
      <c r="D135" s="93">
        <v>30</v>
      </c>
      <c r="E135" s="122"/>
      <c r="F135" s="106"/>
      <c r="G135" s="93"/>
      <c r="H135" s="94"/>
      <c r="I135" s="98"/>
      <c r="J135" s="95">
        <v>0</v>
      </c>
      <c r="K135" s="96">
        <v>0</v>
      </c>
      <c r="L135" s="96">
        <v>1</v>
      </c>
      <c r="M135" s="96" t="s">
        <v>43</v>
      </c>
      <c r="N135" s="96">
        <v>1</v>
      </c>
      <c r="O135" s="111" t="s">
        <v>6</v>
      </c>
      <c r="P135" s="106" t="s">
        <v>339</v>
      </c>
      <c r="Q135" s="106"/>
      <c r="R135" s="106"/>
      <c r="S135" s="106"/>
      <c r="T135" s="106"/>
    </row>
    <row r="136" spans="1:20" ht="15" hidden="1" x14ac:dyDescent="0.4">
      <c r="A136" s="106" t="s">
        <v>319</v>
      </c>
      <c r="B136" s="106">
        <v>131</v>
      </c>
      <c r="C136" s="106" t="s">
        <v>423</v>
      </c>
      <c r="D136" s="93">
        <v>31</v>
      </c>
      <c r="E136" s="122"/>
      <c r="F136" s="106"/>
      <c r="G136" s="93"/>
      <c r="H136" s="94"/>
      <c r="I136" s="98"/>
      <c r="J136" s="95">
        <v>0</v>
      </c>
      <c r="K136" s="96">
        <v>0</v>
      </c>
      <c r="L136" s="96">
        <v>1</v>
      </c>
      <c r="M136" s="96" t="s">
        <v>43</v>
      </c>
      <c r="N136" s="96">
        <v>1</v>
      </c>
      <c r="O136" s="111" t="s">
        <v>6</v>
      </c>
      <c r="P136" s="106" t="s">
        <v>339</v>
      </c>
      <c r="Q136" s="106"/>
      <c r="R136" s="106"/>
      <c r="S136" s="106"/>
      <c r="T136" s="106"/>
    </row>
    <row r="137" spans="1:20" ht="15" hidden="1" x14ac:dyDescent="0.4">
      <c r="A137" s="106" t="s">
        <v>319</v>
      </c>
      <c r="B137" s="106">
        <v>132</v>
      </c>
      <c r="C137" s="106" t="s">
        <v>423</v>
      </c>
      <c r="D137" s="93">
        <v>32</v>
      </c>
      <c r="E137" s="122"/>
      <c r="F137" s="106"/>
      <c r="G137" s="93"/>
      <c r="H137" s="94"/>
      <c r="I137" s="98"/>
      <c r="J137" s="95">
        <v>0</v>
      </c>
      <c r="K137" s="96">
        <v>0</v>
      </c>
      <c r="L137" s="96">
        <v>1</v>
      </c>
      <c r="M137" s="96" t="s">
        <v>43</v>
      </c>
      <c r="N137" s="96">
        <v>1</v>
      </c>
      <c r="O137" s="111" t="s">
        <v>6</v>
      </c>
      <c r="P137" s="106" t="s">
        <v>339</v>
      </c>
      <c r="Q137" s="106"/>
      <c r="R137" s="106"/>
      <c r="S137" s="106"/>
      <c r="T137" s="106"/>
    </row>
    <row r="138" spans="1:20" ht="15" hidden="1" x14ac:dyDescent="0.4">
      <c r="A138" s="106" t="s">
        <v>319</v>
      </c>
      <c r="B138" s="106">
        <v>133</v>
      </c>
      <c r="C138" s="106" t="s">
        <v>423</v>
      </c>
      <c r="D138" s="93">
        <v>33</v>
      </c>
      <c r="E138" s="122"/>
      <c r="F138" s="106"/>
      <c r="G138" s="93"/>
      <c r="H138" s="94"/>
      <c r="I138" s="98"/>
      <c r="J138" s="95">
        <v>0</v>
      </c>
      <c r="K138" s="96">
        <v>0</v>
      </c>
      <c r="L138" s="96">
        <v>1</v>
      </c>
      <c r="M138" s="96" t="s">
        <v>43</v>
      </c>
      <c r="N138" s="96">
        <v>1</v>
      </c>
      <c r="O138" s="111" t="s">
        <v>6</v>
      </c>
      <c r="P138" s="106" t="s">
        <v>339</v>
      </c>
      <c r="Q138" s="106"/>
      <c r="R138" s="106"/>
      <c r="S138" s="106"/>
      <c r="T138" s="106"/>
    </row>
    <row r="139" spans="1:20" ht="15" hidden="1" x14ac:dyDescent="0.4">
      <c r="A139" s="106" t="s">
        <v>319</v>
      </c>
      <c r="B139" s="106">
        <v>134</v>
      </c>
      <c r="C139" s="106" t="s">
        <v>423</v>
      </c>
      <c r="D139" s="93">
        <v>34</v>
      </c>
      <c r="E139" s="122"/>
      <c r="F139" s="106"/>
      <c r="G139" s="93"/>
      <c r="H139" s="94"/>
      <c r="I139" s="98"/>
      <c r="J139" s="95">
        <v>0</v>
      </c>
      <c r="K139" s="96">
        <v>0</v>
      </c>
      <c r="L139" s="96">
        <v>1</v>
      </c>
      <c r="M139" s="96" t="s">
        <v>43</v>
      </c>
      <c r="N139" s="96">
        <v>1</v>
      </c>
      <c r="O139" s="111" t="s">
        <v>6</v>
      </c>
      <c r="P139" s="106" t="s">
        <v>339</v>
      </c>
      <c r="Q139" s="106"/>
      <c r="R139" s="106"/>
      <c r="S139" s="106"/>
      <c r="T139" s="106"/>
    </row>
    <row r="140" spans="1:20" ht="15" hidden="1" x14ac:dyDescent="0.4">
      <c r="A140" s="106" t="s">
        <v>319</v>
      </c>
      <c r="B140" s="106">
        <v>135</v>
      </c>
      <c r="C140" s="106" t="s">
        <v>423</v>
      </c>
      <c r="D140" s="93">
        <v>35</v>
      </c>
      <c r="E140" s="122"/>
      <c r="F140" s="106"/>
      <c r="G140" s="93"/>
      <c r="H140" s="94"/>
      <c r="I140" s="98"/>
      <c r="J140" s="95">
        <v>0</v>
      </c>
      <c r="K140" s="96">
        <v>0</v>
      </c>
      <c r="L140" s="96">
        <v>1</v>
      </c>
      <c r="M140" s="96" t="s">
        <v>43</v>
      </c>
      <c r="N140" s="96">
        <v>1</v>
      </c>
      <c r="O140" s="111" t="s">
        <v>6</v>
      </c>
      <c r="P140" s="106" t="s">
        <v>339</v>
      </c>
      <c r="Q140" s="106"/>
      <c r="R140" s="106"/>
      <c r="S140" s="106"/>
      <c r="T140" s="106"/>
    </row>
    <row r="141" spans="1:20" ht="15" hidden="1" x14ac:dyDescent="0.4">
      <c r="A141" s="106" t="s">
        <v>319</v>
      </c>
      <c r="B141" s="106">
        <v>136</v>
      </c>
      <c r="C141" s="106" t="s">
        <v>423</v>
      </c>
      <c r="D141" s="93">
        <v>36</v>
      </c>
      <c r="E141" s="122"/>
      <c r="F141" s="106"/>
      <c r="G141" s="93"/>
      <c r="H141" s="94"/>
      <c r="I141" s="98"/>
      <c r="J141" s="95">
        <v>0</v>
      </c>
      <c r="K141" s="96">
        <v>0</v>
      </c>
      <c r="L141" s="96">
        <v>1</v>
      </c>
      <c r="M141" s="96" t="s">
        <v>43</v>
      </c>
      <c r="N141" s="96">
        <v>1</v>
      </c>
      <c r="O141" s="111" t="s">
        <v>6</v>
      </c>
      <c r="P141" s="106" t="s">
        <v>339</v>
      </c>
      <c r="Q141" s="106"/>
      <c r="R141" s="106"/>
      <c r="S141" s="106"/>
      <c r="T141" s="106"/>
    </row>
    <row r="142" spans="1:20" ht="15" hidden="1" x14ac:dyDescent="0.4">
      <c r="A142" s="106" t="s">
        <v>319</v>
      </c>
      <c r="B142" s="106">
        <v>137</v>
      </c>
      <c r="C142" s="106" t="s">
        <v>423</v>
      </c>
      <c r="D142" s="93">
        <v>37</v>
      </c>
      <c r="E142" s="122"/>
      <c r="F142" s="106"/>
      <c r="G142" s="93"/>
      <c r="H142" s="94"/>
      <c r="I142" s="98"/>
      <c r="J142" s="95">
        <v>0</v>
      </c>
      <c r="K142" s="96">
        <v>0</v>
      </c>
      <c r="L142" s="96">
        <v>1</v>
      </c>
      <c r="M142" s="96" t="s">
        <v>43</v>
      </c>
      <c r="N142" s="96">
        <v>1</v>
      </c>
      <c r="O142" s="111" t="s">
        <v>6</v>
      </c>
      <c r="P142" s="106" t="s">
        <v>339</v>
      </c>
      <c r="Q142" s="106"/>
      <c r="R142" s="106"/>
      <c r="S142" s="106"/>
      <c r="T142" s="106"/>
    </row>
    <row r="143" spans="1:20" ht="15" hidden="1" x14ac:dyDescent="0.4">
      <c r="A143" s="106" t="s">
        <v>319</v>
      </c>
      <c r="B143" s="106">
        <v>138</v>
      </c>
      <c r="C143" s="106" t="s">
        <v>423</v>
      </c>
      <c r="D143" s="93">
        <v>38</v>
      </c>
      <c r="E143" s="122"/>
      <c r="F143" s="106"/>
      <c r="G143" s="93"/>
      <c r="H143" s="94"/>
      <c r="I143" s="98"/>
      <c r="J143" s="95">
        <v>0</v>
      </c>
      <c r="K143" s="96">
        <v>0</v>
      </c>
      <c r="L143" s="96">
        <v>1</v>
      </c>
      <c r="M143" s="96" t="s">
        <v>43</v>
      </c>
      <c r="N143" s="96">
        <v>1</v>
      </c>
      <c r="O143" s="111" t="s">
        <v>6</v>
      </c>
      <c r="P143" s="106" t="s">
        <v>339</v>
      </c>
      <c r="Q143" s="106"/>
      <c r="R143" s="106"/>
      <c r="S143" s="106"/>
      <c r="T143" s="106"/>
    </row>
    <row r="144" spans="1:20" ht="15" hidden="1" x14ac:dyDescent="0.4">
      <c r="A144" s="106" t="s">
        <v>319</v>
      </c>
      <c r="B144" s="106">
        <v>139</v>
      </c>
      <c r="C144" s="106" t="s">
        <v>423</v>
      </c>
      <c r="D144" s="93">
        <v>39</v>
      </c>
      <c r="E144" s="122"/>
      <c r="F144" s="106"/>
      <c r="G144" s="93"/>
      <c r="H144" s="94"/>
      <c r="I144" s="98"/>
      <c r="J144" s="95">
        <v>0</v>
      </c>
      <c r="K144" s="96">
        <v>0</v>
      </c>
      <c r="L144" s="96">
        <v>1</v>
      </c>
      <c r="M144" s="96" t="s">
        <v>43</v>
      </c>
      <c r="N144" s="96">
        <v>1</v>
      </c>
      <c r="O144" s="111" t="s">
        <v>6</v>
      </c>
      <c r="P144" s="106" t="s">
        <v>339</v>
      </c>
      <c r="Q144" s="106"/>
      <c r="R144" s="106"/>
      <c r="S144" s="106"/>
      <c r="T144" s="106"/>
    </row>
    <row r="145" spans="1:20" ht="15" hidden="1" x14ac:dyDescent="0.4">
      <c r="A145" s="106" t="s">
        <v>319</v>
      </c>
      <c r="B145" s="106">
        <v>140</v>
      </c>
      <c r="C145" s="106" t="s">
        <v>423</v>
      </c>
      <c r="D145" s="93">
        <v>40</v>
      </c>
      <c r="E145" s="122"/>
      <c r="F145" s="106"/>
      <c r="G145" s="93"/>
      <c r="H145" s="94"/>
      <c r="I145" s="98"/>
      <c r="J145" s="95">
        <v>0</v>
      </c>
      <c r="K145" s="96">
        <v>0</v>
      </c>
      <c r="L145" s="96">
        <v>1</v>
      </c>
      <c r="M145" s="96" t="s">
        <v>43</v>
      </c>
      <c r="N145" s="96">
        <v>1</v>
      </c>
      <c r="O145" s="111" t="s">
        <v>6</v>
      </c>
      <c r="P145" s="106" t="s">
        <v>339</v>
      </c>
      <c r="Q145" s="106"/>
      <c r="R145" s="106"/>
      <c r="S145" s="106"/>
      <c r="T145" s="106"/>
    </row>
    <row r="146" spans="1:20" ht="15" hidden="1" x14ac:dyDescent="0.4">
      <c r="A146" s="106" t="s">
        <v>319</v>
      </c>
      <c r="B146" s="106">
        <v>141</v>
      </c>
      <c r="C146" s="106" t="s">
        <v>423</v>
      </c>
      <c r="D146" s="93">
        <v>41</v>
      </c>
      <c r="E146" s="122"/>
      <c r="F146" s="106"/>
      <c r="G146" s="93"/>
      <c r="H146" s="94"/>
      <c r="I146" s="98"/>
      <c r="J146" s="95">
        <v>0</v>
      </c>
      <c r="K146" s="96">
        <v>0</v>
      </c>
      <c r="L146" s="96">
        <v>1</v>
      </c>
      <c r="M146" s="96" t="s">
        <v>43</v>
      </c>
      <c r="N146" s="96">
        <v>1</v>
      </c>
      <c r="O146" s="111" t="s">
        <v>6</v>
      </c>
      <c r="P146" s="106" t="s">
        <v>339</v>
      </c>
      <c r="Q146" s="106"/>
      <c r="R146" s="106"/>
      <c r="S146" s="106"/>
      <c r="T146" s="106"/>
    </row>
    <row r="147" spans="1:20" ht="15" hidden="1" x14ac:dyDescent="0.4">
      <c r="A147" s="106" t="s">
        <v>319</v>
      </c>
      <c r="B147" s="106">
        <v>142</v>
      </c>
      <c r="C147" s="106" t="s">
        <v>423</v>
      </c>
      <c r="D147" s="93">
        <v>42</v>
      </c>
      <c r="E147" s="122"/>
      <c r="F147" s="106"/>
      <c r="G147" s="93"/>
      <c r="H147" s="94"/>
      <c r="I147" s="98"/>
      <c r="J147" s="95">
        <v>0</v>
      </c>
      <c r="K147" s="96">
        <v>0</v>
      </c>
      <c r="L147" s="96">
        <v>1</v>
      </c>
      <c r="M147" s="96" t="s">
        <v>43</v>
      </c>
      <c r="N147" s="96">
        <v>1</v>
      </c>
      <c r="O147" s="111" t="s">
        <v>6</v>
      </c>
      <c r="P147" s="106" t="s">
        <v>339</v>
      </c>
      <c r="Q147" s="106"/>
      <c r="R147" s="106"/>
      <c r="S147" s="106"/>
      <c r="T147" s="106"/>
    </row>
    <row r="148" spans="1:20" ht="15" hidden="1" x14ac:dyDescent="0.4">
      <c r="A148" s="106" t="s">
        <v>319</v>
      </c>
      <c r="B148" s="106">
        <v>143</v>
      </c>
      <c r="C148" s="106" t="s">
        <v>423</v>
      </c>
      <c r="D148" s="93">
        <v>43</v>
      </c>
      <c r="E148" s="122"/>
      <c r="F148" s="106"/>
      <c r="G148" s="93"/>
      <c r="H148" s="94"/>
      <c r="I148" s="98"/>
      <c r="J148" s="95">
        <v>0</v>
      </c>
      <c r="K148" s="96">
        <v>0</v>
      </c>
      <c r="L148" s="96">
        <v>1</v>
      </c>
      <c r="M148" s="96" t="s">
        <v>43</v>
      </c>
      <c r="N148" s="96">
        <v>1</v>
      </c>
      <c r="O148" s="111" t="s">
        <v>6</v>
      </c>
      <c r="P148" s="106" t="s">
        <v>339</v>
      </c>
      <c r="Q148" s="106"/>
      <c r="R148" s="106"/>
      <c r="S148" s="106"/>
      <c r="T148" s="106"/>
    </row>
    <row r="149" spans="1:20" ht="15" hidden="1" x14ac:dyDescent="0.4">
      <c r="A149" s="106" t="s">
        <v>319</v>
      </c>
      <c r="B149" s="106">
        <v>144</v>
      </c>
      <c r="C149" s="106" t="s">
        <v>423</v>
      </c>
      <c r="D149" s="93">
        <v>44</v>
      </c>
      <c r="E149" s="122"/>
      <c r="F149" s="106"/>
      <c r="G149" s="93"/>
      <c r="H149" s="94"/>
      <c r="I149" s="98"/>
      <c r="J149" s="95">
        <v>0</v>
      </c>
      <c r="K149" s="96">
        <v>0</v>
      </c>
      <c r="L149" s="96">
        <v>1</v>
      </c>
      <c r="M149" s="96" t="s">
        <v>43</v>
      </c>
      <c r="N149" s="96">
        <v>1</v>
      </c>
      <c r="O149" s="111" t="s">
        <v>6</v>
      </c>
      <c r="P149" s="106" t="s">
        <v>339</v>
      </c>
      <c r="Q149" s="106"/>
      <c r="R149" s="106"/>
      <c r="S149" s="106"/>
      <c r="T149" s="106"/>
    </row>
    <row r="150" spans="1:20" ht="15" hidden="1" x14ac:dyDescent="0.4">
      <c r="A150" s="106" t="s">
        <v>319</v>
      </c>
      <c r="B150" s="106">
        <v>145</v>
      </c>
      <c r="C150" s="106" t="s">
        <v>423</v>
      </c>
      <c r="D150" s="93">
        <v>45</v>
      </c>
      <c r="E150" s="122"/>
      <c r="F150" s="106"/>
      <c r="G150" s="93"/>
      <c r="H150" s="94"/>
      <c r="I150" s="98"/>
      <c r="J150" s="95">
        <v>0</v>
      </c>
      <c r="K150" s="96">
        <v>0</v>
      </c>
      <c r="L150" s="96">
        <v>1</v>
      </c>
      <c r="M150" s="96" t="s">
        <v>43</v>
      </c>
      <c r="N150" s="96">
        <v>1</v>
      </c>
      <c r="O150" s="111" t="s">
        <v>6</v>
      </c>
      <c r="P150" s="106" t="s">
        <v>339</v>
      </c>
      <c r="Q150" s="106"/>
      <c r="R150" s="106"/>
      <c r="S150" s="106"/>
      <c r="T150" s="106"/>
    </row>
    <row r="151" spans="1:20" ht="15" hidden="1" x14ac:dyDescent="0.4">
      <c r="A151" s="106" t="s">
        <v>319</v>
      </c>
      <c r="B151" s="106">
        <v>146</v>
      </c>
      <c r="C151" s="106" t="s">
        <v>423</v>
      </c>
      <c r="D151" s="93">
        <v>46</v>
      </c>
      <c r="E151" s="122"/>
      <c r="F151" s="106"/>
      <c r="G151" s="93"/>
      <c r="H151" s="94"/>
      <c r="I151" s="98"/>
      <c r="J151" s="95">
        <v>0</v>
      </c>
      <c r="K151" s="96">
        <v>0</v>
      </c>
      <c r="L151" s="96">
        <v>1</v>
      </c>
      <c r="M151" s="96" t="s">
        <v>43</v>
      </c>
      <c r="N151" s="96">
        <v>1</v>
      </c>
      <c r="O151" s="111" t="s">
        <v>6</v>
      </c>
      <c r="P151" s="106" t="s">
        <v>339</v>
      </c>
      <c r="Q151" s="106"/>
      <c r="R151" s="106"/>
      <c r="S151" s="106"/>
      <c r="T151" s="106"/>
    </row>
    <row r="152" spans="1:20" ht="15" hidden="1" x14ac:dyDescent="0.4">
      <c r="A152" s="106" t="s">
        <v>319</v>
      </c>
      <c r="B152" s="106">
        <v>147</v>
      </c>
      <c r="C152" s="106" t="s">
        <v>423</v>
      </c>
      <c r="D152" s="93">
        <v>47</v>
      </c>
      <c r="E152" s="122"/>
      <c r="F152" s="106"/>
      <c r="G152" s="93"/>
      <c r="H152" s="94"/>
      <c r="I152" s="98"/>
      <c r="J152" s="95">
        <v>0</v>
      </c>
      <c r="K152" s="96">
        <v>0</v>
      </c>
      <c r="L152" s="96">
        <v>1</v>
      </c>
      <c r="M152" s="96" t="s">
        <v>43</v>
      </c>
      <c r="N152" s="96">
        <v>1</v>
      </c>
      <c r="O152" s="111" t="s">
        <v>6</v>
      </c>
      <c r="P152" s="106" t="s">
        <v>339</v>
      </c>
      <c r="Q152" s="106"/>
      <c r="R152" s="106"/>
      <c r="S152" s="106"/>
      <c r="T152" s="106"/>
    </row>
    <row r="153" spans="1:20" ht="15" hidden="1" x14ac:dyDescent="0.4">
      <c r="A153" s="106" t="s">
        <v>319</v>
      </c>
      <c r="B153" s="106">
        <v>148</v>
      </c>
      <c r="C153" s="106" t="s">
        <v>423</v>
      </c>
      <c r="D153" s="93">
        <v>48</v>
      </c>
      <c r="E153" s="122"/>
      <c r="F153" s="106"/>
      <c r="G153" s="93"/>
      <c r="H153" s="94"/>
      <c r="I153" s="98"/>
      <c r="J153" s="95">
        <v>0</v>
      </c>
      <c r="K153" s="96">
        <v>0</v>
      </c>
      <c r="L153" s="96">
        <v>1</v>
      </c>
      <c r="M153" s="96" t="s">
        <v>43</v>
      </c>
      <c r="N153" s="96">
        <v>1</v>
      </c>
      <c r="O153" s="111" t="s">
        <v>6</v>
      </c>
      <c r="P153" s="106" t="s">
        <v>339</v>
      </c>
      <c r="Q153" s="106"/>
      <c r="R153" s="106"/>
      <c r="S153" s="106"/>
      <c r="T153" s="106"/>
    </row>
    <row r="154" spans="1:20" ht="15" hidden="1" x14ac:dyDescent="0.4">
      <c r="A154" s="106" t="s">
        <v>319</v>
      </c>
      <c r="B154" s="106">
        <v>149</v>
      </c>
      <c r="C154" s="106" t="s">
        <v>423</v>
      </c>
      <c r="D154" s="93">
        <v>49</v>
      </c>
      <c r="E154" s="122"/>
      <c r="F154" s="106"/>
      <c r="G154" s="93"/>
      <c r="H154" s="94"/>
      <c r="I154" s="98"/>
      <c r="J154" s="95">
        <v>0</v>
      </c>
      <c r="K154" s="96">
        <v>0</v>
      </c>
      <c r="L154" s="96">
        <v>1</v>
      </c>
      <c r="M154" s="96" t="s">
        <v>43</v>
      </c>
      <c r="N154" s="96">
        <v>1</v>
      </c>
      <c r="O154" s="111" t="s">
        <v>6</v>
      </c>
      <c r="P154" s="106" t="s">
        <v>339</v>
      </c>
      <c r="Q154" s="106"/>
      <c r="R154" s="106"/>
      <c r="S154" s="106"/>
      <c r="T154" s="106"/>
    </row>
    <row r="155" spans="1:20" s="79" customFormat="1" ht="15" x14ac:dyDescent="0.4">
      <c r="A155" s="105" t="s">
        <v>319</v>
      </c>
      <c r="B155" s="105">
        <v>150</v>
      </c>
      <c r="C155" s="105" t="s">
        <v>420</v>
      </c>
      <c r="D155" s="87">
        <v>0</v>
      </c>
      <c r="E155" s="121" t="s">
        <v>493</v>
      </c>
      <c r="F155" s="105">
        <v>0</v>
      </c>
      <c r="G155" s="87" t="s">
        <v>419</v>
      </c>
      <c r="H155" s="88" t="s">
        <v>433</v>
      </c>
      <c r="I155" s="172" t="s">
        <v>457</v>
      </c>
      <c r="J155" s="90">
        <v>0</v>
      </c>
      <c r="K155" s="91">
        <v>0</v>
      </c>
      <c r="L155" s="91">
        <v>120</v>
      </c>
      <c r="M155" s="91" t="s">
        <v>8</v>
      </c>
      <c r="N155" s="91">
        <v>100</v>
      </c>
      <c r="O155" s="113" t="s">
        <v>379</v>
      </c>
      <c r="P155" s="105" t="s">
        <v>339</v>
      </c>
      <c r="Q155" s="105"/>
      <c r="R155" s="105"/>
      <c r="S155" s="105"/>
      <c r="T155" s="105"/>
    </row>
    <row r="156" spans="1:20" s="79" customFormat="1" ht="15" x14ac:dyDescent="0.4">
      <c r="A156" s="105" t="s">
        <v>319</v>
      </c>
      <c r="B156" s="105">
        <v>151</v>
      </c>
      <c r="C156" s="105" t="s">
        <v>420</v>
      </c>
      <c r="D156" s="87">
        <v>1</v>
      </c>
      <c r="E156" s="121" t="s">
        <v>493</v>
      </c>
      <c r="F156" s="105">
        <v>1</v>
      </c>
      <c r="G156" s="87" t="s">
        <v>646</v>
      </c>
      <c r="H156" s="88" t="s">
        <v>434</v>
      </c>
      <c r="I156" s="172"/>
      <c r="J156" s="90">
        <v>25</v>
      </c>
      <c r="K156" s="91">
        <v>0</v>
      </c>
      <c r="L156" s="91">
        <v>120</v>
      </c>
      <c r="M156" s="91" t="s">
        <v>8</v>
      </c>
      <c r="N156" s="91">
        <v>100</v>
      </c>
      <c r="O156" s="113" t="s">
        <v>379</v>
      </c>
      <c r="P156" s="105" t="s">
        <v>339</v>
      </c>
      <c r="Q156" s="105"/>
      <c r="R156" s="105"/>
      <c r="S156" s="105"/>
      <c r="T156" s="105"/>
    </row>
    <row r="157" spans="1:20" s="79" customFormat="1" ht="15" x14ac:dyDescent="0.4">
      <c r="A157" s="105" t="s">
        <v>319</v>
      </c>
      <c r="B157" s="105">
        <v>152</v>
      </c>
      <c r="C157" s="105" t="s">
        <v>420</v>
      </c>
      <c r="D157" s="87">
        <v>2</v>
      </c>
      <c r="E157" s="121" t="s">
        <v>493</v>
      </c>
      <c r="F157" s="105">
        <v>2</v>
      </c>
      <c r="G157" s="87" t="s">
        <v>647</v>
      </c>
      <c r="H157" s="88" t="s">
        <v>435</v>
      </c>
      <c r="I157" s="172"/>
      <c r="J157" s="90">
        <v>50</v>
      </c>
      <c r="K157" s="91">
        <v>0</v>
      </c>
      <c r="L157" s="91">
        <v>120</v>
      </c>
      <c r="M157" s="91" t="s">
        <v>8</v>
      </c>
      <c r="N157" s="91">
        <v>100</v>
      </c>
      <c r="O157" s="113" t="s">
        <v>379</v>
      </c>
      <c r="P157" s="105" t="s">
        <v>339</v>
      </c>
      <c r="Q157" s="105"/>
      <c r="R157" s="105"/>
      <c r="S157" s="105"/>
      <c r="T157" s="105"/>
    </row>
    <row r="158" spans="1:20" s="79" customFormat="1" ht="15" x14ac:dyDescent="0.4">
      <c r="A158" s="105" t="s">
        <v>319</v>
      </c>
      <c r="B158" s="105">
        <v>153</v>
      </c>
      <c r="C158" s="105" t="s">
        <v>420</v>
      </c>
      <c r="D158" s="87">
        <v>3</v>
      </c>
      <c r="E158" s="121" t="s">
        <v>493</v>
      </c>
      <c r="F158" s="105">
        <v>3</v>
      </c>
      <c r="G158" s="87" t="s">
        <v>648</v>
      </c>
      <c r="H158" s="88" t="s">
        <v>436</v>
      </c>
      <c r="I158" s="172"/>
      <c r="J158" s="90">
        <v>75</v>
      </c>
      <c r="K158" s="91">
        <v>0</v>
      </c>
      <c r="L158" s="91">
        <v>120</v>
      </c>
      <c r="M158" s="91" t="s">
        <v>8</v>
      </c>
      <c r="N158" s="91">
        <v>100</v>
      </c>
      <c r="O158" s="113" t="s">
        <v>379</v>
      </c>
      <c r="P158" s="105" t="s">
        <v>339</v>
      </c>
      <c r="Q158" s="105"/>
      <c r="R158" s="105"/>
      <c r="S158" s="105"/>
      <c r="T158" s="105"/>
    </row>
    <row r="159" spans="1:20" s="79" customFormat="1" ht="15" x14ac:dyDescent="0.4">
      <c r="A159" s="105" t="s">
        <v>319</v>
      </c>
      <c r="B159" s="105">
        <v>154</v>
      </c>
      <c r="C159" s="105" t="s">
        <v>420</v>
      </c>
      <c r="D159" s="87">
        <v>4</v>
      </c>
      <c r="E159" s="121" t="s">
        <v>493</v>
      </c>
      <c r="F159" s="105">
        <v>4</v>
      </c>
      <c r="G159" s="87" t="s">
        <v>649</v>
      </c>
      <c r="H159" s="88" t="s">
        <v>437</v>
      </c>
      <c r="I159" s="172"/>
      <c r="J159" s="90">
        <v>100</v>
      </c>
      <c r="K159" s="91">
        <v>0</v>
      </c>
      <c r="L159" s="91">
        <v>120</v>
      </c>
      <c r="M159" s="91" t="s">
        <v>8</v>
      </c>
      <c r="N159" s="91">
        <v>100</v>
      </c>
      <c r="O159" s="113" t="s">
        <v>379</v>
      </c>
      <c r="P159" s="105" t="s">
        <v>339</v>
      </c>
      <c r="Q159" s="105"/>
      <c r="R159" s="105"/>
      <c r="S159" s="105"/>
      <c r="T159" s="105"/>
    </row>
    <row r="160" spans="1:20" s="79" customFormat="1" ht="16.8" x14ac:dyDescent="0.4">
      <c r="A160" s="105" t="s">
        <v>319</v>
      </c>
      <c r="B160" s="105">
        <v>155</v>
      </c>
      <c r="C160" s="105" t="s">
        <v>420</v>
      </c>
      <c r="D160" s="87">
        <v>5</v>
      </c>
      <c r="E160" s="121" t="s">
        <v>494</v>
      </c>
      <c r="F160" s="105">
        <v>0</v>
      </c>
      <c r="G160" s="87" t="s">
        <v>458</v>
      </c>
      <c r="H160" s="88" t="s">
        <v>463</v>
      </c>
      <c r="I160" s="172"/>
      <c r="J160" s="90">
        <v>0</v>
      </c>
      <c r="K160" s="91">
        <v>0</v>
      </c>
      <c r="L160" s="91">
        <v>10000</v>
      </c>
      <c r="M160" s="91" t="s">
        <v>289</v>
      </c>
      <c r="N160" s="91">
        <v>1</v>
      </c>
      <c r="O160" s="113" t="s">
        <v>379</v>
      </c>
      <c r="P160" s="105" t="s">
        <v>339</v>
      </c>
      <c r="Q160" s="105"/>
      <c r="R160" s="105"/>
      <c r="S160" s="105"/>
      <c r="T160" s="105"/>
    </row>
    <row r="161" spans="1:20" s="79" customFormat="1" ht="15" x14ac:dyDescent="0.4">
      <c r="A161" s="105" t="s">
        <v>319</v>
      </c>
      <c r="B161" s="105">
        <v>156</v>
      </c>
      <c r="C161" s="105" t="s">
        <v>420</v>
      </c>
      <c r="D161" s="87">
        <v>6</v>
      </c>
      <c r="E161" s="121" t="s">
        <v>494</v>
      </c>
      <c r="F161" s="105">
        <v>1</v>
      </c>
      <c r="G161" s="87" t="s">
        <v>650</v>
      </c>
      <c r="H161" s="88" t="s">
        <v>459</v>
      </c>
      <c r="I161" s="172"/>
      <c r="J161" s="90">
        <v>3000</v>
      </c>
      <c r="K161" s="91">
        <v>0</v>
      </c>
      <c r="L161" s="91">
        <v>10000</v>
      </c>
      <c r="M161" s="91" t="s">
        <v>289</v>
      </c>
      <c r="N161" s="91">
        <v>1</v>
      </c>
      <c r="O161" s="113" t="s">
        <v>379</v>
      </c>
      <c r="P161" s="105" t="s">
        <v>339</v>
      </c>
      <c r="Q161" s="105"/>
      <c r="R161" s="105"/>
      <c r="S161" s="105"/>
      <c r="T161" s="105"/>
    </row>
    <row r="162" spans="1:20" s="79" customFormat="1" ht="15" x14ac:dyDescent="0.4">
      <c r="A162" s="105" t="s">
        <v>319</v>
      </c>
      <c r="B162" s="105">
        <v>157</v>
      </c>
      <c r="C162" s="105" t="s">
        <v>420</v>
      </c>
      <c r="D162" s="87">
        <v>7</v>
      </c>
      <c r="E162" s="121" t="s">
        <v>494</v>
      </c>
      <c r="F162" s="105">
        <v>2</v>
      </c>
      <c r="G162" s="87" t="s">
        <v>651</v>
      </c>
      <c r="H162" s="88" t="s">
        <v>460</v>
      </c>
      <c r="I162" s="172"/>
      <c r="J162" s="90">
        <v>5000</v>
      </c>
      <c r="K162" s="91">
        <v>0</v>
      </c>
      <c r="L162" s="91">
        <v>10000</v>
      </c>
      <c r="M162" s="91" t="s">
        <v>289</v>
      </c>
      <c r="N162" s="91">
        <v>1</v>
      </c>
      <c r="O162" s="113" t="s">
        <v>379</v>
      </c>
      <c r="P162" s="105" t="s">
        <v>339</v>
      </c>
      <c r="Q162" s="105"/>
      <c r="R162" s="105"/>
      <c r="S162" s="105"/>
      <c r="T162" s="105"/>
    </row>
    <row r="163" spans="1:20" s="79" customFormat="1" ht="15" x14ac:dyDescent="0.4">
      <c r="A163" s="105" t="s">
        <v>319</v>
      </c>
      <c r="B163" s="105">
        <v>158</v>
      </c>
      <c r="C163" s="105" t="s">
        <v>420</v>
      </c>
      <c r="D163" s="87">
        <v>8</v>
      </c>
      <c r="E163" s="121" t="s">
        <v>494</v>
      </c>
      <c r="F163" s="105">
        <v>3</v>
      </c>
      <c r="G163" s="87" t="s">
        <v>652</v>
      </c>
      <c r="H163" s="88" t="s">
        <v>461</v>
      </c>
      <c r="I163" s="172"/>
      <c r="J163" s="90">
        <v>7100</v>
      </c>
      <c r="K163" s="91">
        <v>0</v>
      </c>
      <c r="L163" s="91">
        <v>10000</v>
      </c>
      <c r="M163" s="91" t="s">
        <v>289</v>
      </c>
      <c r="N163" s="91">
        <v>1</v>
      </c>
      <c r="O163" s="113" t="s">
        <v>379</v>
      </c>
      <c r="P163" s="105" t="s">
        <v>339</v>
      </c>
      <c r="Q163" s="105"/>
      <c r="R163" s="105"/>
      <c r="S163" s="105"/>
      <c r="T163" s="105"/>
    </row>
    <row r="164" spans="1:20" s="79" customFormat="1" ht="15" x14ac:dyDescent="0.4">
      <c r="A164" s="105" t="s">
        <v>319</v>
      </c>
      <c r="B164" s="105">
        <v>159</v>
      </c>
      <c r="C164" s="105" t="s">
        <v>420</v>
      </c>
      <c r="D164" s="87">
        <v>9</v>
      </c>
      <c r="E164" s="121" t="s">
        <v>494</v>
      </c>
      <c r="F164" s="105">
        <v>4</v>
      </c>
      <c r="G164" s="87" t="s">
        <v>653</v>
      </c>
      <c r="H164" s="88" t="s">
        <v>462</v>
      </c>
      <c r="I164" s="172"/>
      <c r="J164" s="90">
        <v>8700</v>
      </c>
      <c r="K164" s="91">
        <v>0</v>
      </c>
      <c r="L164" s="91">
        <v>10000</v>
      </c>
      <c r="M164" s="91" t="s">
        <v>289</v>
      </c>
      <c r="N164" s="91">
        <v>1</v>
      </c>
      <c r="O164" s="113" t="s">
        <v>379</v>
      </c>
      <c r="P164" s="105" t="s">
        <v>339</v>
      </c>
      <c r="Q164" s="105"/>
      <c r="R164" s="105"/>
      <c r="S164" s="105"/>
      <c r="T164" s="105"/>
    </row>
    <row r="165" spans="1:20" s="79" customFormat="1" ht="15" x14ac:dyDescent="0.4">
      <c r="A165" s="105" t="s">
        <v>319</v>
      </c>
      <c r="B165" s="105">
        <v>160</v>
      </c>
      <c r="C165" s="105" t="s">
        <v>420</v>
      </c>
      <c r="D165" s="87">
        <v>10</v>
      </c>
      <c r="E165" s="121" t="s">
        <v>495</v>
      </c>
      <c r="F165" s="105">
        <v>0</v>
      </c>
      <c r="G165" s="87" t="s">
        <v>464</v>
      </c>
      <c r="H165" s="88" t="s">
        <v>466</v>
      </c>
      <c r="I165" s="172"/>
      <c r="J165" s="90">
        <v>0</v>
      </c>
      <c r="K165" s="91">
        <v>0</v>
      </c>
      <c r="L165" s="91">
        <v>50</v>
      </c>
      <c r="M165" s="91" t="s">
        <v>476</v>
      </c>
      <c r="N165" s="91">
        <v>10</v>
      </c>
      <c r="O165" s="113" t="s">
        <v>379</v>
      </c>
      <c r="P165" s="105" t="s">
        <v>339</v>
      </c>
      <c r="Q165" s="105"/>
      <c r="R165" s="105"/>
      <c r="S165" s="105"/>
      <c r="T165" s="105"/>
    </row>
    <row r="166" spans="1:20" s="79" customFormat="1" ht="15" x14ac:dyDescent="0.4">
      <c r="A166" s="105" t="s">
        <v>319</v>
      </c>
      <c r="B166" s="105">
        <v>161</v>
      </c>
      <c r="C166" s="105" t="s">
        <v>420</v>
      </c>
      <c r="D166" s="87">
        <v>11</v>
      </c>
      <c r="E166" s="121" t="s">
        <v>495</v>
      </c>
      <c r="F166" s="105">
        <v>1</v>
      </c>
      <c r="G166" s="87" t="s">
        <v>654</v>
      </c>
      <c r="H166" s="88" t="s">
        <v>467</v>
      </c>
      <c r="I166" s="172"/>
      <c r="J166" s="90">
        <v>17.8</v>
      </c>
      <c r="K166" s="91">
        <v>0</v>
      </c>
      <c r="L166" s="91">
        <v>50</v>
      </c>
      <c r="M166" s="91" t="s">
        <v>476</v>
      </c>
      <c r="N166" s="91">
        <v>10</v>
      </c>
      <c r="O166" s="113" t="s">
        <v>379</v>
      </c>
      <c r="P166" s="105" t="s">
        <v>339</v>
      </c>
      <c r="Q166" s="105"/>
      <c r="R166" s="105"/>
      <c r="S166" s="105"/>
      <c r="T166" s="105"/>
    </row>
    <row r="167" spans="1:20" s="79" customFormat="1" ht="15" x14ac:dyDescent="0.4">
      <c r="A167" s="105" t="s">
        <v>319</v>
      </c>
      <c r="B167" s="105">
        <v>162</v>
      </c>
      <c r="C167" s="105" t="s">
        <v>420</v>
      </c>
      <c r="D167" s="87">
        <v>12</v>
      </c>
      <c r="E167" s="121" t="s">
        <v>495</v>
      </c>
      <c r="F167" s="105">
        <v>2</v>
      </c>
      <c r="G167" s="87" t="s">
        <v>655</v>
      </c>
      <c r="H167" s="88" t="s">
        <v>468</v>
      </c>
      <c r="I167" s="172"/>
      <c r="J167" s="90">
        <v>88</v>
      </c>
      <c r="K167" s="91">
        <v>0</v>
      </c>
      <c r="L167" s="91">
        <v>50</v>
      </c>
      <c r="M167" s="91" t="s">
        <v>476</v>
      </c>
      <c r="N167" s="91">
        <v>10</v>
      </c>
      <c r="O167" s="113" t="s">
        <v>379</v>
      </c>
      <c r="P167" s="105" t="s">
        <v>339</v>
      </c>
      <c r="Q167" s="105"/>
      <c r="R167" s="105"/>
      <c r="S167" s="105"/>
      <c r="T167" s="105"/>
    </row>
    <row r="168" spans="1:20" s="79" customFormat="1" ht="15" x14ac:dyDescent="0.4">
      <c r="A168" s="105" t="s">
        <v>319</v>
      </c>
      <c r="B168" s="105">
        <v>163</v>
      </c>
      <c r="C168" s="105" t="s">
        <v>420</v>
      </c>
      <c r="D168" s="87">
        <v>13</v>
      </c>
      <c r="E168" s="121" t="s">
        <v>495</v>
      </c>
      <c r="F168" s="105">
        <v>3</v>
      </c>
      <c r="G168" s="87" t="s">
        <v>656</v>
      </c>
      <c r="H168" s="88" t="s">
        <v>469</v>
      </c>
      <c r="I168" s="172"/>
      <c r="J168" s="90">
        <v>5.2</v>
      </c>
      <c r="K168" s="91">
        <v>0</v>
      </c>
      <c r="L168" s="91">
        <v>50</v>
      </c>
      <c r="M168" s="91" t="s">
        <v>476</v>
      </c>
      <c r="N168" s="91">
        <v>10</v>
      </c>
      <c r="O168" s="113" t="s">
        <v>379</v>
      </c>
      <c r="P168" s="105" t="s">
        <v>339</v>
      </c>
      <c r="Q168" s="105"/>
      <c r="R168" s="105"/>
      <c r="S168" s="105"/>
      <c r="T168" s="105"/>
    </row>
    <row r="169" spans="1:20" s="79" customFormat="1" ht="15" x14ac:dyDescent="0.4">
      <c r="A169" s="105" t="s">
        <v>319</v>
      </c>
      <c r="B169" s="105">
        <v>164</v>
      </c>
      <c r="C169" s="105" t="s">
        <v>420</v>
      </c>
      <c r="D169" s="87">
        <v>14</v>
      </c>
      <c r="E169" s="121" t="s">
        <v>495</v>
      </c>
      <c r="F169" s="105">
        <v>4</v>
      </c>
      <c r="G169" s="87" t="s">
        <v>657</v>
      </c>
      <c r="H169" s="88" t="s">
        <v>470</v>
      </c>
      <c r="I169" s="172"/>
      <c r="J169" s="90">
        <v>3.6</v>
      </c>
      <c r="K169" s="91">
        <v>0</v>
      </c>
      <c r="L169" s="91">
        <v>50</v>
      </c>
      <c r="M169" s="91" t="s">
        <v>476</v>
      </c>
      <c r="N169" s="91">
        <v>10</v>
      </c>
      <c r="O169" s="113" t="s">
        <v>379</v>
      </c>
      <c r="P169" s="105" t="s">
        <v>339</v>
      </c>
      <c r="Q169" s="105"/>
      <c r="R169" s="105"/>
      <c r="S169" s="105"/>
      <c r="T169" s="105"/>
    </row>
    <row r="170" spans="1:20" s="79" customFormat="1" ht="15" x14ac:dyDescent="0.4">
      <c r="A170" s="105" t="s">
        <v>319</v>
      </c>
      <c r="B170" s="105">
        <v>165</v>
      </c>
      <c r="C170" s="105" t="s">
        <v>420</v>
      </c>
      <c r="D170" s="87">
        <v>15</v>
      </c>
      <c r="E170" s="121" t="s">
        <v>496</v>
      </c>
      <c r="F170" s="105">
        <v>0</v>
      </c>
      <c r="G170" s="87" t="s">
        <v>465</v>
      </c>
      <c r="H170" s="88" t="s">
        <v>471</v>
      </c>
      <c r="I170" s="172"/>
      <c r="J170" s="90">
        <v>0</v>
      </c>
      <c r="K170" s="91">
        <v>0</v>
      </c>
      <c r="L170" s="91">
        <v>20</v>
      </c>
      <c r="M170" s="91" t="s">
        <v>476</v>
      </c>
      <c r="N170" s="91">
        <v>10</v>
      </c>
      <c r="O170" s="113" t="s">
        <v>379</v>
      </c>
      <c r="P170" s="105" t="s">
        <v>339</v>
      </c>
      <c r="Q170" s="105"/>
      <c r="R170" s="105"/>
      <c r="S170" s="105"/>
      <c r="T170" s="105"/>
    </row>
    <row r="171" spans="1:20" s="79" customFormat="1" ht="15" x14ac:dyDescent="0.4">
      <c r="A171" s="105" t="s">
        <v>319</v>
      </c>
      <c r="B171" s="105">
        <v>166</v>
      </c>
      <c r="C171" s="105" t="s">
        <v>420</v>
      </c>
      <c r="D171" s="87">
        <v>16</v>
      </c>
      <c r="E171" s="121" t="s">
        <v>496</v>
      </c>
      <c r="F171" s="105">
        <v>1</v>
      </c>
      <c r="G171" s="87" t="s">
        <v>658</v>
      </c>
      <c r="H171" s="88" t="s">
        <v>472</v>
      </c>
      <c r="I171" s="172"/>
      <c r="J171" s="90">
        <v>4</v>
      </c>
      <c r="K171" s="91">
        <v>0</v>
      </c>
      <c r="L171" s="91">
        <v>20</v>
      </c>
      <c r="M171" s="91" t="s">
        <v>476</v>
      </c>
      <c r="N171" s="91">
        <v>10</v>
      </c>
      <c r="O171" s="113" t="s">
        <v>379</v>
      </c>
      <c r="P171" s="105" t="s">
        <v>339</v>
      </c>
      <c r="Q171" s="105"/>
      <c r="R171" s="105"/>
      <c r="S171" s="105"/>
      <c r="T171" s="105"/>
    </row>
    <row r="172" spans="1:20" s="79" customFormat="1" ht="15" x14ac:dyDescent="0.4">
      <c r="A172" s="105" t="s">
        <v>319</v>
      </c>
      <c r="B172" s="105">
        <v>167</v>
      </c>
      <c r="C172" s="105" t="s">
        <v>420</v>
      </c>
      <c r="D172" s="87">
        <v>17</v>
      </c>
      <c r="E172" s="121" t="s">
        <v>496</v>
      </c>
      <c r="F172" s="105">
        <v>2</v>
      </c>
      <c r="G172" s="87" t="s">
        <v>659</v>
      </c>
      <c r="H172" s="88" t="s">
        <v>473</v>
      </c>
      <c r="I172" s="172"/>
      <c r="J172" s="90">
        <v>2</v>
      </c>
      <c r="K172" s="91">
        <v>0</v>
      </c>
      <c r="L172" s="91">
        <v>20</v>
      </c>
      <c r="M172" s="91" t="s">
        <v>476</v>
      </c>
      <c r="N172" s="91">
        <v>10</v>
      </c>
      <c r="O172" s="113" t="s">
        <v>379</v>
      </c>
      <c r="P172" s="105" t="s">
        <v>339</v>
      </c>
      <c r="Q172" s="105"/>
      <c r="R172" s="105"/>
      <c r="S172" s="105"/>
      <c r="T172" s="105"/>
    </row>
    <row r="173" spans="1:20" s="79" customFormat="1" ht="15" x14ac:dyDescent="0.4">
      <c r="A173" s="105" t="s">
        <v>319</v>
      </c>
      <c r="B173" s="105">
        <v>168</v>
      </c>
      <c r="C173" s="105" t="s">
        <v>420</v>
      </c>
      <c r="D173" s="87">
        <v>18</v>
      </c>
      <c r="E173" s="121" t="s">
        <v>496</v>
      </c>
      <c r="F173" s="105">
        <v>3</v>
      </c>
      <c r="G173" s="87" t="s">
        <v>660</v>
      </c>
      <c r="H173" s="88" t="s">
        <v>474</v>
      </c>
      <c r="I173" s="172"/>
      <c r="J173" s="90">
        <v>3</v>
      </c>
      <c r="K173" s="91">
        <v>0</v>
      </c>
      <c r="L173" s="91">
        <v>20</v>
      </c>
      <c r="M173" s="91" t="s">
        <v>476</v>
      </c>
      <c r="N173" s="91">
        <v>10</v>
      </c>
      <c r="O173" s="113" t="s">
        <v>379</v>
      </c>
      <c r="P173" s="105" t="s">
        <v>339</v>
      </c>
      <c r="Q173" s="105"/>
      <c r="R173" s="105"/>
      <c r="S173" s="105"/>
      <c r="T173" s="105"/>
    </row>
    <row r="174" spans="1:20" s="79" customFormat="1" ht="15" x14ac:dyDescent="0.4">
      <c r="A174" s="105" t="s">
        <v>319</v>
      </c>
      <c r="B174" s="105">
        <v>169</v>
      </c>
      <c r="C174" s="105" t="s">
        <v>420</v>
      </c>
      <c r="D174" s="87">
        <v>19</v>
      </c>
      <c r="E174" s="121" t="s">
        <v>496</v>
      </c>
      <c r="F174" s="105">
        <v>4</v>
      </c>
      <c r="G174" s="87" t="s">
        <v>661</v>
      </c>
      <c r="H174" s="88" t="s">
        <v>475</v>
      </c>
      <c r="I174" s="172"/>
      <c r="J174" s="90">
        <v>5</v>
      </c>
      <c r="K174" s="91">
        <v>0</v>
      </c>
      <c r="L174" s="91">
        <v>20</v>
      </c>
      <c r="M174" s="91" t="s">
        <v>476</v>
      </c>
      <c r="N174" s="91">
        <v>10</v>
      </c>
      <c r="O174" s="113" t="s">
        <v>379</v>
      </c>
      <c r="P174" s="105" t="s">
        <v>339</v>
      </c>
      <c r="Q174" s="105"/>
      <c r="R174" s="105"/>
      <c r="S174" s="105"/>
      <c r="T174" s="105"/>
    </row>
    <row r="175" spans="1:20" x14ac:dyDescent="0.4">
      <c r="A175" s="106" t="s">
        <v>319</v>
      </c>
      <c r="B175" s="106">
        <v>170</v>
      </c>
      <c r="C175" s="106"/>
      <c r="D175" s="126">
        <v>20</v>
      </c>
      <c r="E175" s="129"/>
      <c r="F175" s="128"/>
      <c r="G175" s="93"/>
      <c r="H175" s="94"/>
      <c r="I175" s="98"/>
      <c r="J175" s="95">
        <v>0</v>
      </c>
      <c r="K175" s="96">
        <v>0</v>
      </c>
      <c r="L175" s="96">
        <v>1</v>
      </c>
      <c r="M175" s="96" t="s">
        <v>43</v>
      </c>
      <c r="N175" s="96">
        <v>1</v>
      </c>
      <c r="O175" s="111" t="s">
        <v>6</v>
      </c>
      <c r="P175" s="106" t="s">
        <v>339</v>
      </c>
      <c r="Q175" s="106"/>
      <c r="R175" s="106"/>
      <c r="S175" s="106"/>
      <c r="T175" s="106"/>
    </row>
    <row r="176" spans="1:20" x14ac:dyDescent="0.4">
      <c r="A176" s="106" t="s">
        <v>319</v>
      </c>
      <c r="B176" s="106">
        <v>171</v>
      </c>
      <c r="C176" s="124"/>
      <c r="D176" s="126">
        <v>21</v>
      </c>
      <c r="E176" s="129"/>
      <c r="F176" s="130"/>
      <c r="G176" s="93"/>
      <c r="H176" s="98"/>
      <c r="I176" s="98"/>
      <c r="J176" s="95">
        <v>0</v>
      </c>
      <c r="K176" s="96">
        <v>0</v>
      </c>
      <c r="L176" s="96">
        <v>1</v>
      </c>
      <c r="M176" s="96" t="s">
        <v>43</v>
      </c>
      <c r="N176" s="96">
        <v>1</v>
      </c>
      <c r="O176" s="111" t="s">
        <v>6</v>
      </c>
      <c r="P176" s="106" t="s">
        <v>339</v>
      </c>
      <c r="Q176" s="106"/>
      <c r="R176" s="106"/>
      <c r="S176" s="106"/>
      <c r="T176" s="106"/>
    </row>
    <row r="177" spans="1:20" x14ac:dyDescent="0.4">
      <c r="A177" s="106" t="s">
        <v>319</v>
      </c>
      <c r="B177" s="106">
        <v>172</v>
      </c>
      <c r="C177" s="124"/>
      <c r="D177" s="126">
        <v>22</v>
      </c>
      <c r="E177" s="129"/>
      <c r="F177" s="130"/>
      <c r="G177" s="93"/>
      <c r="H177" s="98"/>
      <c r="I177" s="98"/>
      <c r="J177" s="95">
        <v>0</v>
      </c>
      <c r="K177" s="96">
        <v>0</v>
      </c>
      <c r="L177" s="96">
        <v>1</v>
      </c>
      <c r="M177" s="96" t="s">
        <v>43</v>
      </c>
      <c r="N177" s="96">
        <v>1</v>
      </c>
      <c r="O177" s="111" t="s">
        <v>6</v>
      </c>
      <c r="P177" s="106" t="s">
        <v>339</v>
      </c>
      <c r="Q177" s="106"/>
      <c r="R177" s="106"/>
      <c r="S177" s="106"/>
      <c r="T177" s="106"/>
    </row>
    <row r="178" spans="1:20" x14ac:dyDescent="0.4">
      <c r="A178" s="106" t="s">
        <v>319</v>
      </c>
      <c r="B178" s="106">
        <v>173</v>
      </c>
      <c r="C178" s="124"/>
      <c r="D178" s="126">
        <v>23</v>
      </c>
      <c r="E178" s="129"/>
      <c r="F178" s="130"/>
      <c r="G178" s="93"/>
      <c r="H178" s="98"/>
      <c r="I178" s="98"/>
      <c r="J178" s="95">
        <v>0</v>
      </c>
      <c r="K178" s="96">
        <v>0</v>
      </c>
      <c r="L178" s="96">
        <v>1</v>
      </c>
      <c r="M178" s="96" t="s">
        <v>43</v>
      </c>
      <c r="N178" s="96">
        <v>1</v>
      </c>
      <c r="O178" s="111" t="s">
        <v>6</v>
      </c>
      <c r="P178" s="106" t="s">
        <v>339</v>
      </c>
      <c r="Q178" s="106"/>
      <c r="R178" s="106"/>
      <c r="S178" s="106"/>
      <c r="T178" s="106"/>
    </row>
    <row r="179" spans="1:20" x14ac:dyDescent="0.4">
      <c r="A179" s="106" t="s">
        <v>319</v>
      </c>
      <c r="B179" s="106">
        <v>174</v>
      </c>
      <c r="C179" s="124"/>
      <c r="D179" s="126">
        <v>24</v>
      </c>
      <c r="E179" s="129"/>
      <c r="F179" s="130"/>
      <c r="G179" s="93"/>
      <c r="H179" s="98"/>
      <c r="I179" s="98"/>
      <c r="J179" s="95">
        <v>0</v>
      </c>
      <c r="K179" s="96">
        <v>0</v>
      </c>
      <c r="L179" s="96">
        <v>1</v>
      </c>
      <c r="M179" s="96" t="s">
        <v>43</v>
      </c>
      <c r="N179" s="96">
        <v>1</v>
      </c>
      <c r="O179" s="111" t="s">
        <v>6</v>
      </c>
      <c r="P179" s="106" t="s">
        <v>339</v>
      </c>
      <c r="Q179" s="106"/>
      <c r="R179" s="106"/>
      <c r="S179" s="106"/>
      <c r="T179" s="106"/>
    </row>
    <row r="180" spans="1:20" x14ac:dyDescent="0.4">
      <c r="A180" s="106" t="s">
        <v>319</v>
      </c>
      <c r="B180" s="106">
        <v>175</v>
      </c>
      <c r="C180" s="124"/>
      <c r="D180" s="126">
        <v>25</v>
      </c>
      <c r="E180" s="129"/>
      <c r="F180" s="130"/>
      <c r="G180" s="93"/>
      <c r="H180" s="98"/>
      <c r="I180" s="98"/>
      <c r="J180" s="95">
        <v>0</v>
      </c>
      <c r="K180" s="96">
        <v>0</v>
      </c>
      <c r="L180" s="96">
        <v>1</v>
      </c>
      <c r="M180" s="96" t="s">
        <v>43</v>
      </c>
      <c r="N180" s="96">
        <v>1</v>
      </c>
      <c r="O180" s="111" t="s">
        <v>6</v>
      </c>
      <c r="P180" s="106" t="s">
        <v>339</v>
      </c>
      <c r="Q180" s="106"/>
      <c r="R180" s="106"/>
      <c r="S180" s="106"/>
      <c r="T180" s="106"/>
    </row>
    <row r="181" spans="1:20" x14ac:dyDescent="0.4">
      <c r="A181" s="106" t="s">
        <v>319</v>
      </c>
      <c r="B181" s="106">
        <v>176</v>
      </c>
      <c r="C181" s="124"/>
      <c r="D181" s="126">
        <v>26</v>
      </c>
      <c r="E181" s="129"/>
      <c r="F181" s="130"/>
      <c r="G181" s="93"/>
      <c r="H181" s="98"/>
      <c r="I181" s="98"/>
      <c r="J181" s="95">
        <v>0</v>
      </c>
      <c r="K181" s="96">
        <v>0</v>
      </c>
      <c r="L181" s="96">
        <v>1</v>
      </c>
      <c r="M181" s="96" t="s">
        <v>43</v>
      </c>
      <c r="N181" s="96">
        <v>1</v>
      </c>
      <c r="O181" s="111" t="s">
        <v>6</v>
      </c>
      <c r="P181" s="106" t="s">
        <v>339</v>
      </c>
      <c r="Q181" s="106"/>
      <c r="R181" s="106"/>
      <c r="S181" s="106"/>
      <c r="T181" s="106"/>
    </row>
    <row r="182" spans="1:20" x14ac:dyDescent="0.4">
      <c r="A182" s="106" t="s">
        <v>319</v>
      </c>
      <c r="B182" s="106">
        <v>177</v>
      </c>
      <c r="C182" s="124"/>
      <c r="D182" s="126">
        <v>27</v>
      </c>
      <c r="E182" s="129"/>
      <c r="F182" s="130"/>
      <c r="G182" s="93"/>
      <c r="H182" s="98"/>
      <c r="I182" s="98"/>
      <c r="J182" s="95">
        <v>0</v>
      </c>
      <c r="K182" s="96">
        <v>0</v>
      </c>
      <c r="L182" s="96">
        <v>1</v>
      </c>
      <c r="M182" s="96" t="s">
        <v>43</v>
      </c>
      <c r="N182" s="96">
        <v>1</v>
      </c>
      <c r="O182" s="111" t="s">
        <v>6</v>
      </c>
      <c r="P182" s="106" t="s">
        <v>339</v>
      </c>
      <c r="Q182" s="106"/>
      <c r="R182" s="106"/>
      <c r="S182" s="106"/>
      <c r="T182" s="106"/>
    </row>
    <row r="183" spans="1:20" x14ac:dyDescent="0.4">
      <c r="A183" s="106" t="s">
        <v>319</v>
      </c>
      <c r="B183" s="106">
        <v>178</v>
      </c>
      <c r="C183" s="124"/>
      <c r="D183" s="126">
        <v>28</v>
      </c>
      <c r="E183" s="129"/>
      <c r="F183" s="130"/>
      <c r="G183" s="93"/>
      <c r="H183" s="98"/>
      <c r="I183" s="98"/>
      <c r="J183" s="95">
        <v>0</v>
      </c>
      <c r="K183" s="96">
        <v>0</v>
      </c>
      <c r="L183" s="96">
        <v>1</v>
      </c>
      <c r="M183" s="96" t="s">
        <v>43</v>
      </c>
      <c r="N183" s="96">
        <v>1</v>
      </c>
      <c r="O183" s="111" t="s">
        <v>6</v>
      </c>
      <c r="P183" s="106" t="s">
        <v>339</v>
      </c>
      <c r="Q183" s="106"/>
      <c r="R183" s="106"/>
      <c r="S183" s="106"/>
      <c r="T183" s="106"/>
    </row>
    <row r="184" spans="1:20" x14ac:dyDescent="0.4">
      <c r="A184" s="106" t="s">
        <v>319</v>
      </c>
      <c r="B184" s="106">
        <v>179</v>
      </c>
      <c r="C184" s="124"/>
      <c r="D184" s="126">
        <v>29</v>
      </c>
      <c r="E184" s="129"/>
      <c r="F184" s="130"/>
      <c r="G184" s="93"/>
      <c r="H184" s="98"/>
      <c r="I184" s="98"/>
      <c r="J184" s="95">
        <v>0</v>
      </c>
      <c r="K184" s="96">
        <v>0</v>
      </c>
      <c r="L184" s="96">
        <v>1</v>
      </c>
      <c r="M184" s="96" t="s">
        <v>43</v>
      </c>
      <c r="N184" s="96">
        <v>1</v>
      </c>
      <c r="O184" s="111" t="s">
        <v>6</v>
      </c>
      <c r="P184" s="106" t="s">
        <v>339</v>
      </c>
      <c r="Q184" s="106"/>
      <c r="R184" s="106"/>
      <c r="S184" s="106"/>
      <c r="T184" s="106"/>
    </row>
    <row r="185" spans="1:20" x14ac:dyDescent="0.4">
      <c r="A185" s="106" t="s">
        <v>319</v>
      </c>
      <c r="B185" s="106">
        <v>180</v>
      </c>
      <c r="C185" s="124"/>
      <c r="D185" s="126">
        <v>30</v>
      </c>
      <c r="E185" s="129"/>
      <c r="F185" s="130"/>
      <c r="G185" s="93"/>
      <c r="H185" s="98"/>
      <c r="I185" s="98"/>
      <c r="J185" s="95">
        <v>0</v>
      </c>
      <c r="K185" s="96">
        <v>0</v>
      </c>
      <c r="L185" s="96">
        <v>1</v>
      </c>
      <c r="M185" s="96" t="s">
        <v>43</v>
      </c>
      <c r="N185" s="96">
        <v>1</v>
      </c>
      <c r="O185" s="111" t="s">
        <v>6</v>
      </c>
      <c r="P185" s="106" t="s">
        <v>339</v>
      </c>
      <c r="Q185" s="106"/>
      <c r="R185" s="106"/>
      <c r="S185" s="106"/>
      <c r="T185" s="106"/>
    </row>
    <row r="186" spans="1:20" x14ac:dyDescent="0.4">
      <c r="A186" s="106" t="s">
        <v>319</v>
      </c>
      <c r="B186" s="106">
        <v>181</v>
      </c>
      <c r="C186" s="124"/>
      <c r="D186" s="126">
        <v>31</v>
      </c>
      <c r="E186" s="129"/>
      <c r="F186" s="130"/>
      <c r="G186" s="93"/>
      <c r="H186" s="98"/>
      <c r="I186" s="98"/>
      <c r="J186" s="95">
        <v>0</v>
      </c>
      <c r="K186" s="96">
        <v>0</v>
      </c>
      <c r="L186" s="96">
        <v>1</v>
      </c>
      <c r="M186" s="96" t="s">
        <v>43</v>
      </c>
      <c r="N186" s="96">
        <v>1</v>
      </c>
      <c r="O186" s="111" t="s">
        <v>6</v>
      </c>
      <c r="P186" s="106" t="s">
        <v>339</v>
      </c>
      <c r="Q186" s="106"/>
      <c r="R186" s="106"/>
      <c r="S186" s="106"/>
      <c r="T186" s="106"/>
    </row>
    <row r="187" spans="1:20" x14ac:dyDescent="0.4">
      <c r="A187" s="106" t="s">
        <v>319</v>
      </c>
      <c r="B187" s="106">
        <v>182</v>
      </c>
      <c r="C187" s="124"/>
      <c r="D187" s="126">
        <v>32</v>
      </c>
      <c r="E187" s="129"/>
      <c r="F187" s="130"/>
      <c r="G187" s="93"/>
      <c r="H187" s="98"/>
      <c r="I187" s="98"/>
      <c r="J187" s="95">
        <v>0</v>
      </c>
      <c r="K187" s="96">
        <v>0</v>
      </c>
      <c r="L187" s="96">
        <v>1</v>
      </c>
      <c r="M187" s="96" t="s">
        <v>43</v>
      </c>
      <c r="N187" s="96">
        <v>1</v>
      </c>
      <c r="O187" s="111" t="s">
        <v>6</v>
      </c>
      <c r="P187" s="106" t="s">
        <v>339</v>
      </c>
      <c r="Q187" s="106"/>
      <c r="R187" s="106"/>
      <c r="S187" s="106"/>
      <c r="T187" s="106"/>
    </row>
    <row r="188" spans="1:20" x14ac:dyDescent="0.4">
      <c r="A188" s="106" t="s">
        <v>319</v>
      </c>
      <c r="B188" s="106">
        <v>183</v>
      </c>
      <c r="C188" s="124"/>
      <c r="D188" s="126">
        <v>33</v>
      </c>
      <c r="E188" s="129"/>
      <c r="F188" s="130"/>
      <c r="G188" s="93"/>
      <c r="H188" s="98"/>
      <c r="I188" s="98"/>
      <c r="J188" s="95">
        <v>0</v>
      </c>
      <c r="K188" s="96">
        <v>0</v>
      </c>
      <c r="L188" s="96">
        <v>1</v>
      </c>
      <c r="M188" s="96" t="s">
        <v>43</v>
      </c>
      <c r="N188" s="96">
        <v>1</v>
      </c>
      <c r="O188" s="111" t="s">
        <v>6</v>
      </c>
      <c r="P188" s="106" t="s">
        <v>339</v>
      </c>
      <c r="Q188" s="106"/>
      <c r="R188" s="106"/>
      <c r="S188" s="106"/>
      <c r="T188" s="106"/>
    </row>
    <row r="189" spans="1:20" x14ac:dyDescent="0.4">
      <c r="A189" s="106" t="s">
        <v>319</v>
      </c>
      <c r="B189" s="106">
        <v>184</v>
      </c>
      <c r="C189" s="124"/>
      <c r="D189" s="126">
        <v>34</v>
      </c>
      <c r="E189" s="129"/>
      <c r="F189" s="130"/>
      <c r="G189" s="93"/>
      <c r="H189" s="98"/>
      <c r="I189" s="98"/>
      <c r="J189" s="95">
        <v>0</v>
      </c>
      <c r="K189" s="96">
        <v>0</v>
      </c>
      <c r="L189" s="96">
        <v>1</v>
      </c>
      <c r="M189" s="96" t="s">
        <v>43</v>
      </c>
      <c r="N189" s="96">
        <v>1</v>
      </c>
      <c r="O189" s="111" t="s">
        <v>6</v>
      </c>
      <c r="P189" s="106" t="s">
        <v>339</v>
      </c>
      <c r="Q189" s="106"/>
      <c r="R189" s="106"/>
      <c r="S189" s="106"/>
      <c r="T189" s="106"/>
    </row>
    <row r="190" spans="1:20" x14ac:dyDescent="0.4">
      <c r="A190" s="106" t="s">
        <v>319</v>
      </c>
      <c r="B190" s="106">
        <v>185</v>
      </c>
      <c r="C190" s="124"/>
      <c r="D190" s="126">
        <v>35</v>
      </c>
      <c r="E190" s="129"/>
      <c r="F190" s="130"/>
      <c r="G190" s="93"/>
      <c r="H190" s="98"/>
      <c r="I190" s="98"/>
      <c r="J190" s="95">
        <v>0</v>
      </c>
      <c r="K190" s="96">
        <v>0</v>
      </c>
      <c r="L190" s="96">
        <v>1</v>
      </c>
      <c r="M190" s="96" t="s">
        <v>43</v>
      </c>
      <c r="N190" s="96">
        <v>1</v>
      </c>
      <c r="O190" s="111" t="s">
        <v>6</v>
      </c>
      <c r="P190" s="106" t="s">
        <v>339</v>
      </c>
      <c r="Q190" s="106"/>
      <c r="R190" s="106"/>
      <c r="S190" s="106"/>
      <c r="T190" s="106"/>
    </row>
    <row r="191" spans="1:20" x14ac:dyDescent="0.4">
      <c r="A191" s="106" t="s">
        <v>319</v>
      </c>
      <c r="B191" s="106">
        <v>186</v>
      </c>
      <c r="C191" s="124"/>
      <c r="D191" s="126">
        <v>36</v>
      </c>
      <c r="E191" s="129"/>
      <c r="F191" s="130"/>
      <c r="G191" s="93"/>
      <c r="H191" s="98"/>
      <c r="I191" s="98"/>
      <c r="J191" s="95">
        <v>0</v>
      </c>
      <c r="K191" s="96">
        <v>0</v>
      </c>
      <c r="L191" s="96">
        <v>1</v>
      </c>
      <c r="M191" s="96" t="s">
        <v>43</v>
      </c>
      <c r="N191" s="96">
        <v>1</v>
      </c>
      <c r="O191" s="111" t="s">
        <v>6</v>
      </c>
      <c r="P191" s="106" t="s">
        <v>339</v>
      </c>
      <c r="Q191" s="106"/>
      <c r="R191" s="106"/>
      <c r="S191" s="106"/>
      <c r="T191" s="106"/>
    </row>
    <row r="192" spans="1:20" x14ac:dyDescent="0.4">
      <c r="A192" s="106" t="s">
        <v>319</v>
      </c>
      <c r="B192" s="106">
        <v>187</v>
      </c>
      <c r="C192" s="124"/>
      <c r="D192" s="126">
        <v>37</v>
      </c>
      <c r="E192" s="129"/>
      <c r="F192" s="130"/>
      <c r="G192" s="93"/>
      <c r="H192" s="98"/>
      <c r="I192" s="98"/>
      <c r="J192" s="95">
        <v>0</v>
      </c>
      <c r="K192" s="96">
        <v>0</v>
      </c>
      <c r="L192" s="96">
        <v>1</v>
      </c>
      <c r="M192" s="96" t="s">
        <v>43</v>
      </c>
      <c r="N192" s="96">
        <v>1</v>
      </c>
      <c r="O192" s="111" t="s">
        <v>6</v>
      </c>
      <c r="P192" s="106" t="s">
        <v>339</v>
      </c>
      <c r="Q192" s="106"/>
      <c r="R192" s="106"/>
      <c r="S192" s="106"/>
      <c r="T192" s="106"/>
    </row>
    <row r="193" spans="1:20" x14ac:dyDescent="0.4">
      <c r="A193" s="106" t="s">
        <v>319</v>
      </c>
      <c r="B193" s="106">
        <v>188</v>
      </c>
      <c r="C193" s="124"/>
      <c r="D193" s="126">
        <v>38</v>
      </c>
      <c r="E193" s="129"/>
      <c r="F193" s="130"/>
      <c r="G193" s="93"/>
      <c r="H193" s="98"/>
      <c r="I193" s="98"/>
      <c r="J193" s="95">
        <v>0</v>
      </c>
      <c r="K193" s="96">
        <v>0</v>
      </c>
      <c r="L193" s="96">
        <v>1</v>
      </c>
      <c r="M193" s="96" t="s">
        <v>43</v>
      </c>
      <c r="N193" s="96">
        <v>1</v>
      </c>
      <c r="O193" s="111" t="s">
        <v>6</v>
      </c>
      <c r="P193" s="106" t="s">
        <v>339</v>
      </c>
      <c r="Q193" s="106"/>
      <c r="R193" s="106"/>
      <c r="S193" s="106"/>
      <c r="T193" s="106"/>
    </row>
    <row r="194" spans="1:20" x14ac:dyDescent="0.4">
      <c r="A194" s="106" t="s">
        <v>319</v>
      </c>
      <c r="B194" s="106">
        <v>189</v>
      </c>
      <c r="C194" s="124"/>
      <c r="D194" s="126">
        <v>39</v>
      </c>
      <c r="E194" s="129"/>
      <c r="F194" s="130"/>
      <c r="G194" s="93"/>
      <c r="H194" s="98"/>
      <c r="I194" s="98"/>
      <c r="J194" s="95">
        <v>0</v>
      </c>
      <c r="K194" s="96">
        <v>0</v>
      </c>
      <c r="L194" s="96">
        <v>1</v>
      </c>
      <c r="M194" s="96" t="s">
        <v>43</v>
      </c>
      <c r="N194" s="96">
        <v>1</v>
      </c>
      <c r="O194" s="111" t="s">
        <v>6</v>
      </c>
      <c r="P194" s="106" t="s">
        <v>339</v>
      </c>
      <c r="Q194" s="106"/>
      <c r="R194" s="106"/>
      <c r="S194" s="106"/>
      <c r="T194" s="106"/>
    </row>
    <row r="195" spans="1:20" x14ac:dyDescent="0.4">
      <c r="A195" s="106" t="s">
        <v>319</v>
      </c>
      <c r="B195" s="106">
        <v>190</v>
      </c>
      <c r="C195" s="124"/>
      <c r="D195" s="126">
        <v>40</v>
      </c>
      <c r="E195" s="129"/>
      <c r="F195" s="130"/>
      <c r="G195" s="93"/>
      <c r="H195" s="98"/>
      <c r="I195" s="98"/>
      <c r="J195" s="95">
        <v>0</v>
      </c>
      <c r="K195" s="96">
        <v>0</v>
      </c>
      <c r="L195" s="96">
        <v>1</v>
      </c>
      <c r="M195" s="96" t="s">
        <v>43</v>
      </c>
      <c r="N195" s="96">
        <v>1</v>
      </c>
      <c r="O195" s="111" t="s">
        <v>6</v>
      </c>
      <c r="P195" s="106" t="s">
        <v>339</v>
      </c>
      <c r="Q195" s="106"/>
      <c r="R195" s="106"/>
      <c r="S195" s="106"/>
      <c r="T195" s="106"/>
    </row>
    <row r="196" spans="1:20" x14ac:dyDescent="0.4">
      <c r="A196" s="106" t="s">
        <v>319</v>
      </c>
      <c r="B196" s="106">
        <v>191</v>
      </c>
      <c r="C196" s="124"/>
      <c r="D196" s="126">
        <v>41</v>
      </c>
      <c r="E196" s="129"/>
      <c r="F196" s="130"/>
      <c r="G196" s="93"/>
      <c r="H196" s="98"/>
      <c r="I196" s="98"/>
      <c r="J196" s="95">
        <v>0</v>
      </c>
      <c r="K196" s="96">
        <v>0</v>
      </c>
      <c r="L196" s="96">
        <v>1</v>
      </c>
      <c r="M196" s="96" t="s">
        <v>43</v>
      </c>
      <c r="N196" s="96">
        <v>1</v>
      </c>
      <c r="O196" s="111" t="s">
        <v>6</v>
      </c>
      <c r="P196" s="106" t="s">
        <v>339</v>
      </c>
      <c r="Q196" s="106"/>
      <c r="R196" s="106"/>
      <c r="S196" s="106"/>
      <c r="T196" s="106"/>
    </row>
    <row r="197" spans="1:20" x14ac:dyDescent="0.4">
      <c r="A197" s="106" t="s">
        <v>319</v>
      </c>
      <c r="B197" s="106">
        <v>192</v>
      </c>
      <c r="C197" s="124"/>
      <c r="D197" s="126">
        <v>42</v>
      </c>
      <c r="E197" s="129"/>
      <c r="F197" s="130"/>
      <c r="G197" s="93"/>
      <c r="H197" s="98"/>
      <c r="I197" s="98"/>
      <c r="J197" s="95">
        <v>0</v>
      </c>
      <c r="K197" s="96">
        <v>0</v>
      </c>
      <c r="L197" s="96">
        <v>1</v>
      </c>
      <c r="M197" s="96" t="s">
        <v>43</v>
      </c>
      <c r="N197" s="96">
        <v>1</v>
      </c>
      <c r="O197" s="111" t="s">
        <v>6</v>
      </c>
      <c r="P197" s="106" t="s">
        <v>339</v>
      </c>
      <c r="Q197" s="106"/>
      <c r="R197" s="106"/>
      <c r="S197" s="106"/>
      <c r="T197" s="106"/>
    </row>
    <row r="198" spans="1:20" x14ac:dyDescent="0.4">
      <c r="A198" s="106" t="s">
        <v>319</v>
      </c>
      <c r="B198" s="106">
        <v>193</v>
      </c>
      <c r="C198" s="124"/>
      <c r="D198" s="126">
        <v>43</v>
      </c>
      <c r="E198" s="129"/>
      <c r="F198" s="130"/>
      <c r="G198" s="93"/>
      <c r="H198" s="98"/>
      <c r="I198" s="98"/>
      <c r="J198" s="95">
        <v>0</v>
      </c>
      <c r="K198" s="96">
        <v>0</v>
      </c>
      <c r="L198" s="96">
        <v>1</v>
      </c>
      <c r="M198" s="96" t="s">
        <v>43</v>
      </c>
      <c r="N198" s="96">
        <v>1</v>
      </c>
      <c r="O198" s="111" t="s">
        <v>6</v>
      </c>
      <c r="P198" s="106" t="s">
        <v>339</v>
      </c>
      <c r="Q198" s="106"/>
      <c r="R198" s="106"/>
      <c r="S198" s="106"/>
      <c r="T198" s="106"/>
    </row>
    <row r="199" spans="1:20" x14ac:dyDescent="0.4">
      <c r="A199" s="106" t="s">
        <v>319</v>
      </c>
      <c r="B199" s="106">
        <v>194</v>
      </c>
      <c r="C199" s="124"/>
      <c r="D199" s="126">
        <v>44</v>
      </c>
      <c r="E199" s="129"/>
      <c r="F199" s="130"/>
      <c r="G199" s="93"/>
      <c r="H199" s="98"/>
      <c r="I199" s="98"/>
      <c r="J199" s="95">
        <v>0</v>
      </c>
      <c r="K199" s="96">
        <v>0</v>
      </c>
      <c r="L199" s="96">
        <v>1</v>
      </c>
      <c r="M199" s="96" t="s">
        <v>43</v>
      </c>
      <c r="N199" s="96">
        <v>1</v>
      </c>
      <c r="O199" s="111" t="s">
        <v>6</v>
      </c>
      <c r="P199" s="106" t="s">
        <v>339</v>
      </c>
      <c r="Q199" s="106"/>
      <c r="R199" s="106"/>
      <c r="S199" s="106"/>
      <c r="T199" s="106"/>
    </row>
    <row r="200" spans="1:20" x14ac:dyDescent="0.4">
      <c r="A200" s="106" t="s">
        <v>319</v>
      </c>
      <c r="B200" s="106">
        <v>195</v>
      </c>
      <c r="C200" s="124"/>
      <c r="D200" s="126">
        <v>45</v>
      </c>
      <c r="E200" s="129"/>
      <c r="F200" s="130"/>
      <c r="G200" s="93"/>
      <c r="H200" s="98"/>
      <c r="I200" s="98"/>
      <c r="J200" s="95">
        <v>0</v>
      </c>
      <c r="K200" s="96">
        <v>0</v>
      </c>
      <c r="L200" s="96">
        <v>1</v>
      </c>
      <c r="M200" s="96" t="s">
        <v>43</v>
      </c>
      <c r="N200" s="96">
        <v>1</v>
      </c>
      <c r="O200" s="111" t="s">
        <v>6</v>
      </c>
      <c r="P200" s="106" t="s">
        <v>339</v>
      </c>
      <c r="Q200" s="106"/>
      <c r="R200" s="106"/>
      <c r="S200" s="106"/>
      <c r="T200" s="106"/>
    </row>
    <row r="201" spans="1:20" x14ac:dyDescent="0.4">
      <c r="A201" s="106" t="s">
        <v>319</v>
      </c>
      <c r="B201" s="106">
        <v>196</v>
      </c>
      <c r="C201" s="124"/>
      <c r="D201" s="126">
        <v>46</v>
      </c>
      <c r="E201" s="129"/>
      <c r="F201" s="130"/>
      <c r="G201" s="93"/>
      <c r="H201" s="98"/>
      <c r="I201" s="98"/>
      <c r="J201" s="95">
        <v>0</v>
      </c>
      <c r="K201" s="96">
        <v>0</v>
      </c>
      <c r="L201" s="96">
        <v>1</v>
      </c>
      <c r="M201" s="96" t="s">
        <v>43</v>
      </c>
      <c r="N201" s="96">
        <v>1</v>
      </c>
      <c r="O201" s="111" t="s">
        <v>6</v>
      </c>
      <c r="P201" s="106" t="s">
        <v>339</v>
      </c>
      <c r="Q201" s="106"/>
      <c r="R201" s="106"/>
      <c r="S201" s="106"/>
      <c r="T201" s="106"/>
    </row>
    <row r="202" spans="1:20" x14ac:dyDescent="0.4">
      <c r="A202" s="106" t="s">
        <v>319</v>
      </c>
      <c r="B202" s="106">
        <v>197</v>
      </c>
      <c r="C202" s="124"/>
      <c r="D202" s="126">
        <v>47</v>
      </c>
      <c r="E202" s="129"/>
      <c r="F202" s="130"/>
      <c r="G202" s="93"/>
      <c r="H202" s="98"/>
      <c r="I202" s="98"/>
      <c r="J202" s="95">
        <v>0</v>
      </c>
      <c r="K202" s="96">
        <v>0</v>
      </c>
      <c r="L202" s="96">
        <v>1</v>
      </c>
      <c r="M202" s="96" t="s">
        <v>43</v>
      </c>
      <c r="N202" s="96">
        <v>1</v>
      </c>
      <c r="O202" s="111" t="s">
        <v>6</v>
      </c>
      <c r="P202" s="106" t="s">
        <v>339</v>
      </c>
      <c r="Q202" s="106"/>
      <c r="R202" s="106"/>
      <c r="S202" s="106"/>
      <c r="T202" s="106"/>
    </row>
    <row r="203" spans="1:20" x14ac:dyDescent="0.4">
      <c r="A203" s="106" t="s">
        <v>319</v>
      </c>
      <c r="B203" s="106">
        <v>198</v>
      </c>
      <c r="C203" s="124"/>
      <c r="D203" s="126">
        <v>48</v>
      </c>
      <c r="E203" s="129"/>
      <c r="F203" s="130"/>
      <c r="G203" s="93"/>
      <c r="H203" s="98"/>
      <c r="I203" s="98"/>
      <c r="J203" s="95">
        <v>0</v>
      </c>
      <c r="K203" s="96">
        <v>0</v>
      </c>
      <c r="L203" s="96">
        <v>1</v>
      </c>
      <c r="M203" s="96" t="s">
        <v>43</v>
      </c>
      <c r="N203" s="96">
        <v>1</v>
      </c>
      <c r="O203" s="111" t="s">
        <v>6</v>
      </c>
      <c r="P203" s="106" t="s">
        <v>339</v>
      </c>
      <c r="Q203" s="106"/>
      <c r="R203" s="106"/>
      <c r="S203" s="106"/>
      <c r="T203" s="106"/>
    </row>
    <row r="204" spans="1:20" x14ac:dyDescent="0.4">
      <c r="A204" s="107" t="s">
        <v>319</v>
      </c>
      <c r="B204" s="107">
        <v>199</v>
      </c>
      <c r="C204" s="125"/>
      <c r="D204" s="127">
        <v>49</v>
      </c>
      <c r="E204" s="129"/>
      <c r="F204" s="131"/>
      <c r="G204" s="93"/>
      <c r="H204" s="101"/>
      <c r="I204" s="101"/>
      <c r="J204" s="95">
        <v>0</v>
      </c>
      <c r="K204" s="96">
        <v>0</v>
      </c>
      <c r="L204" s="96">
        <v>1</v>
      </c>
      <c r="M204" s="96" t="s">
        <v>43</v>
      </c>
      <c r="N204" s="96">
        <v>1</v>
      </c>
      <c r="O204" s="111" t="s">
        <v>6</v>
      </c>
      <c r="P204" s="106" t="s">
        <v>339</v>
      </c>
      <c r="Q204" s="107"/>
      <c r="R204" s="107"/>
      <c r="S204" s="107"/>
      <c r="T204" s="107"/>
    </row>
  </sheetData>
  <mergeCells count="17">
    <mergeCell ref="I7:I54"/>
    <mergeCell ref="I155:I174"/>
    <mergeCell ref="O3:O4"/>
    <mergeCell ref="P3:P4"/>
    <mergeCell ref="R3:S3"/>
    <mergeCell ref="N3:N4"/>
    <mergeCell ref="G3:G4"/>
    <mergeCell ref="H3:H4"/>
    <mergeCell ref="I3:I4"/>
    <mergeCell ref="J3:J4"/>
    <mergeCell ref="K3:M3"/>
    <mergeCell ref="F3:F4"/>
    <mergeCell ref="A3:A4"/>
    <mergeCell ref="B3:B4"/>
    <mergeCell ref="C3:C4"/>
    <mergeCell ref="D3:D4"/>
    <mergeCell ref="E3:E4"/>
  </mergeCells>
  <phoneticPr fontId="1" type="noConversion"/>
  <conditionalFormatting sqref="G5:G204">
    <cfRule type="expression" dxfId="7" priority="5">
      <formula>FIND("D",$O5)</formula>
    </cfRule>
    <cfRule type="expression" dxfId="6" priority="6">
      <formula>FIND("C",$O5)</formula>
    </cfRule>
  </conditionalFormatting>
  <conditionalFormatting sqref="O5:O204">
    <cfRule type="expression" dxfId="5" priority="1">
      <formula>FIND("D",$O5)</formula>
    </cfRule>
    <cfRule type="expression" dxfId="4" priority="2">
      <formula>FIND("C",$O5)</formula>
    </cfRule>
  </conditionalFormatting>
  <pageMargins left="0.7" right="0.7" top="0.75" bottom="0.75" header="0.3" footer="0.3"/>
  <pageSetup paperSize="9" scale="3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5226-9F92-4F2C-B2F8-2FFA8D7033C3}">
  <sheetPr>
    <tabColor rgb="FFFFC000"/>
    <pageSetUpPr fitToPage="1"/>
  </sheetPr>
  <dimension ref="A1:T204"/>
  <sheetViews>
    <sheetView zoomScale="85" zoomScaleNormal="85" workbookViewId="0">
      <selection activeCell="B44" sqref="B44"/>
    </sheetView>
  </sheetViews>
  <sheetFormatPr defaultColWidth="9" defaultRowHeight="15.6" x14ac:dyDescent="0.4"/>
  <cols>
    <col min="1" max="1" width="11.19921875" style="57" bestFit="1" customWidth="1"/>
    <col min="2" max="2" width="5.796875" style="57" customWidth="1"/>
    <col min="3" max="3" width="22.8984375" style="44" hidden="1" customWidth="1"/>
    <col min="4" max="4" width="5.796875" style="44" hidden="1" customWidth="1"/>
    <col min="5" max="5" width="24.09765625" style="44" hidden="1" customWidth="1"/>
    <col min="6" max="6" width="5.796875" style="57" hidden="1" customWidth="1"/>
    <col min="7" max="7" width="27.59765625" style="45" bestFit="1" customWidth="1"/>
    <col min="8" max="9" width="60" style="37" customWidth="1"/>
    <col min="10" max="10" width="9.09765625" style="46" customWidth="1"/>
    <col min="11" max="19" width="9.09765625" style="45" customWidth="1"/>
    <col min="20" max="20" width="20" style="45" customWidth="1"/>
    <col min="21" max="16384" width="9" style="37"/>
  </cols>
  <sheetData>
    <row r="1" spans="1:20" s="134" customFormat="1" ht="15" x14ac:dyDescent="0.4">
      <c r="A1" s="132" t="s">
        <v>380</v>
      </c>
      <c r="B1" s="132" t="s">
        <v>347</v>
      </c>
      <c r="C1" s="132" t="s">
        <v>381</v>
      </c>
      <c r="D1" s="132" t="s">
        <v>383</v>
      </c>
      <c r="E1" s="132" t="s">
        <v>382</v>
      </c>
      <c r="F1" s="132" t="s">
        <v>384</v>
      </c>
      <c r="G1" s="132" t="s">
        <v>13</v>
      </c>
      <c r="H1" s="132" t="s">
        <v>407</v>
      </c>
      <c r="I1" s="132" t="s">
        <v>408</v>
      </c>
      <c r="J1" s="133" t="s">
        <v>413</v>
      </c>
      <c r="K1" s="132" t="s">
        <v>409</v>
      </c>
      <c r="L1" s="132" t="s">
        <v>410</v>
      </c>
      <c r="M1" s="132" t="s">
        <v>411</v>
      </c>
      <c r="N1" s="132" t="s">
        <v>288</v>
      </c>
      <c r="O1" s="132" t="s">
        <v>414</v>
      </c>
      <c r="P1" s="132" t="s">
        <v>416</v>
      </c>
      <c r="Q1" s="132" t="s">
        <v>415</v>
      </c>
      <c r="R1" s="132" t="s">
        <v>334</v>
      </c>
      <c r="S1" s="132" t="s">
        <v>335</v>
      </c>
      <c r="T1" s="132"/>
    </row>
    <row r="2" spans="1:20" s="134" customFormat="1" thickBot="1" x14ac:dyDescent="0.45">
      <c r="A2" s="132" t="s">
        <v>404</v>
      </c>
      <c r="B2" s="132" t="s">
        <v>405</v>
      </c>
      <c r="C2" s="132" t="s">
        <v>404</v>
      </c>
      <c r="D2" s="132" t="s">
        <v>405</v>
      </c>
      <c r="E2" s="132" t="s">
        <v>404</v>
      </c>
      <c r="F2" s="132" t="s">
        <v>405</v>
      </c>
      <c r="G2" s="132" t="s">
        <v>406</v>
      </c>
      <c r="H2" s="132" t="s">
        <v>406</v>
      </c>
      <c r="I2" s="132" t="s">
        <v>406</v>
      </c>
      <c r="J2" s="132" t="s">
        <v>405</v>
      </c>
      <c r="K2" s="132" t="s">
        <v>405</v>
      </c>
      <c r="L2" s="132" t="s">
        <v>405</v>
      </c>
      <c r="M2" s="132" t="s">
        <v>406</v>
      </c>
      <c r="N2" s="132" t="s">
        <v>405</v>
      </c>
      <c r="O2" s="132" t="s">
        <v>406</v>
      </c>
      <c r="P2" s="132" t="s">
        <v>406</v>
      </c>
      <c r="Q2" s="132" t="s">
        <v>405</v>
      </c>
      <c r="R2" s="132" t="s">
        <v>405</v>
      </c>
      <c r="S2" s="132" t="s">
        <v>405</v>
      </c>
      <c r="T2" s="132"/>
    </row>
    <row r="3" spans="1:20" x14ac:dyDescent="0.4">
      <c r="A3" s="160" t="s">
        <v>14</v>
      </c>
      <c r="B3" s="156" t="s">
        <v>345</v>
      </c>
      <c r="C3" s="160" t="s">
        <v>343</v>
      </c>
      <c r="D3" s="156" t="s">
        <v>344</v>
      </c>
      <c r="E3" s="160" t="s">
        <v>295</v>
      </c>
      <c r="F3" s="156" t="s">
        <v>346</v>
      </c>
      <c r="G3" s="164" t="s">
        <v>13</v>
      </c>
      <c r="H3" s="164" t="s">
        <v>11</v>
      </c>
      <c r="I3" s="164" t="s">
        <v>12</v>
      </c>
      <c r="J3" s="170" t="s">
        <v>5</v>
      </c>
      <c r="K3" s="161" t="s">
        <v>2</v>
      </c>
      <c r="L3" s="162"/>
      <c r="M3" s="163"/>
      <c r="N3" s="164" t="s">
        <v>288</v>
      </c>
      <c r="O3" s="173" t="s">
        <v>348</v>
      </c>
      <c r="P3" s="160" t="s">
        <v>340</v>
      </c>
      <c r="Q3" s="49" t="s">
        <v>320</v>
      </c>
      <c r="R3" s="158" t="s">
        <v>322</v>
      </c>
      <c r="S3" s="159"/>
      <c r="T3" s="49" t="s">
        <v>292</v>
      </c>
    </row>
    <row r="4" spans="1:20" ht="18" customHeight="1" thickBot="1" x14ac:dyDescent="0.45">
      <c r="A4" s="157"/>
      <c r="B4" s="157"/>
      <c r="C4" s="157"/>
      <c r="D4" s="157"/>
      <c r="E4" s="157"/>
      <c r="F4" s="157"/>
      <c r="G4" s="165"/>
      <c r="H4" s="165"/>
      <c r="I4" s="165"/>
      <c r="J4" s="169"/>
      <c r="K4" s="73" t="s">
        <v>3</v>
      </c>
      <c r="L4" s="73" t="s">
        <v>4</v>
      </c>
      <c r="M4" s="73" t="s">
        <v>1</v>
      </c>
      <c r="N4" s="165"/>
      <c r="O4" s="167"/>
      <c r="P4" s="157"/>
      <c r="Q4" s="74" t="s">
        <v>290</v>
      </c>
      <c r="R4" s="74" t="s">
        <v>323</v>
      </c>
      <c r="S4" s="74" t="s">
        <v>290</v>
      </c>
      <c r="T4" s="74"/>
    </row>
    <row r="5" spans="1:20" s="79" customFormat="1" ht="15" x14ac:dyDescent="0.4">
      <c r="A5" s="136" t="s">
        <v>537</v>
      </c>
      <c r="B5" s="136">
        <v>0</v>
      </c>
      <c r="C5" s="136" t="s">
        <v>545</v>
      </c>
      <c r="D5" s="137"/>
      <c r="E5" s="136" t="s">
        <v>505</v>
      </c>
      <c r="F5" s="136"/>
      <c r="G5" s="137" t="s">
        <v>502</v>
      </c>
      <c r="H5" s="138" t="s">
        <v>517</v>
      </c>
      <c r="I5" s="139" t="s">
        <v>507</v>
      </c>
      <c r="J5" s="140">
        <v>0</v>
      </c>
      <c r="K5" s="141">
        <v>0</v>
      </c>
      <c r="L5" s="141">
        <v>10000</v>
      </c>
      <c r="M5" s="141" t="s">
        <v>511</v>
      </c>
      <c r="N5" s="142">
        <v>1</v>
      </c>
      <c r="O5" s="148" t="s">
        <v>379</v>
      </c>
      <c r="P5" s="136" t="s">
        <v>339</v>
      </c>
      <c r="Q5" s="136"/>
      <c r="R5" s="136"/>
      <c r="S5" s="136"/>
      <c r="T5" s="136"/>
    </row>
    <row r="6" spans="1:20" s="79" customFormat="1" ht="15" x14ac:dyDescent="0.4">
      <c r="A6" s="105" t="s">
        <v>536</v>
      </c>
      <c r="B6" s="105">
        <v>1</v>
      </c>
      <c r="C6" s="105" t="s">
        <v>544</v>
      </c>
      <c r="D6" s="87"/>
      <c r="E6" s="105" t="s">
        <v>505</v>
      </c>
      <c r="F6" s="105"/>
      <c r="G6" s="87" t="s">
        <v>503</v>
      </c>
      <c r="H6" s="88" t="s">
        <v>518</v>
      </c>
      <c r="I6" s="143" t="s">
        <v>507</v>
      </c>
      <c r="J6" s="90">
        <v>0</v>
      </c>
      <c r="K6" s="91">
        <v>0</v>
      </c>
      <c r="L6" s="91">
        <v>60</v>
      </c>
      <c r="M6" s="91" t="s">
        <v>509</v>
      </c>
      <c r="N6" s="92">
        <v>1</v>
      </c>
      <c r="O6" s="113" t="s">
        <v>379</v>
      </c>
      <c r="P6" s="105" t="s">
        <v>339</v>
      </c>
      <c r="Q6" s="105"/>
      <c r="R6" s="105"/>
      <c r="S6" s="105"/>
      <c r="T6" s="105"/>
    </row>
    <row r="7" spans="1:20" s="79" customFormat="1" ht="15" x14ac:dyDescent="0.4">
      <c r="A7" s="105" t="s">
        <v>536</v>
      </c>
      <c r="B7" s="105">
        <v>2</v>
      </c>
      <c r="C7" s="105" t="s">
        <v>544</v>
      </c>
      <c r="D7" s="87"/>
      <c r="E7" s="105" t="s">
        <v>505</v>
      </c>
      <c r="F7" s="105"/>
      <c r="G7" s="87" t="s">
        <v>504</v>
      </c>
      <c r="H7" s="88" t="s">
        <v>519</v>
      </c>
      <c r="I7" s="143" t="s">
        <v>507</v>
      </c>
      <c r="J7" s="90">
        <v>0</v>
      </c>
      <c r="K7" s="91">
        <v>0</v>
      </c>
      <c r="L7" s="91">
        <v>60</v>
      </c>
      <c r="M7" s="91" t="s">
        <v>31</v>
      </c>
      <c r="N7" s="91">
        <v>10</v>
      </c>
      <c r="O7" s="113" t="s">
        <v>379</v>
      </c>
      <c r="P7" s="105" t="s">
        <v>339</v>
      </c>
      <c r="Q7" s="105"/>
      <c r="R7" s="105"/>
      <c r="S7" s="105"/>
      <c r="T7" s="105"/>
    </row>
    <row r="8" spans="1:20" s="79" customFormat="1" ht="15" x14ac:dyDescent="0.4">
      <c r="A8" s="105" t="s">
        <v>536</v>
      </c>
      <c r="B8" s="105">
        <v>3</v>
      </c>
      <c r="C8" s="105" t="s">
        <v>544</v>
      </c>
      <c r="D8" s="87"/>
      <c r="E8" s="105" t="s">
        <v>515</v>
      </c>
      <c r="F8" s="105"/>
      <c r="G8" s="87" t="s">
        <v>512</v>
      </c>
      <c r="H8" s="88" t="s">
        <v>520</v>
      </c>
      <c r="I8" s="174" t="s">
        <v>547</v>
      </c>
      <c r="J8" s="90">
        <v>0</v>
      </c>
      <c r="K8" s="91">
        <v>0</v>
      </c>
      <c r="L8" s="91">
        <v>10000</v>
      </c>
      <c r="M8" s="91" t="s">
        <v>510</v>
      </c>
      <c r="N8" s="91">
        <v>1</v>
      </c>
      <c r="O8" s="113" t="s">
        <v>550</v>
      </c>
      <c r="P8" s="105" t="s">
        <v>338</v>
      </c>
      <c r="Q8" s="105"/>
      <c r="R8" s="105"/>
      <c r="S8" s="105"/>
      <c r="T8" s="105"/>
    </row>
    <row r="9" spans="1:20" s="79" customFormat="1" ht="17.399999999999999" customHeight="1" x14ac:dyDescent="0.4">
      <c r="A9" s="105" t="s">
        <v>536</v>
      </c>
      <c r="B9" s="105">
        <v>4</v>
      </c>
      <c r="C9" s="105" t="s">
        <v>544</v>
      </c>
      <c r="D9" s="87"/>
      <c r="E9" s="105" t="s">
        <v>515</v>
      </c>
      <c r="F9" s="105"/>
      <c r="G9" s="87" t="s">
        <v>513</v>
      </c>
      <c r="H9" s="88" t="s">
        <v>521</v>
      </c>
      <c r="I9" s="175"/>
      <c r="J9" s="90">
        <v>0</v>
      </c>
      <c r="K9" s="91">
        <v>0</v>
      </c>
      <c r="L9" s="91">
        <v>60</v>
      </c>
      <c r="M9" s="91" t="s">
        <v>508</v>
      </c>
      <c r="N9" s="91">
        <v>1</v>
      </c>
      <c r="O9" s="113" t="s">
        <v>550</v>
      </c>
      <c r="P9" s="105" t="s">
        <v>338</v>
      </c>
      <c r="Q9" s="105"/>
      <c r="R9" s="105"/>
      <c r="S9" s="105"/>
      <c r="T9" s="105"/>
    </row>
    <row r="10" spans="1:20" s="79" customFormat="1" ht="17.399999999999999" customHeight="1" x14ac:dyDescent="0.4">
      <c r="A10" s="105" t="s">
        <v>536</v>
      </c>
      <c r="B10" s="105">
        <v>5</v>
      </c>
      <c r="C10" s="105" t="s">
        <v>544</v>
      </c>
      <c r="D10" s="87"/>
      <c r="E10" s="105" t="s">
        <v>515</v>
      </c>
      <c r="F10" s="105"/>
      <c r="G10" s="87" t="s">
        <v>514</v>
      </c>
      <c r="H10" s="88" t="s">
        <v>522</v>
      </c>
      <c r="I10" s="176"/>
      <c r="J10" s="90">
        <v>0</v>
      </c>
      <c r="K10" s="91">
        <v>0</v>
      </c>
      <c r="L10" s="91">
        <v>60</v>
      </c>
      <c r="M10" s="91" t="s">
        <v>21</v>
      </c>
      <c r="N10" s="91">
        <v>10</v>
      </c>
      <c r="O10" s="113" t="s">
        <v>550</v>
      </c>
      <c r="P10" s="105" t="s">
        <v>338</v>
      </c>
      <c r="Q10" s="105"/>
      <c r="R10" s="105"/>
      <c r="S10" s="105"/>
      <c r="T10" s="105"/>
    </row>
    <row r="11" spans="1:20" s="79" customFormat="1" ht="45" x14ac:dyDescent="0.4">
      <c r="A11" s="105" t="s">
        <v>536</v>
      </c>
      <c r="B11" s="105">
        <v>6</v>
      </c>
      <c r="C11" s="105" t="s">
        <v>544</v>
      </c>
      <c r="D11" s="87"/>
      <c r="E11" s="105" t="s">
        <v>420</v>
      </c>
      <c r="F11" s="105"/>
      <c r="G11" s="87" t="s">
        <v>516</v>
      </c>
      <c r="H11" s="88" t="s">
        <v>523</v>
      </c>
      <c r="I11" s="144" t="s">
        <v>548</v>
      </c>
      <c r="J11" s="90">
        <v>0</v>
      </c>
      <c r="K11" s="91">
        <v>0</v>
      </c>
      <c r="L11" s="91">
        <v>10000</v>
      </c>
      <c r="M11" s="91" t="s">
        <v>510</v>
      </c>
      <c r="N11" s="91">
        <v>1</v>
      </c>
      <c r="O11" s="113" t="s">
        <v>550</v>
      </c>
      <c r="P11" s="105" t="s">
        <v>338</v>
      </c>
      <c r="Q11" s="105"/>
      <c r="R11" s="105"/>
      <c r="S11" s="105"/>
      <c r="T11" s="105"/>
    </row>
    <row r="12" spans="1:20" s="79" customFormat="1" ht="15" x14ac:dyDescent="0.4">
      <c r="A12" s="105" t="s">
        <v>536</v>
      </c>
      <c r="B12" s="105">
        <v>7</v>
      </c>
      <c r="C12" s="105" t="s">
        <v>546</v>
      </c>
      <c r="D12" s="87"/>
      <c r="E12" s="105" t="s">
        <v>541</v>
      </c>
      <c r="F12" s="105"/>
      <c r="G12" s="87" t="s">
        <v>540</v>
      </c>
      <c r="H12" s="88" t="s">
        <v>527</v>
      </c>
      <c r="I12" s="143" t="s">
        <v>506</v>
      </c>
      <c r="J12" s="90">
        <v>0</v>
      </c>
      <c r="K12" s="91">
        <v>0</v>
      </c>
      <c r="L12" s="91">
        <v>10000</v>
      </c>
      <c r="M12" s="91" t="s">
        <v>510</v>
      </c>
      <c r="N12" s="91">
        <v>1</v>
      </c>
      <c r="O12" s="113" t="s">
        <v>379</v>
      </c>
      <c r="P12" s="105" t="s">
        <v>338</v>
      </c>
      <c r="Q12" s="105"/>
      <c r="R12" s="105"/>
      <c r="S12" s="105"/>
      <c r="T12" s="105"/>
    </row>
    <row r="13" spans="1:20" s="79" customFormat="1" ht="15" x14ac:dyDescent="0.4">
      <c r="A13" s="105" t="s">
        <v>536</v>
      </c>
      <c r="B13" s="105">
        <v>8</v>
      </c>
      <c r="C13" s="105" t="s">
        <v>546</v>
      </c>
      <c r="D13" s="87"/>
      <c r="E13" s="105" t="s">
        <v>541</v>
      </c>
      <c r="F13" s="105"/>
      <c r="G13" s="87" t="s">
        <v>542</v>
      </c>
      <c r="H13" s="88" t="s">
        <v>528</v>
      </c>
      <c r="I13" s="143" t="s">
        <v>506</v>
      </c>
      <c r="J13" s="90">
        <v>0</v>
      </c>
      <c r="K13" s="91">
        <v>0</v>
      </c>
      <c r="L13" s="91">
        <v>60</v>
      </c>
      <c r="M13" s="91" t="s">
        <v>508</v>
      </c>
      <c r="N13" s="91">
        <v>1</v>
      </c>
      <c r="O13" s="113" t="s">
        <v>379</v>
      </c>
      <c r="P13" s="105" t="s">
        <v>338</v>
      </c>
      <c r="Q13" s="105"/>
      <c r="R13" s="105"/>
      <c r="S13" s="105"/>
      <c r="T13" s="105"/>
    </row>
    <row r="14" spans="1:20" s="79" customFormat="1" ht="15" x14ac:dyDescent="0.4">
      <c r="A14" s="105" t="s">
        <v>536</v>
      </c>
      <c r="B14" s="105">
        <v>9</v>
      </c>
      <c r="C14" s="105" t="s">
        <v>546</v>
      </c>
      <c r="D14" s="87"/>
      <c r="E14" s="105" t="s">
        <v>541</v>
      </c>
      <c r="F14" s="105"/>
      <c r="G14" s="87" t="s">
        <v>543</v>
      </c>
      <c r="H14" s="88" t="s">
        <v>529</v>
      </c>
      <c r="I14" s="143" t="s">
        <v>506</v>
      </c>
      <c r="J14" s="90">
        <v>0</v>
      </c>
      <c r="K14" s="91">
        <v>0</v>
      </c>
      <c r="L14" s="91">
        <v>60</v>
      </c>
      <c r="M14" s="91" t="s">
        <v>21</v>
      </c>
      <c r="N14" s="91">
        <v>10</v>
      </c>
      <c r="O14" s="113" t="s">
        <v>379</v>
      </c>
      <c r="P14" s="105" t="s">
        <v>338</v>
      </c>
      <c r="Q14" s="105"/>
      <c r="R14" s="105"/>
      <c r="S14" s="105"/>
      <c r="T14" s="105"/>
    </row>
    <row r="15" spans="1:20" s="79" customFormat="1" ht="15" x14ac:dyDescent="0.4">
      <c r="A15" s="105" t="s">
        <v>536</v>
      </c>
      <c r="B15" s="105">
        <v>10</v>
      </c>
      <c r="C15" s="105" t="s">
        <v>546</v>
      </c>
      <c r="D15" s="87"/>
      <c r="E15" s="105" t="s">
        <v>539</v>
      </c>
      <c r="F15" s="105"/>
      <c r="G15" s="87" t="s">
        <v>524</v>
      </c>
      <c r="H15" s="88" t="s">
        <v>530</v>
      </c>
      <c r="I15" s="174" t="s">
        <v>549</v>
      </c>
      <c r="J15" s="90">
        <v>0</v>
      </c>
      <c r="K15" s="91">
        <v>0</v>
      </c>
      <c r="L15" s="91">
        <v>10000</v>
      </c>
      <c r="M15" s="91" t="s">
        <v>510</v>
      </c>
      <c r="N15" s="91">
        <v>1</v>
      </c>
      <c r="O15" s="113" t="s">
        <v>550</v>
      </c>
      <c r="P15" s="105" t="s">
        <v>338</v>
      </c>
      <c r="Q15" s="105"/>
      <c r="R15" s="105"/>
      <c r="S15" s="105"/>
      <c r="T15" s="105"/>
    </row>
    <row r="16" spans="1:20" s="79" customFormat="1" ht="17.399999999999999" customHeight="1" x14ac:dyDescent="0.4">
      <c r="A16" s="105" t="s">
        <v>536</v>
      </c>
      <c r="B16" s="105">
        <v>11</v>
      </c>
      <c r="C16" s="105" t="s">
        <v>546</v>
      </c>
      <c r="D16" s="87"/>
      <c r="E16" s="105" t="s">
        <v>539</v>
      </c>
      <c r="F16" s="105"/>
      <c r="G16" s="87" t="s">
        <v>525</v>
      </c>
      <c r="H16" s="88" t="s">
        <v>531</v>
      </c>
      <c r="I16" s="175"/>
      <c r="J16" s="90">
        <v>0</v>
      </c>
      <c r="K16" s="91">
        <v>0</v>
      </c>
      <c r="L16" s="91">
        <v>60</v>
      </c>
      <c r="M16" s="91" t="s">
        <v>508</v>
      </c>
      <c r="N16" s="91">
        <v>1</v>
      </c>
      <c r="O16" s="113" t="s">
        <v>550</v>
      </c>
      <c r="P16" s="105" t="s">
        <v>338</v>
      </c>
      <c r="Q16" s="105"/>
      <c r="R16" s="105"/>
      <c r="S16" s="105"/>
      <c r="T16" s="105"/>
    </row>
    <row r="17" spans="1:20" s="79" customFormat="1" ht="17.399999999999999" customHeight="1" x14ac:dyDescent="0.4">
      <c r="A17" s="105" t="s">
        <v>536</v>
      </c>
      <c r="B17" s="105">
        <v>12</v>
      </c>
      <c r="C17" s="105" t="s">
        <v>546</v>
      </c>
      <c r="D17" s="87"/>
      <c r="E17" s="105" t="s">
        <v>539</v>
      </c>
      <c r="F17" s="105"/>
      <c r="G17" s="87" t="s">
        <v>526</v>
      </c>
      <c r="H17" s="88" t="s">
        <v>532</v>
      </c>
      <c r="I17" s="176"/>
      <c r="J17" s="90">
        <v>0</v>
      </c>
      <c r="K17" s="91">
        <v>0</v>
      </c>
      <c r="L17" s="91">
        <v>60</v>
      </c>
      <c r="M17" s="91" t="s">
        <v>21</v>
      </c>
      <c r="N17" s="91">
        <v>10</v>
      </c>
      <c r="O17" s="113" t="s">
        <v>550</v>
      </c>
      <c r="P17" s="105" t="s">
        <v>338</v>
      </c>
      <c r="Q17" s="105"/>
      <c r="R17" s="105"/>
      <c r="S17" s="105"/>
      <c r="T17" s="105"/>
    </row>
    <row r="18" spans="1:20" s="79" customFormat="1" ht="15" x14ac:dyDescent="0.4">
      <c r="A18" s="105" t="s">
        <v>536</v>
      </c>
      <c r="B18" s="105">
        <v>13</v>
      </c>
      <c r="C18" s="105" t="s">
        <v>546</v>
      </c>
      <c r="D18" s="87"/>
      <c r="E18" s="105" t="s">
        <v>538</v>
      </c>
      <c r="F18" s="105"/>
      <c r="G18" s="87" t="s">
        <v>533</v>
      </c>
      <c r="H18" s="88" t="s">
        <v>530</v>
      </c>
      <c r="I18" s="174" t="s">
        <v>549</v>
      </c>
      <c r="J18" s="90">
        <v>0</v>
      </c>
      <c r="K18" s="91">
        <v>0</v>
      </c>
      <c r="L18" s="91">
        <v>10000</v>
      </c>
      <c r="M18" s="91" t="s">
        <v>510</v>
      </c>
      <c r="N18" s="91">
        <v>1</v>
      </c>
      <c r="O18" s="113" t="s">
        <v>550</v>
      </c>
      <c r="P18" s="105" t="s">
        <v>338</v>
      </c>
      <c r="Q18" s="105"/>
      <c r="R18" s="105"/>
      <c r="S18" s="105"/>
      <c r="T18" s="105"/>
    </row>
    <row r="19" spans="1:20" s="79" customFormat="1" ht="17.399999999999999" customHeight="1" x14ac:dyDescent="0.4">
      <c r="A19" s="105" t="s">
        <v>536</v>
      </c>
      <c r="B19" s="105">
        <v>14</v>
      </c>
      <c r="C19" s="105" t="s">
        <v>546</v>
      </c>
      <c r="D19" s="87"/>
      <c r="E19" s="105" t="s">
        <v>538</v>
      </c>
      <c r="F19" s="105"/>
      <c r="G19" s="87" t="s">
        <v>534</v>
      </c>
      <c r="H19" s="88" t="s">
        <v>531</v>
      </c>
      <c r="I19" s="175"/>
      <c r="J19" s="90">
        <v>0</v>
      </c>
      <c r="K19" s="91">
        <v>0</v>
      </c>
      <c r="L19" s="91">
        <v>60</v>
      </c>
      <c r="M19" s="91" t="s">
        <v>508</v>
      </c>
      <c r="N19" s="91">
        <v>1</v>
      </c>
      <c r="O19" s="113" t="s">
        <v>550</v>
      </c>
      <c r="P19" s="105" t="s">
        <v>338</v>
      </c>
      <c r="Q19" s="105"/>
      <c r="R19" s="105"/>
      <c r="S19" s="105"/>
      <c r="T19" s="105"/>
    </row>
    <row r="20" spans="1:20" s="79" customFormat="1" ht="17.399999999999999" customHeight="1" x14ac:dyDescent="0.4">
      <c r="A20" s="105" t="s">
        <v>536</v>
      </c>
      <c r="B20" s="105">
        <v>15</v>
      </c>
      <c r="C20" s="105" t="s">
        <v>546</v>
      </c>
      <c r="D20" s="87"/>
      <c r="E20" s="105" t="s">
        <v>538</v>
      </c>
      <c r="F20" s="105"/>
      <c r="G20" s="87" t="s">
        <v>535</v>
      </c>
      <c r="H20" s="88" t="s">
        <v>532</v>
      </c>
      <c r="I20" s="176"/>
      <c r="J20" s="90">
        <v>0</v>
      </c>
      <c r="K20" s="91">
        <v>0</v>
      </c>
      <c r="L20" s="91">
        <v>60</v>
      </c>
      <c r="M20" s="91" t="s">
        <v>21</v>
      </c>
      <c r="N20" s="91">
        <v>10</v>
      </c>
      <c r="O20" s="113" t="s">
        <v>550</v>
      </c>
      <c r="P20" s="105" t="s">
        <v>338</v>
      </c>
      <c r="Q20" s="105"/>
      <c r="R20" s="105"/>
      <c r="S20" s="105"/>
      <c r="T20" s="105"/>
    </row>
    <row r="21" spans="1:20" ht="15" x14ac:dyDescent="0.4">
      <c r="A21" s="106"/>
      <c r="B21" s="106"/>
      <c r="C21" s="106"/>
      <c r="D21" s="93"/>
      <c r="E21" s="106"/>
      <c r="F21" s="106"/>
      <c r="G21" s="93"/>
      <c r="H21" s="94"/>
      <c r="I21" s="98"/>
      <c r="J21" s="95"/>
      <c r="K21" s="96"/>
      <c r="L21" s="96"/>
      <c r="M21" s="96"/>
      <c r="N21" s="96"/>
      <c r="O21" s="97"/>
      <c r="P21" s="106"/>
      <c r="Q21" s="106"/>
      <c r="R21" s="106"/>
      <c r="S21" s="106"/>
      <c r="T21" s="106"/>
    </row>
    <row r="22" spans="1:20" ht="15" x14ac:dyDescent="0.4">
      <c r="A22" s="106"/>
      <c r="B22" s="106"/>
      <c r="C22" s="106"/>
      <c r="D22" s="93"/>
      <c r="E22" s="106"/>
      <c r="F22" s="106"/>
      <c r="G22" s="93"/>
      <c r="H22" s="94"/>
      <c r="I22" s="98"/>
      <c r="J22" s="95"/>
      <c r="K22" s="96"/>
      <c r="L22" s="96"/>
      <c r="M22" s="96"/>
      <c r="N22" s="96"/>
      <c r="O22" s="97"/>
      <c r="P22" s="106"/>
      <c r="Q22" s="106"/>
      <c r="R22" s="106"/>
      <c r="S22" s="106"/>
      <c r="T22" s="106"/>
    </row>
    <row r="23" spans="1:20" ht="15" x14ac:dyDescent="0.4">
      <c r="A23" s="106"/>
      <c r="B23" s="106"/>
      <c r="C23" s="106"/>
      <c r="D23" s="93"/>
      <c r="E23" s="106"/>
      <c r="F23" s="106"/>
      <c r="G23" s="93"/>
      <c r="H23" s="94"/>
      <c r="I23" s="98"/>
      <c r="J23" s="95"/>
      <c r="K23" s="96"/>
      <c r="L23" s="96"/>
      <c r="M23" s="96"/>
      <c r="N23" s="96"/>
      <c r="O23" s="97"/>
      <c r="P23" s="106"/>
      <c r="Q23" s="106"/>
      <c r="R23" s="106"/>
      <c r="S23" s="106"/>
      <c r="T23" s="106"/>
    </row>
    <row r="24" spans="1:20" ht="15" x14ac:dyDescent="0.4">
      <c r="A24" s="106"/>
      <c r="B24" s="106"/>
      <c r="C24" s="106"/>
      <c r="D24" s="93"/>
      <c r="E24" s="106"/>
      <c r="F24" s="106"/>
      <c r="G24" s="93"/>
      <c r="H24" s="94"/>
      <c r="I24" s="98"/>
      <c r="J24" s="95"/>
      <c r="K24" s="96"/>
      <c r="L24" s="96"/>
      <c r="M24" s="96"/>
      <c r="N24" s="96"/>
      <c r="O24" s="97"/>
      <c r="P24" s="106"/>
      <c r="Q24" s="106"/>
      <c r="R24" s="106"/>
      <c r="S24" s="106"/>
      <c r="T24" s="106"/>
    </row>
    <row r="25" spans="1:20" ht="15" x14ac:dyDescent="0.4">
      <c r="A25" s="106"/>
      <c r="B25" s="106"/>
      <c r="C25" s="106"/>
      <c r="D25" s="93"/>
      <c r="E25" s="106"/>
      <c r="F25" s="106"/>
      <c r="G25" s="93"/>
      <c r="H25" s="94"/>
      <c r="I25" s="98"/>
      <c r="J25" s="95"/>
      <c r="K25" s="96"/>
      <c r="L25" s="96"/>
      <c r="M25" s="96"/>
      <c r="N25" s="96"/>
      <c r="O25" s="97"/>
      <c r="P25" s="106"/>
      <c r="Q25" s="106"/>
      <c r="R25" s="106"/>
      <c r="S25" s="106"/>
      <c r="T25" s="106"/>
    </row>
    <row r="26" spans="1:20" ht="15" x14ac:dyDescent="0.4">
      <c r="A26" s="106"/>
      <c r="B26" s="106"/>
      <c r="C26" s="106"/>
      <c r="D26" s="93"/>
      <c r="E26" s="106"/>
      <c r="F26" s="106"/>
      <c r="G26" s="93"/>
      <c r="H26" s="94"/>
      <c r="I26" s="98"/>
      <c r="J26" s="95"/>
      <c r="K26" s="96"/>
      <c r="L26" s="96"/>
      <c r="M26" s="96"/>
      <c r="N26" s="96"/>
      <c r="O26" s="97"/>
      <c r="P26" s="106"/>
      <c r="Q26" s="106"/>
      <c r="R26" s="106"/>
      <c r="S26" s="106"/>
      <c r="T26" s="106"/>
    </row>
    <row r="27" spans="1:20" ht="15" x14ac:dyDescent="0.4">
      <c r="A27" s="106"/>
      <c r="B27" s="106"/>
      <c r="C27" s="106"/>
      <c r="D27" s="93"/>
      <c r="E27" s="106"/>
      <c r="F27" s="106"/>
      <c r="G27" s="93"/>
      <c r="H27" s="94"/>
      <c r="I27" s="98"/>
      <c r="J27" s="95"/>
      <c r="K27" s="96"/>
      <c r="L27" s="96"/>
      <c r="M27" s="96"/>
      <c r="N27" s="96"/>
      <c r="O27" s="97"/>
      <c r="P27" s="106"/>
      <c r="Q27" s="106"/>
      <c r="R27" s="106"/>
      <c r="S27" s="106"/>
      <c r="T27" s="106"/>
    </row>
    <row r="28" spans="1:20" ht="15" x14ac:dyDescent="0.4">
      <c r="A28" s="106"/>
      <c r="B28" s="106"/>
      <c r="C28" s="106"/>
      <c r="D28" s="93"/>
      <c r="E28" s="106"/>
      <c r="F28" s="106"/>
      <c r="G28" s="93"/>
      <c r="H28" s="94"/>
      <c r="I28" s="98"/>
      <c r="J28" s="95"/>
      <c r="K28" s="96"/>
      <c r="L28" s="96"/>
      <c r="M28" s="96"/>
      <c r="N28" s="96"/>
      <c r="O28" s="97"/>
      <c r="P28" s="106"/>
      <c r="Q28" s="106"/>
      <c r="R28" s="106"/>
      <c r="S28" s="106"/>
      <c r="T28" s="106"/>
    </row>
    <row r="29" spans="1:20" ht="15" x14ac:dyDescent="0.4">
      <c r="A29" s="106"/>
      <c r="B29" s="106"/>
      <c r="C29" s="106"/>
      <c r="D29" s="93"/>
      <c r="E29" s="106"/>
      <c r="F29" s="106"/>
      <c r="G29" s="93"/>
      <c r="H29" s="94"/>
      <c r="I29" s="98"/>
      <c r="J29" s="95"/>
      <c r="K29" s="96"/>
      <c r="L29" s="96"/>
      <c r="M29" s="96"/>
      <c r="N29" s="96"/>
      <c r="O29" s="97"/>
      <c r="P29" s="106"/>
      <c r="Q29" s="106"/>
      <c r="R29" s="106"/>
      <c r="S29" s="106"/>
      <c r="T29" s="106"/>
    </row>
    <row r="30" spans="1:20" ht="15" x14ac:dyDescent="0.4">
      <c r="A30" s="106"/>
      <c r="B30" s="106"/>
      <c r="C30" s="106"/>
      <c r="D30" s="93"/>
      <c r="E30" s="106"/>
      <c r="F30" s="106"/>
      <c r="G30" s="93"/>
      <c r="H30" s="94"/>
      <c r="I30" s="98"/>
      <c r="J30" s="95"/>
      <c r="K30" s="96"/>
      <c r="L30" s="96"/>
      <c r="M30" s="96"/>
      <c r="N30" s="96"/>
      <c r="O30" s="97"/>
      <c r="P30" s="106"/>
      <c r="Q30" s="106"/>
      <c r="R30" s="106"/>
      <c r="S30" s="106"/>
      <c r="T30" s="106"/>
    </row>
    <row r="31" spans="1:20" ht="15" x14ac:dyDescent="0.4">
      <c r="A31" s="106"/>
      <c r="B31" s="106"/>
      <c r="C31" s="106"/>
      <c r="D31" s="93"/>
      <c r="E31" s="106"/>
      <c r="F31" s="106"/>
      <c r="G31" s="93"/>
      <c r="H31" s="94"/>
      <c r="I31" s="98"/>
      <c r="J31" s="95"/>
      <c r="K31" s="96"/>
      <c r="L31" s="96"/>
      <c r="M31" s="96"/>
      <c r="N31" s="96"/>
      <c r="O31" s="97"/>
      <c r="P31" s="106"/>
      <c r="Q31" s="106"/>
      <c r="R31" s="106"/>
      <c r="S31" s="106"/>
      <c r="T31" s="106"/>
    </row>
    <row r="32" spans="1:20" ht="15" x14ac:dyDescent="0.4">
      <c r="A32" s="106"/>
      <c r="B32" s="106"/>
      <c r="C32" s="106"/>
      <c r="D32" s="93"/>
      <c r="E32" s="106"/>
      <c r="F32" s="106"/>
      <c r="G32" s="93"/>
      <c r="H32" s="94"/>
      <c r="I32" s="98"/>
      <c r="J32" s="95"/>
      <c r="K32" s="96"/>
      <c r="L32" s="96"/>
      <c r="M32" s="96"/>
      <c r="N32" s="96"/>
      <c r="O32" s="97"/>
      <c r="P32" s="106"/>
      <c r="Q32" s="106"/>
      <c r="R32" s="106"/>
      <c r="S32" s="106"/>
      <c r="T32" s="106"/>
    </row>
    <row r="33" spans="1:20" ht="15" x14ac:dyDescent="0.4">
      <c r="A33" s="106"/>
      <c r="B33" s="106"/>
      <c r="C33" s="106"/>
      <c r="D33" s="93"/>
      <c r="E33" s="106"/>
      <c r="F33" s="106"/>
      <c r="G33" s="93"/>
      <c r="H33" s="94"/>
      <c r="I33" s="98"/>
      <c r="J33" s="95"/>
      <c r="K33" s="96"/>
      <c r="L33" s="96"/>
      <c r="M33" s="96"/>
      <c r="N33" s="96"/>
      <c r="O33" s="97"/>
      <c r="P33" s="106"/>
      <c r="Q33" s="106"/>
      <c r="R33" s="106"/>
      <c r="S33" s="106"/>
      <c r="T33" s="106"/>
    </row>
    <row r="34" spans="1:20" ht="15" x14ac:dyDescent="0.4">
      <c r="A34" s="106"/>
      <c r="B34" s="106"/>
      <c r="C34" s="106"/>
      <c r="D34" s="93"/>
      <c r="E34" s="106"/>
      <c r="F34" s="106"/>
      <c r="G34" s="93"/>
      <c r="H34" s="94"/>
      <c r="I34" s="98"/>
      <c r="J34" s="95"/>
      <c r="K34" s="96"/>
      <c r="L34" s="96"/>
      <c r="M34" s="96"/>
      <c r="N34" s="96"/>
      <c r="O34" s="97"/>
      <c r="P34" s="106"/>
      <c r="Q34" s="106"/>
      <c r="R34" s="106"/>
      <c r="S34" s="106"/>
      <c r="T34" s="106"/>
    </row>
    <row r="35" spans="1:20" ht="15" x14ac:dyDescent="0.4">
      <c r="A35" s="106"/>
      <c r="B35" s="106"/>
      <c r="C35" s="106"/>
      <c r="D35" s="93"/>
      <c r="E35" s="106"/>
      <c r="F35" s="106"/>
      <c r="G35" s="93"/>
      <c r="H35" s="94"/>
      <c r="I35" s="98"/>
      <c r="J35" s="95"/>
      <c r="K35" s="96"/>
      <c r="L35" s="96"/>
      <c r="M35" s="96"/>
      <c r="N35" s="96"/>
      <c r="O35" s="97"/>
      <c r="P35" s="106"/>
      <c r="Q35" s="106"/>
      <c r="R35" s="106"/>
      <c r="S35" s="106"/>
      <c r="T35" s="106"/>
    </row>
    <row r="36" spans="1:20" ht="15" x14ac:dyDescent="0.4">
      <c r="A36" s="106"/>
      <c r="B36" s="106"/>
      <c r="C36" s="106"/>
      <c r="D36" s="93"/>
      <c r="E36" s="106"/>
      <c r="F36" s="106"/>
      <c r="G36" s="93"/>
      <c r="H36" s="94"/>
      <c r="I36" s="98"/>
      <c r="J36" s="95"/>
      <c r="K36" s="96"/>
      <c r="L36" s="96"/>
      <c r="M36" s="96"/>
      <c r="N36" s="96"/>
      <c r="O36" s="97"/>
      <c r="P36" s="106"/>
      <c r="Q36" s="106"/>
      <c r="R36" s="106"/>
      <c r="S36" s="106"/>
      <c r="T36" s="106"/>
    </row>
    <row r="37" spans="1:20" ht="15" x14ac:dyDescent="0.4">
      <c r="A37" s="106"/>
      <c r="B37" s="106"/>
      <c r="C37" s="106"/>
      <c r="D37" s="93"/>
      <c r="E37" s="106"/>
      <c r="F37" s="106"/>
      <c r="G37" s="93"/>
      <c r="H37" s="94"/>
      <c r="I37" s="98"/>
      <c r="J37" s="95"/>
      <c r="K37" s="96"/>
      <c r="L37" s="96"/>
      <c r="M37" s="96"/>
      <c r="N37" s="96"/>
      <c r="O37" s="97"/>
      <c r="P37" s="106"/>
      <c r="Q37" s="106"/>
      <c r="R37" s="106"/>
      <c r="S37" s="106"/>
      <c r="T37" s="106"/>
    </row>
    <row r="38" spans="1:20" ht="15" x14ac:dyDescent="0.4">
      <c r="A38" s="106"/>
      <c r="B38" s="106"/>
      <c r="C38" s="106"/>
      <c r="D38" s="93"/>
      <c r="E38" s="106"/>
      <c r="F38" s="106"/>
      <c r="G38" s="93"/>
      <c r="H38" s="94"/>
      <c r="I38" s="98"/>
      <c r="J38" s="95"/>
      <c r="K38" s="96"/>
      <c r="L38" s="96"/>
      <c r="M38" s="96"/>
      <c r="N38" s="96"/>
      <c r="O38" s="97"/>
      <c r="P38" s="106"/>
      <c r="Q38" s="106"/>
      <c r="R38" s="106"/>
      <c r="S38" s="106"/>
      <c r="T38" s="106"/>
    </row>
    <row r="39" spans="1:20" ht="15" x14ac:dyDescent="0.4">
      <c r="A39" s="106"/>
      <c r="B39" s="106"/>
      <c r="C39" s="106"/>
      <c r="D39" s="93"/>
      <c r="E39" s="106"/>
      <c r="F39" s="106"/>
      <c r="G39" s="93"/>
      <c r="H39" s="94"/>
      <c r="I39" s="98"/>
      <c r="J39" s="95"/>
      <c r="K39" s="96"/>
      <c r="L39" s="96"/>
      <c r="M39" s="96"/>
      <c r="N39" s="96"/>
      <c r="O39" s="97"/>
      <c r="P39" s="106"/>
      <c r="Q39" s="106"/>
      <c r="R39" s="106"/>
      <c r="S39" s="106"/>
      <c r="T39" s="106"/>
    </row>
    <row r="40" spans="1:20" ht="15" x14ac:dyDescent="0.4">
      <c r="A40" s="106"/>
      <c r="B40" s="106"/>
      <c r="C40" s="106"/>
      <c r="D40" s="93"/>
      <c r="E40" s="106"/>
      <c r="F40" s="106"/>
      <c r="G40" s="93"/>
      <c r="H40" s="94"/>
      <c r="I40" s="98"/>
      <c r="J40" s="95"/>
      <c r="K40" s="96"/>
      <c r="L40" s="96"/>
      <c r="M40" s="96"/>
      <c r="N40" s="96"/>
      <c r="O40" s="97"/>
      <c r="P40" s="106"/>
      <c r="Q40" s="106"/>
      <c r="R40" s="106"/>
      <c r="S40" s="106"/>
      <c r="T40" s="106"/>
    </row>
    <row r="41" spans="1:20" ht="15" x14ac:dyDescent="0.4">
      <c r="A41" s="106"/>
      <c r="B41" s="106"/>
      <c r="C41" s="106"/>
      <c r="D41" s="93"/>
      <c r="E41" s="106"/>
      <c r="F41" s="106"/>
      <c r="G41" s="93"/>
      <c r="H41" s="94"/>
      <c r="I41" s="98"/>
      <c r="J41" s="95"/>
      <c r="K41" s="96"/>
      <c r="L41" s="96"/>
      <c r="M41" s="96"/>
      <c r="N41" s="96"/>
      <c r="O41" s="97"/>
      <c r="P41" s="106"/>
      <c r="Q41" s="106"/>
      <c r="R41" s="106"/>
      <c r="S41" s="106"/>
      <c r="T41" s="106"/>
    </row>
    <row r="42" spans="1:20" ht="15" x14ac:dyDescent="0.4">
      <c r="A42" s="106"/>
      <c r="B42" s="106"/>
      <c r="C42" s="106"/>
      <c r="D42" s="93"/>
      <c r="E42" s="106"/>
      <c r="F42" s="106"/>
      <c r="G42" s="93"/>
      <c r="H42" s="94"/>
      <c r="I42" s="98"/>
      <c r="J42" s="95"/>
      <c r="K42" s="96"/>
      <c r="L42" s="96"/>
      <c r="M42" s="96"/>
      <c r="N42" s="96"/>
      <c r="O42" s="97"/>
      <c r="P42" s="106"/>
      <c r="Q42" s="106"/>
      <c r="R42" s="106"/>
      <c r="S42" s="106"/>
      <c r="T42" s="106"/>
    </row>
    <row r="43" spans="1:20" ht="15" x14ac:dyDescent="0.4">
      <c r="A43" s="106"/>
      <c r="B43" s="106"/>
      <c r="C43" s="106"/>
      <c r="D43" s="93"/>
      <c r="E43" s="135"/>
      <c r="F43" s="106"/>
      <c r="G43" s="93"/>
      <c r="H43" s="94"/>
      <c r="I43" s="98"/>
      <c r="J43" s="95"/>
      <c r="K43" s="96"/>
      <c r="L43" s="96"/>
      <c r="M43" s="96"/>
      <c r="N43" s="96"/>
      <c r="O43" s="97"/>
      <c r="P43" s="106"/>
      <c r="Q43" s="106"/>
      <c r="R43" s="106"/>
      <c r="S43" s="106"/>
      <c r="T43" s="106"/>
    </row>
    <row r="44" spans="1:20" ht="15" x14ac:dyDescent="0.4">
      <c r="A44" s="106"/>
      <c r="B44" s="106"/>
      <c r="C44" s="106"/>
      <c r="D44" s="93"/>
      <c r="E44" s="135"/>
      <c r="F44" s="106"/>
      <c r="G44" s="93"/>
      <c r="H44" s="94"/>
      <c r="I44" s="98"/>
      <c r="J44" s="95"/>
      <c r="K44" s="96"/>
      <c r="L44" s="96"/>
      <c r="M44" s="96"/>
      <c r="N44" s="96"/>
      <c r="O44" s="97"/>
      <c r="P44" s="106"/>
      <c r="Q44" s="106"/>
      <c r="R44" s="106"/>
      <c r="S44" s="106"/>
      <c r="T44" s="106"/>
    </row>
    <row r="45" spans="1:20" ht="15" x14ac:dyDescent="0.4">
      <c r="A45" s="106"/>
      <c r="B45" s="106"/>
      <c r="C45" s="106"/>
      <c r="D45" s="93"/>
      <c r="E45" s="135"/>
      <c r="F45" s="106"/>
      <c r="G45" s="93"/>
      <c r="H45" s="94"/>
      <c r="I45" s="98"/>
      <c r="J45" s="95"/>
      <c r="K45" s="96"/>
      <c r="L45" s="96"/>
      <c r="M45" s="96"/>
      <c r="N45" s="96"/>
      <c r="O45" s="97"/>
      <c r="P45" s="106"/>
      <c r="Q45" s="106"/>
      <c r="R45" s="106"/>
      <c r="S45" s="106"/>
      <c r="T45" s="106"/>
    </row>
    <row r="46" spans="1:20" ht="15" x14ac:dyDescent="0.4">
      <c r="A46" s="106"/>
      <c r="B46" s="106"/>
      <c r="C46" s="106"/>
      <c r="D46" s="93"/>
      <c r="E46" s="135"/>
      <c r="F46" s="106"/>
      <c r="G46" s="93"/>
      <c r="H46" s="94"/>
      <c r="I46" s="98"/>
      <c r="J46" s="95"/>
      <c r="K46" s="96"/>
      <c r="L46" s="96"/>
      <c r="M46" s="96"/>
      <c r="N46" s="96"/>
      <c r="O46" s="97"/>
      <c r="P46" s="106"/>
      <c r="Q46" s="106"/>
      <c r="R46" s="106"/>
      <c r="S46" s="106"/>
      <c r="T46" s="106"/>
    </row>
    <row r="47" spans="1:20" ht="15" x14ac:dyDescent="0.4">
      <c r="A47" s="106"/>
      <c r="B47" s="106"/>
      <c r="C47" s="106"/>
      <c r="D47" s="93"/>
      <c r="E47" s="135"/>
      <c r="F47" s="106"/>
      <c r="G47" s="93"/>
      <c r="H47" s="94"/>
      <c r="I47" s="98"/>
      <c r="J47" s="95"/>
      <c r="K47" s="96"/>
      <c r="L47" s="96"/>
      <c r="M47" s="96"/>
      <c r="N47" s="96"/>
      <c r="O47" s="97"/>
      <c r="P47" s="106"/>
      <c r="Q47" s="106"/>
      <c r="R47" s="106"/>
      <c r="S47" s="106"/>
      <c r="T47" s="106"/>
    </row>
    <row r="48" spans="1:20" ht="15" x14ac:dyDescent="0.4">
      <c r="A48" s="106"/>
      <c r="B48" s="106"/>
      <c r="C48" s="106"/>
      <c r="D48" s="93"/>
      <c r="E48" s="135"/>
      <c r="F48" s="106"/>
      <c r="G48" s="93"/>
      <c r="H48" s="94"/>
      <c r="I48" s="98"/>
      <c r="J48" s="95"/>
      <c r="K48" s="96"/>
      <c r="L48" s="96"/>
      <c r="M48" s="96"/>
      <c r="N48" s="96"/>
      <c r="O48" s="97"/>
      <c r="P48" s="106"/>
      <c r="Q48" s="106"/>
      <c r="R48" s="106"/>
      <c r="S48" s="106"/>
      <c r="T48" s="106"/>
    </row>
    <row r="49" spans="1:20" ht="15" x14ac:dyDescent="0.4">
      <c r="A49" s="106"/>
      <c r="B49" s="106"/>
      <c r="C49" s="106"/>
      <c r="D49" s="93"/>
      <c r="E49" s="135"/>
      <c r="F49" s="106"/>
      <c r="G49" s="93"/>
      <c r="H49" s="94"/>
      <c r="I49" s="98"/>
      <c r="J49" s="95"/>
      <c r="K49" s="96"/>
      <c r="L49" s="96"/>
      <c r="M49" s="96"/>
      <c r="N49" s="96"/>
      <c r="O49" s="97"/>
      <c r="P49" s="106"/>
      <c r="Q49" s="106"/>
      <c r="R49" s="106"/>
      <c r="S49" s="106"/>
      <c r="T49" s="106"/>
    </row>
    <row r="50" spans="1:20" ht="15" x14ac:dyDescent="0.4">
      <c r="A50" s="106"/>
      <c r="B50" s="106"/>
      <c r="C50" s="106"/>
      <c r="D50" s="93"/>
      <c r="E50" s="135"/>
      <c r="F50" s="106"/>
      <c r="G50" s="93"/>
      <c r="H50" s="94"/>
      <c r="I50" s="98"/>
      <c r="J50" s="95"/>
      <c r="K50" s="96"/>
      <c r="L50" s="96"/>
      <c r="M50" s="96"/>
      <c r="N50" s="96"/>
      <c r="O50" s="97"/>
      <c r="P50" s="106"/>
      <c r="Q50" s="106"/>
      <c r="R50" s="106"/>
      <c r="S50" s="106"/>
      <c r="T50" s="106"/>
    </row>
    <row r="51" spans="1:20" ht="15" x14ac:dyDescent="0.4">
      <c r="A51" s="106"/>
      <c r="B51" s="106"/>
      <c r="C51" s="106"/>
      <c r="D51" s="93"/>
      <c r="E51" s="135"/>
      <c r="F51" s="106"/>
      <c r="G51" s="93"/>
      <c r="H51" s="94"/>
      <c r="I51" s="98"/>
      <c r="J51" s="95"/>
      <c r="K51" s="96"/>
      <c r="L51" s="96"/>
      <c r="M51" s="96"/>
      <c r="N51" s="96"/>
      <c r="O51" s="97"/>
      <c r="P51" s="106"/>
      <c r="Q51" s="106"/>
      <c r="R51" s="106"/>
      <c r="S51" s="106"/>
      <c r="T51" s="106"/>
    </row>
    <row r="52" spans="1:20" ht="15" x14ac:dyDescent="0.4">
      <c r="A52" s="106"/>
      <c r="B52" s="106"/>
      <c r="C52" s="106"/>
      <c r="D52" s="93"/>
      <c r="E52" s="135"/>
      <c r="F52" s="106"/>
      <c r="G52" s="93"/>
      <c r="H52" s="94"/>
      <c r="I52" s="98"/>
      <c r="J52" s="95"/>
      <c r="K52" s="96"/>
      <c r="L52" s="96"/>
      <c r="M52" s="96"/>
      <c r="N52" s="96"/>
      <c r="O52" s="97"/>
      <c r="P52" s="106"/>
      <c r="Q52" s="106"/>
      <c r="R52" s="106"/>
      <c r="S52" s="106"/>
      <c r="T52" s="106"/>
    </row>
    <row r="53" spans="1:20" ht="15" x14ac:dyDescent="0.4">
      <c r="A53" s="106"/>
      <c r="B53" s="106"/>
      <c r="C53" s="106"/>
      <c r="D53" s="93"/>
      <c r="E53" s="135"/>
      <c r="F53" s="106"/>
      <c r="G53" s="93"/>
      <c r="H53" s="94"/>
      <c r="I53" s="98"/>
      <c r="J53" s="95"/>
      <c r="K53" s="96"/>
      <c r="L53" s="96"/>
      <c r="M53" s="96"/>
      <c r="N53" s="96"/>
      <c r="O53" s="97"/>
      <c r="P53" s="106"/>
      <c r="Q53" s="106"/>
      <c r="R53" s="106"/>
      <c r="S53" s="106"/>
      <c r="T53" s="106"/>
    </row>
    <row r="54" spans="1:20" ht="15" x14ac:dyDescent="0.4">
      <c r="A54" s="106"/>
      <c r="B54" s="106"/>
      <c r="C54" s="106"/>
      <c r="D54" s="93"/>
      <c r="E54" s="135"/>
      <c r="F54" s="106"/>
      <c r="G54" s="93"/>
      <c r="H54" s="94"/>
      <c r="I54" s="98"/>
      <c r="J54" s="95"/>
      <c r="K54" s="96"/>
      <c r="L54" s="96"/>
      <c r="M54" s="96"/>
      <c r="N54" s="96"/>
      <c r="O54" s="97"/>
      <c r="P54" s="106"/>
      <c r="Q54" s="106"/>
      <c r="R54" s="106"/>
      <c r="S54" s="106"/>
      <c r="T54" s="106"/>
    </row>
    <row r="55" spans="1:20" ht="15" x14ac:dyDescent="0.4">
      <c r="A55" s="106"/>
      <c r="B55" s="106"/>
      <c r="C55" s="106"/>
      <c r="D55" s="93"/>
      <c r="E55" s="106"/>
      <c r="F55" s="106"/>
      <c r="G55" s="93"/>
      <c r="H55" s="94"/>
      <c r="I55" s="98"/>
      <c r="J55" s="95"/>
      <c r="K55" s="96"/>
      <c r="L55" s="96"/>
      <c r="M55" s="96"/>
      <c r="N55" s="96"/>
      <c r="O55" s="97"/>
      <c r="P55" s="106"/>
      <c r="Q55" s="106"/>
      <c r="R55" s="106"/>
      <c r="S55" s="106"/>
      <c r="T55" s="106"/>
    </row>
    <row r="56" spans="1:20" ht="15" x14ac:dyDescent="0.4">
      <c r="A56" s="106"/>
      <c r="B56" s="106"/>
      <c r="C56" s="106"/>
      <c r="D56" s="93"/>
      <c r="E56" s="106"/>
      <c r="F56" s="106"/>
      <c r="G56" s="93"/>
      <c r="H56" s="94"/>
      <c r="I56" s="98"/>
      <c r="J56" s="95"/>
      <c r="K56" s="96"/>
      <c r="L56" s="96"/>
      <c r="M56" s="96"/>
      <c r="N56" s="96"/>
      <c r="O56" s="97"/>
      <c r="P56" s="106"/>
      <c r="Q56" s="106"/>
      <c r="R56" s="106"/>
      <c r="S56" s="106"/>
      <c r="T56" s="106"/>
    </row>
    <row r="57" spans="1:20" ht="15" x14ac:dyDescent="0.4">
      <c r="A57" s="106"/>
      <c r="B57" s="106"/>
      <c r="C57" s="106"/>
      <c r="D57" s="93"/>
      <c r="E57" s="106"/>
      <c r="F57" s="106"/>
      <c r="G57" s="93"/>
      <c r="H57" s="94"/>
      <c r="I57" s="98"/>
      <c r="J57" s="95"/>
      <c r="K57" s="96"/>
      <c r="L57" s="96"/>
      <c r="M57" s="96"/>
      <c r="N57" s="96"/>
      <c r="O57" s="97"/>
      <c r="P57" s="106"/>
      <c r="Q57" s="106"/>
      <c r="R57" s="106"/>
      <c r="S57" s="106"/>
      <c r="T57" s="106"/>
    </row>
    <row r="58" spans="1:20" ht="15" x14ac:dyDescent="0.4">
      <c r="A58" s="106"/>
      <c r="B58" s="106"/>
      <c r="C58" s="106"/>
      <c r="D58" s="93"/>
      <c r="E58" s="106"/>
      <c r="F58" s="106"/>
      <c r="G58" s="93"/>
      <c r="H58" s="94"/>
      <c r="I58" s="98"/>
      <c r="J58" s="95"/>
      <c r="K58" s="96"/>
      <c r="L58" s="96"/>
      <c r="M58" s="96"/>
      <c r="N58" s="96"/>
      <c r="O58" s="97"/>
      <c r="P58" s="106"/>
      <c r="Q58" s="106"/>
      <c r="R58" s="106"/>
      <c r="S58" s="106"/>
      <c r="T58" s="106"/>
    </row>
    <row r="59" spans="1:20" ht="15" x14ac:dyDescent="0.4">
      <c r="A59" s="106"/>
      <c r="B59" s="106"/>
      <c r="C59" s="106"/>
      <c r="D59" s="93"/>
      <c r="E59" s="106"/>
      <c r="F59" s="106"/>
      <c r="G59" s="93"/>
      <c r="H59" s="94"/>
      <c r="I59" s="98"/>
      <c r="J59" s="95"/>
      <c r="K59" s="96"/>
      <c r="L59" s="96"/>
      <c r="M59" s="96"/>
      <c r="N59" s="96"/>
      <c r="O59" s="97"/>
      <c r="P59" s="106"/>
      <c r="Q59" s="106"/>
      <c r="R59" s="106"/>
      <c r="S59" s="106"/>
      <c r="T59" s="106"/>
    </row>
    <row r="60" spans="1:20" ht="15" x14ac:dyDescent="0.4">
      <c r="A60" s="106"/>
      <c r="B60" s="106"/>
      <c r="C60" s="106"/>
      <c r="D60" s="93"/>
      <c r="E60" s="106"/>
      <c r="F60" s="106"/>
      <c r="G60" s="93"/>
      <c r="H60" s="94"/>
      <c r="I60" s="98"/>
      <c r="J60" s="95"/>
      <c r="K60" s="96"/>
      <c r="L60" s="96"/>
      <c r="M60" s="96"/>
      <c r="N60" s="96"/>
      <c r="O60" s="97"/>
      <c r="P60" s="106"/>
      <c r="Q60" s="106"/>
      <c r="R60" s="106"/>
      <c r="S60" s="106"/>
      <c r="T60" s="106"/>
    </row>
    <row r="61" spans="1:20" ht="15" x14ac:dyDescent="0.4">
      <c r="A61" s="106"/>
      <c r="B61" s="106"/>
      <c r="C61" s="106"/>
      <c r="D61" s="93"/>
      <c r="E61" s="106"/>
      <c r="F61" s="106"/>
      <c r="G61" s="93"/>
      <c r="H61" s="94"/>
      <c r="I61" s="98"/>
      <c r="J61" s="95"/>
      <c r="K61" s="96"/>
      <c r="L61" s="96"/>
      <c r="M61" s="96"/>
      <c r="N61" s="96"/>
      <c r="O61" s="97"/>
      <c r="P61" s="106"/>
      <c r="Q61" s="106"/>
      <c r="R61" s="106"/>
      <c r="S61" s="106"/>
      <c r="T61" s="106"/>
    </row>
    <row r="62" spans="1:20" ht="15" x14ac:dyDescent="0.4">
      <c r="A62" s="106"/>
      <c r="B62" s="106"/>
      <c r="C62" s="106"/>
      <c r="D62" s="93"/>
      <c r="E62" s="106"/>
      <c r="F62" s="106"/>
      <c r="G62" s="93"/>
      <c r="H62" s="94"/>
      <c r="I62" s="98"/>
      <c r="J62" s="95"/>
      <c r="K62" s="96"/>
      <c r="L62" s="96"/>
      <c r="M62" s="96"/>
      <c r="N62" s="96"/>
      <c r="O62" s="97"/>
      <c r="P62" s="106"/>
      <c r="Q62" s="106"/>
      <c r="R62" s="106"/>
      <c r="S62" s="106"/>
      <c r="T62" s="106"/>
    </row>
    <row r="63" spans="1:20" ht="15" x14ac:dyDescent="0.4">
      <c r="A63" s="106"/>
      <c r="B63" s="106"/>
      <c r="C63" s="106"/>
      <c r="D63" s="93"/>
      <c r="E63" s="106"/>
      <c r="F63" s="106"/>
      <c r="G63" s="93"/>
      <c r="H63" s="94"/>
      <c r="I63" s="98"/>
      <c r="J63" s="95"/>
      <c r="K63" s="96"/>
      <c r="L63" s="96"/>
      <c r="M63" s="96"/>
      <c r="N63" s="96"/>
      <c r="O63" s="97"/>
      <c r="P63" s="106"/>
      <c r="Q63" s="106"/>
      <c r="R63" s="106"/>
      <c r="S63" s="106"/>
      <c r="T63" s="106"/>
    </row>
    <row r="64" spans="1:20" ht="15" x14ac:dyDescent="0.4">
      <c r="A64" s="106"/>
      <c r="B64" s="106"/>
      <c r="C64" s="106"/>
      <c r="D64" s="93"/>
      <c r="E64" s="106"/>
      <c r="F64" s="106"/>
      <c r="G64" s="93"/>
      <c r="H64" s="94"/>
      <c r="I64" s="98"/>
      <c r="J64" s="95"/>
      <c r="K64" s="96"/>
      <c r="L64" s="96"/>
      <c r="M64" s="96"/>
      <c r="N64" s="96"/>
      <c r="O64" s="97"/>
      <c r="P64" s="106"/>
      <c r="Q64" s="106"/>
      <c r="R64" s="106"/>
      <c r="S64" s="106"/>
      <c r="T64" s="106"/>
    </row>
    <row r="65" spans="1:20" ht="15" x14ac:dyDescent="0.4">
      <c r="A65" s="106"/>
      <c r="B65" s="106"/>
      <c r="C65" s="106"/>
      <c r="D65" s="93"/>
      <c r="E65" s="106"/>
      <c r="F65" s="106"/>
      <c r="G65" s="93"/>
      <c r="H65" s="94"/>
      <c r="I65" s="98"/>
      <c r="J65" s="95"/>
      <c r="K65" s="96"/>
      <c r="L65" s="96"/>
      <c r="M65" s="96"/>
      <c r="N65" s="96"/>
      <c r="O65" s="97"/>
      <c r="P65" s="106"/>
      <c r="Q65" s="106"/>
      <c r="R65" s="106"/>
      <c r="S65" s="106"/>
      <c r="T65" s="106"/>
    </row>
    <row r="66" spans="1:20" ht="15" x14ac:dyDescent="0.4">
      <c r="A66" s="106"/>
      <c r="B66" s="106"/>
      <c r="C66" s="106"/>
      <c r="D66" s="93"/>
      <c r="E66" s="106"/>
      <c r="F66" s="106"/>
      <c r="G66" s="93"/>
      <c r="H66" s="94"/>
      <c r="I66" s="98"/>
      <c r="J66" s="95"/>
      <c r="K66" s="96"/>
      <c r="L66" s="96"/>
      <c r="M66" s="96"/>
      <c r="N66" s="96"/>
      <c r="O66" s="97"/>
      <c r="P66" s="106"/>
      <c r="Q66" s="106"/>
      <c r="R66" s="106"/>
      <c r="S66" s="106"/>
      <c r="T66" s="106"/>
    </row>
    <row r="67" spans="1:20" ht="15" x14ac:dyDescent="0.4">
      <c r="A67" s="106"/>
      <c r="B67" s="106"/>
      <c r="C67" s="106"/>
      <c r="D67" s="93"/>
      <c r="E67" s="106"/>
      <c r="F67" s="106"/>
      <c r="G67" s="93"/>
      <c r="H67" s="94"/>
      <c r="I67" s="98"/>
      <c r="J67" s="95"/>
      <c r="K67" s="96"/>
      <c r="L67" s="96"/>
      <c r="M67" s="96"/>
      <c r="N67" s="96"/>
      <c r="O67" s="97"/>
      <c r="P67" s="106"/>
      <c r="Q67" s="106"/>
      <c r="R67" s="106"/>
      <c r="S67" s="106"/>
      <c r="T67" s="106"/>
    </row>
    <row r="68" spans="1:20" ht="15" x14ac:dyDescent="0.4">
      <c r="A68" s="106"/>
      <c r="B68" s="106"/>
      <c r="C68" s="106"/>
      <c r="D68" s="93"/>
      <c r="E68" s="106"/>
      <c r="F68" s="106"/>
      <c r="G68" s="93"/>
      <c r="H68" s="94"/>
      <c r="I68" s="98"/>
      <c r="J68" s="95"/>
      <c r="K68" s="96"/>
      <c r="L68" s="96"/>
      <c r="M68" s="96"/>
      <c r="N68" s="96"/>
      <c r="O68" s="97"/>
      <c r="P68" s="106"/>
      <c r="Q68" s="106"/>
      <c r="R68" s="106"/>
      <c r="S68" s="106"/>
      <c r="T68" s="106"/>
    </row>
    <row r="69" spans="1:20" ht="15" x14ac:dyDescent="0.4">
      <c r="A69" s="106"/>
      <c r="B69" s="106"/>
      <c r="C69" s="106"/>
      <c r="D69" s="93"/>
      <c r="E69" s="106"/>
      <c r="F69" s="106"/>
      <c r="G69" s="93"/>
      <c r="H69" s="94"/>
      <c r="I69" s="98"/>
      <c r="J69" s="95"/>
      <c r="K69" s="96"/>
      <c r="L69" s="96"/>
      <c r="M69" s="96"/>
      <c r="N69" s="96"/>
      <c r="O69" s="97"/>
      <c r="P69" s="106"/>
      <c r="Q69" s="106"/>
      <c r="R69" s="106"/>
      <c r="S69" s="106"/>
      <c r="T69" s="106"/>
    </row>
    <row r="70" spans="1:20" ht="15" x14ac:dyDescent="0.4">
      <c r="A70" s="106"/>
      <c r="B70" s="106"/>
      <c r="C70" s="106"/>
      <c r="D70" s="93"/>
      <c r="E70" s="106"/>
      <c r="F70" s="106"/>
      <c r="G70" s="93"/>
      <c r="H70" s="94"/>
      <c r="I70" s="98"/>
      <c r="J70" s="95"/>
      <c r="K70" s="96"/>
      <c r="L70" s="96"/>
      <c r="M70" s="96"/>
      <c r="N70" s="96"/>
      <c r="O70" s="97"/>
      <c r="P70" s="106"/>
      <c r="Q70" s="106"/>
      <c r="R70" s="106"/>
      <c r="S70" s="106"/>
      <c r="T70" s="106"/>
    </row>
    <row r="71" spans="1:20" ht="15" x14ac:dyDescent="0.4">
      <c r="A71" s="106"/>
      <c r="B71" s="106"/>
      <c r="C71" s="106"/>
      <c r="D71" s="93"/>
      <c r="E71" s="106"/>
      <c r="F71" s="106"/>
      <c r="G71" s="93"/>
      <c r="H71" s="94"/>
      <c r="I71" s="98"/>
      <c r="J71" s="95"/>
      <c r="K71" s="96"/>
      <c r="L71" s="96"/>
      <c r="M71" s="96"/>
      <c r="N71" s="96"/>
      <c r="O71" s="97"/>
      <c r="P71" s="106"/>
      <c r="Q71" s="106"/>
      <c r="R71" s="106"/>
      <c r="S71" s="106"/>
      <c r="T71" s="106"/>
    </row>
    <row r="72" spans="1:20" ht="15" x14ac:dyDescent="0.4">
      <c r="A72" s="106"/>
      <c r="B72" s="106"/>
      <c r="C72" s="106"/>
      <c r="D72" s="93"/>
      <c r="E72" s="106"/>
      <c r="F72" s="106"/>
      <c r="G72" s="93"/>
      <c r="H72" s="94"/>
      <c r="I72" s="98"/>
      <c r="J72" s="95"/>
      <c r="K72" s="96"/>
      <c r="L72" s="96"/>
      <c r="M72" s="96"/>
      <c r="N72" s="96"/>
      <c r="O72" s="97"/>
      <c r="P72" s="106"/>
      <c r="Q72" s="106"/>
      <c r="R72" s="106"/>
      <c r="S72" s="106"/>
      <c r="T72" s="106"/>
    </row>
    <row r="73" spans="1:20" ht="15" x14ac:dyDescent="0.4">
      <c r="A73" s="106"/>
      <c r="B73" s="106"/>
      <c r="C73" s="106"/>
      <c r="D73" s="93"/>
      <c r="E73" s="106"/>
      <c r="F73" s="106"/>
      <c r="G73" s="93"/>
      <c r="H73" s="94"/>
      <c r="I73" s="98"/>
      <c r="J73" s="95"/>
      <c r="K73" s="96"/>
      <c r="L73" s="96"/>
      <c r="M73" s="96"/>
      <c r="N73" s="96"/>
      <c r="O73" s="97"/>
      <c r="P73" s="106"/>
      <c r="Q73" s="106"/>
      <c r="R73" s="106"/>
      <c r="S73" s="106"/>
      <c r="T73" s="106"/>
    </row>
    <row r="74" spans="1:20" ht="15" x14ac:dyDescent="0.4">
      <c r="A74" s="106"/>
      <c r="B74" s="106"/>
      <c r="C74" s="106"/>
      <c r="D74" s="93"/>
      <c r="E74" s="106"/>
      <c r="F74" s="106"/>
      <c r="G74" s="93"/>
      <c r="H74" s="94"/>
      <c r="I74" s="98"/>
      <c r="J74" s="95"/>
      <c r="K74" s="96"/>
      <c r="L74" s="96"/>
      <c r="M74" s="96"/>
      <c r="N74" s="96"/>
      <c r="O74" s="97"/>
      <c r="P74" s="106"/>
      <c r="Q74" s="106"/>
      <c r="R74" s="106"/>
      <c r="S74" s="106"/>
      <c r="T74" s="106"/>
    </row>
    <row r="75" spans="1:20" ht="17.399999999999999" customHeight="1" x14ac:dyDescent="0.4">
      <c r="A75" s="106"/>
      <c r="B75" s="106"/>
      <c r="C75" s="106"/>
      <c r="D75" s="93"/>
      <c r="E75" s="106"/>
      <c r="F75" s="106"/>
      <c r="G75" s="93"/>
      <c r="H75" s="94"/>
      <c r="I75" s="98"/>
      <c r="J75" s="95"/>
      <c r="K75" s="96"/>
      <c r="L75" s="96"/>
      <c r="M75" s="96"/>
      <c r="N75" s="96"/>
      <c r="O75" s="97"/>
      <c r="P75" s="106"/>
      <c r="Q75" s="106"/>
      <c r="R75" s="106"/>
      <c r="S75" s="106"/>
      <c r="T75" s="106"/>
    </row>
    <row r="76" spans="1:20" ht="17.399999999999999" customHeight="1" x14ac:dyDescent="0.4">
      <c r="A76" s="106"/>
      <c r="B76" s="106"/>
      <c r="C76" s="106"/>
      <c r="D76" s="93"/>
      <c r="E76" s="106"/>
      <c r="F76" s="106"/>
      <c r="G76" s="93"/>
      <c r="H76" s="94"/>
      <c r="I76" s="98"/>
      <c r="J76" s="95"/>
      <c r="K76" s="96"/>
      <c r="L76" s="96"/>
      <c r="M76" s="96"/>
      <c r="N76" s="96"/>
      <c r="O76" s="97"/>
      <c r="P76" s="106"/>
      <c r="Q76" s="106"/>
      <c r="R76" s="106"/>
      <c r="S76" s="106"/>
      <c r="T76" s="106"/>
    </row>
    <row r="77" spans="1:20" ht="17.399999999999999" customHeight="1" x14ac:dyDescent="0.4">
      <c r="A77" s="106"/>
      <c r="B77" s="106"/>
      <c r="C77" s="106"/>
      <c r="D77" s="93"/>
      <c r="E77" s="106"/>
      <c r="F77" s="106"/>
      <c r="G77" s="93"/>
      <c r="H77" s="94"/>
      <c r="I77" s="98"/>
      <c r="J77" s="95"/>
      <c r="K77" s="96"/>
      <c r="L77" s="96"/>
      <c r="M77" s="96"/>
      <c r="N77" s="96"/>
      <c r="O77" s="97"/>
      <c r="P77" s="106"/>
      <c r="Q77" s="106"/>
      <c r="R77" s="106"/>
      <c r="S77" s="106"/>
      <c r="T77" s="106"/>
    </row>
    <row r="78" spans="1:20" ht="17.399999999999999" customHeight="1" x14ac:dyDescent="0.4">
      <c r="A78" s="106"/>
      <c r="B78" s="106"/>
      <c r="C78" s="106"/>
      <c r="D78" s="93"/>
      <c r="E78" s="106"/>
      <c r="F78" s="106"/>
      <c r="G78" s="93"/>
      <c r="H78" s="94"/>
      <c r="I78" s="98"/>
      <c r="J78" s="95"/>
      <c r="K78" s="96"/>
      <c r="L78" s="96"/>
      <c r="M78" s="96"/>
      <c r="N78" s="96"/>
      <c r="O78" s="97"/>
      <c r="P78" s="106"/>
      <c r="Q78" s="106"/>
      <c r="R78" s="106"/>
      <c r="S78" s="106"/>
      <c r="T78" s="106"/>
    </row>
    <row r="79" spans="1:20" ht="17.399999999999999" customHeight="1" x14ac:dyDescent="0.4">
      <c r="A79" s="106"/>
      <c r="B79" s="106"/>
      <c r="C79" s="106"/>
      <c r="D79" s="93"/>
      <c r="E79" s="106"/>
      <c r="F79" s="106"/>
      <c r="G79" s="93"/>
      <c r="H79" s="94"/>
      <c r="I79" s="98"/>
      <c r="J79" s="95"/>
      <c r="K79" s="96"/>
      <c r="L79" s="96"/>
      <c r="M79" s="96"/>
      <c r="N79" s="96"/>
      <c r="O79" s="97"/>
      <c r="P79" s="106"/>
      <c r="Q79" s="106"/>
      <c r="R79" s="106"/>
      <c r="S79" s="106"/>
      <c r="T79" s="106"/>
    </row>
    <row r="80" spans="1:20" ht="17.399999999999999" customHeight="1" x14ac:dyDescent="0.4">
      <c r="A80" s="106"/>
      <c r="B80" s="106"/>
      <c r="C80" s="106"/>
      <c r="D80" s="93"/>
      <c r="E80" s="106"/>
      <c r="F80" s="106"/>
      <c r="G80" s="93"/>
      <c r="H80" s="94"/>
      <c r="I80" s="98"/>
      <c r="J80" s="95"/>
      <c r="K80" s="96"/>
      <c r="L80" s="96"/>
      <c r="M80" s="96"/>
      <c r="N80" s="96"/>
      <c r="O80" s="97"/>
      <c r="P80" s="106"/>
      <c r="Q80" s="106"/>
      <c r="R80" s="106"/>
      <c r="S80" s="106"/>
      <c r="T80" s="106"/>
    </row>
    <row r="81" spans="1:20" ht="17.399999999999999" customHeight="1" x14ac:dyDescent="0.4">
      <c r="A81" s="106"/>
      <c r="B81" s="106"/>
      <c r="C81" s="106"/>
      <c r="D81" s="93"/>
      <c r="E81" s="106"/>
      <c r="F81" s="106"/>
      <c r="G81" s="93"/>
      <c r="H81" s="94"/>
      <c r="I81" s="98"/>
      <c r="J81" s="95"/>
      <c r="K81" s="96"/>
      <c r="L81" s="96"/>
      <c r="M81" s="96"/>
      <c r="N81" s="96"/>
      <c r="O81" s="97"/>
      <c r="P81" s="106"/>
      <c r="Q81" s="106"/>
      <c r="R81" s="106"/>
      <c r="S81" s="106"/>
      <c r="T81" s="106"/>
    </row>
    <row r="82" spans="1:20" ht="17.399999999999999" customHeight="1" x14ac:dyDescent="0.4">
      <c r="A82" s="106"/>
      <c r="B82" s="106"/>
      <c r="C82" s="106"/>
      <c r="D82" s="93"/>
      <c r="E82" s="106"/>
      <c r="F82" s="106"/>
      <c r="G82" s="93"/>
      <c r="H82" s="94"/>
      <c r="I82" s="98"/>
      <c r="J82" s="95"/>
      <c r="K82" s="96"/>
      <c r="L82" s="96"/>
      <c r="M82" s="96"/>
      <c r="N82" s="96"/>
      <c r="O82" s="97"/>
      <c r="P82" s="106"/>
      <c r="Q82" s="106"/>
      <c r="R82" s="106"/>
      <c r="S82" s="106"/>
      <c r="T82" s="106"/>
    </row>
    <row r="83" spans="1:20" ht="17.399999999999999" customHeight="1" x14ac:dyDescent="0.4">
      <c r="A83" s="106"/>
      <c r="B83" s="106"/>
      <c r="C83" s="106"/>
      <c r="D83" s="93"/>
      <c r="E83" s="106"/>
      <c r="F83" s="106"/>
      <c r="G83" s="93"/>
      <c r="H83" s="94"/>
      <c r="I83" s="98"/>
      <c r="J83" s="95"/>
      <c r="K83" s="96"/>
      <c r="L83" s="96"/>
      <c r="M83" s="96"/>
      <c r="N83" s="96"/>
      <c r="O83" s="97"/>
      <c r="P83" s="106"/>
      <c r="Q83" s="106"/>
      <c r="R83" s="106"/>
      <c r="S83" s="106"/>
      <c r="T83" s="106"/>
    </row>
    <row r="84" spans="1:20" ht="17.399999999999999" customHeight="1" x14ac:dyDescent="0.4">
      <c r="A84" s="106"/>
      <c r="B84" s="106"/>
      <c r="C84" s="106"/>
      <c r="D84" s="93"/>
      <c r="E84" s="106"/>
      <c r="F84" s="106"/>
      <c r="G84" s="93"/>
      <c r="H84" s="94"/>
      <c r="I84" s="98"/>
      <c r="J84" s="95"/>
      <c r="K84" s="96"/>
      <c r="L84" s="96"/>
      <c r="M84" s="96"/>
      <c r="N84" s="96"/>
      <c r="O84" s="97"/>
      <c r="P84" s="106"/>
      <c r="Q84" s="106"/>
      <c r="R84" s="106"/>
      <c r="S84" s="106"/>
      <c r="T84" s="106"/>
    </row>
    <row r="85" spans="1:20" ht="17.399999999999999" customHeight="1" x14ac:dyDescent="0.4">
      <c r="A85" s="106"/>
      <c r="B85" s="106"/>
      <c r="C85" s="106"/>
      <c r="D85" s="93"/>
      <c r="E85" s="106"/>
      <c r="F85" s="106"/>
      <c r="G85" s="93"/>
      <c r="H85" s="94"/>
      <c r="I85" s="98"/>
      <c r="J85" s="95"/>
      <c r="K85" s="96"/>
      <c r="L85" s="96"/>
      <c r="M85" s="96"/>
      <c r="N85" s="96"/>
      <c r="O85" s="97"/>
      <c r="P85" s="106"/>
      <c r="Q85" s="106"/>
      <c r="R85" s="106"/>
      <c r="S85" s="106"/>
      <c r="T85" s="106"/>
    </row>
    <row r="86" spans="1:20" ht="17.399999999999999" customHeight="1" x14ac:dyDescent="0.4">
      <c r="A86" s="106"/>
      <c r="B86" s="106"/>
      <c r="C86" s="106"/>
      <c r="D86" s="93"/>
      <c r="E86" s="106"/>
      <c r="F86" s="106"/>
      <c r="G86" s="93"/>
      <c r="H86" s="94"/>
      <c r="I86" s="98"/>
      <c r="J86" s="95"/>
      <c r="K86" s="96"/>
      <c r="L86" s="96"/>
      <c r="M86" s="96"/>
      <c r="N86" s="96"/>
      <c r="O86" s="97"/>
      <c r="P86" s="106"/>
      <c r="Q86" s="106"/>
      <c r="R86" s="106"/>
      <c r="S86" s="106"/>
      <c r="T86" s="106"/>
    </row>
    <row r="87" spans="1:20" ht="17.399999999999999" customHeight="1" x14ac:dyDescent="0.4">
      <c r="A87" s="106"/>
      <c r="B87" s="106"/>
      <c r="C87" s="106"/>
      <c r="D87" s="93"/>
      <c r="E87" s="106"/>
      <c r="F87" s="106"/>
      <c r="G87" s="93"/>
      <c r="H87" s="94"/>
      <c r="I87" s="98"/>
      <c r="J87" s="95"/>
      <c r="K87" s="96"/>
      <c r="L87" s="96"/>
      <c r="M87" s="96"/>
      <c r="N87" s="96"/>
      <c r="O87" s="97"/>
      <c r="P87" s="106"/>
      <c r="Q87" s="106"/>
      <c r="R87" s="106"/>
      <c r="S87" s="106"/>
      <c r="T87" s="106"/>
    </row>
    <row r="88" spans="1:20" ht="17.399999999999999" customHeight="1" x14ac:dyDescent="0.4">
      <c r="A88" s="106"/>
      <c r="B88" s="106"/>
      <c r="C88" s="106"/>
      <c r="D88" s="93"/>
      <c r="E88" s="106"/>
      <c r="F88" s="106"/>
      <c r="G88" s="93"/>
      <c r="H88" s="94"/>
      <c r="I88" s="98"/>
      <c r="J88" s="95"/>
      <c r="K88" s="96"/>
      <c r="L88" s="96"/>
      <c r="M88" s="96"/>
      <c r="N88" s="96"/>
      <c r="O88" s="97"/>
      <c r="P88" s="106"/>
      <c r="Q88" s="106"/>
      <c r="R88" s="106"/>
      <c r="S88" s="106"/>
      <c r="T88" s="106"/>
    </row>
    <row r="89" spans="1:20" ht="17.399999999999999" customHeight="1" x14ac:dyDescent="0.4">
      <c r="A89" s="106"/>
      <c r="B89" s="106"/>
      <c r="C89" s="106"/>
      <c r="D89" s="93"/>
      <c r="E89" s="106"/>
      <c r="F89" s="106"/>
      <c r="G89" s="93"/>
      <c r="H89" s="94"/>
      <c r="I89" s="98"/>
      <c r="J89" s="95"/>
      <c r="K89" s="96"/>
      <c r="L89" s="96"/>
      <c r="M89" s="96"/>
      <c r="N89" s="96"/>
      <c r="O89" s="97"/>
      <c r="P89" s="106"/>
      <c r="Q89" s="106"/>
      <c r="R89" s="106"/>
      <c r="S89" s="106"/>
      <c r="T89" s="106"/>
    </row>
    <row r="90" spans="1:20" ht="17.399999999999999" customHeight="1" x14ac:dyDescent="0.4">
      <c r="A90" s="106"/>
      <c r="B90" s="106"/>
      <c r="C90" s="106"/>
      <c r="D90" s="93"/>
      <c r="E90" s="106"/>
      <c r="F90" s="106"/>
      <c r="G90" s="93"/>
      <c r="H90" s="94"/>
      <c r="I90" s="98"/>
      <c r="J90" s="95"/>
      <c r="K90" s="96"/>
      <c r="L90" s="96"/>
      <c r="M90" s="96"/>
      <c r="N90" s="96"/>
      <c r="O90" s="97"/>
      <c r="P90" s="106"/>
      <c r="Q90" s="106"/>
      <c r="R90" s="106"/>
      <c r="S90" s="106"/>
      <c r="T90" s="106"/>
    </row>
    <row r="91" spans="1:20" ht="17.399999999999999" customHeight="1" x14ac:dyDescent="0.4">
      <c r="A91" s="106"/>
      <c r="B91" s="106"/>
      <c r="C91" s="106"/>
      <c r="D91" s="93"/>
      <c r="E91" s="106"/>
      <c r="F91" s="106"/>
      <c r="G91" s="93"/>
      <c r="H91" s="94"/>
      <c r="I91" s="98"/>
      <c r="J91" s="95"/>
      <c r="K91" s="96"/>
      <c r="L91" s="96"/>
      <c r="M91" s="96"/>
      <c r="N91" s="96"/>
      <c r="O91" s="97"/>
      <c r="P91" s="106"/>
      <c r="Q91" s="106"/>
      <c r="R91" s="106"/>
      <c r="S91" s="106"/>
      <c r="T91" s="106"/>
    </row>
    <row r="92" spans="1:20" ht="17.399999999999999" customHeight="1" x14ac:dyDescent="0.4">
      <c r="A92" s="106"/>
      <c r="B92" s="106"/>
      <c r="C92" s="106"/>
      <c r="D92" s="93"/>
      <c r="E92" s="106"/>
      <c r="F92" s="106"/>
      <c r="G92" s="93"/>
      <c r="H92" s="94"/>
      <c r="I92" s="98"/>
      <c r="J92" s="95"/>
      <c r="K92" s="96"/>
      <c r="L92" s="96"/>
      <c r="M92" s="96"/>
      <c r="N92" s="96"/>
      <c r="O92" s="97"/>
      <c r="P92" s="106"/>
      <c r="Q92" s="106"/>
      <c r="R92" s="106"/>
      <c r="S92" s="106"/>
      <c r="T92" s="106"/>
    </row>
    <row r="93" spans="1:20" ht="17.399999999999999" customHeight="1" x14ac:dyDescent="0.4">
      <c r="A93" s="106"/>
      <c r="B93" s="106"/>
      <c r="C93" s="106"/>
      <c r="D93" s="93"/>
      <c r="E93" s="106"/>
      <c r="F93" s="106"/>
      <c r="G93" s="93"/>
      <c r="H93" s="94"/>
      <c r="I93" s="98"/>
      <c r="J93" s="95"/>
      <c r="K93" s="96"/>
      <c r="L93" s="96"/>
      <c r="M93" s="96"/>
      <c r="N93" s="96"/>
      <c r="O93" s="97"/>
      <c r="P93" s="106"/>
      <c r="Q93" s="106"/>
      <c r="R93" s="106"/>
      <c r="S93" s="106"/>
      <c r="T93" s="106"/>
    </row>
    <row r="94" spans="1:20" ht="15" x14ac:dyDescent="0.4">
      <c r="A94" s="106"/>
      <c r="B94" s="106"/>
      <c r="C94" s="106"/>
      <c r="D94" s="93"/>
      <c r="E94" s="106"/>
      <c r="F94" s="106"/>
      <c r="G94" s="93"/>
      <c r="H94" s="94"/>
      <c r="I94" s="98"/>
      <c r="J94" s="95"/>
      <c r="K94" s="96"/>
      <c r="L94" s="96"/>
      <c r="M94" s="96"/>
      <c r="N94" s="96"/>
      <c r="O94" s="97"/>
      <c r="P94" s="106"/>
      <c r="Q94" s="106"/>
      <c r="R94" s="106"/>
      <c r="S94" s="106"/>
      <c r="T94" s="106"/>
    </row>
    <row r="95" spans="1:20" ht="15" x14ac:dyDescent="0.4">
      <c r="A95" s="106"/>
      <c r="B95" s="106"/>
      <c r="C95" s="106"/>
      <c r="D95" s="93"/>
      <c r="E95" s="106"/>
      <c r="F95" s="106"/>
      <c r="G95" s="93"/>
      <c r="H95" s="94"/>
      <c r="I95" s="98"/>
      <c r="J95" s="95"/>
      <c r="K95" s="96"/>
      <c r="L95" s="96"/>
      <c r="M95" s="96"/>
      <c r="N95" s="96"/>
      <c r="O95" s="97"/>
      <c r="P95" s="106"/>
      <c r="Q95" s="106"/>
      <c r="R95" s="106"/>
      <c r="S95" s="106"/>
      <c r="T95" s="106"/>
    </row>
    <row r="96" spans="1:20" ht="15" x14ac:dyDescent="0.4">
      <c r="A96" s="106"/>
      <c r="B96" s="106"/>
      <c r="C96" s="106"/>
      <c r="D96" s="93"/>
      <c r="E96" s="106"/>
      <c r="F96" s="106"/>
      <c r="G96" s="93"/>
      <c r="H96" s="94"/>
      <c r="I96" s="98"/>
      <c r="J96" s="95"/>
      <c r="K96" s="96"/>
      <c r="L96" s="96"/>
      <c r="M96" s="96"/>
      <c r="N96" s="96"/>
      <c r="O96" s="97"/>
      <c r="P96" s="106"/>
      <c r="Q96" s="106"/>
      <c r="R96" s="106"/>
      <c r="S96" s="106"/>
      <c r="T96" s="106"/>
    </row>
    <row r="97" spans="1:20" ht="15" x14ac:dyDescent="0.4">
      <c r="A97" s="106"/>
      <c r="B97" s="106"/>
      <c r="C97" s="106"/>
      <c r="D97" s="93"/>
      <c r="E97" s="106"/>
      <c r="F97" s="106"/>
      <c r="G97" s="93"/>
      <c r="H97" s="94"/>
      <c r="I97" s="98"/>
      <c r="J97" s="95"/>
      <c r="K97" s="96"/>
      <c r="L97" s="96"/>
      <c r="M97" s="96"/>
      <c r="N97" s="96"/>
      <c r="O97" s="97"/>
      <c r="P97" s="106"/>
      <c r="Q97" s="106"/>
      <c r="R97" s="106"/>
      <c r="S97" s="106"/>
      <c r="T97" s="106"/>
    </row>
    <row r="98" spans="1:20" ht="15" x14ac:dyDescent="0.4">
      <c r="A98" s="106"/>
      <c r="B98" s="106"/>
      <c r="C98" s="106"/>
      <c r="D98" s="93"/>
      <c r="E98" s="106"/>
      <c r="F98" s="106"/>
      <c r="G98" s="93"/>
      <c r="H98" s="94"/>
      <c r="I98" s="98"/>
      <c r="J98" s="95"/>
      <c r="K98" s="96"/>
      <c r="L98" s="96"/>
      <c r="M98" s="96"/>
      <c r="N98" s="96"/>
      <c r="O98" s="97"/>
      <c r="P98" s="106"/>
      <c r="Q98" s="106"/>
      <c r="R98" s="106"/>
      <c r="S98" s="106"/>
      <c r="T98" s="106"/>
    </row>
    <row r="99" spans="1:20" ht="15" x14ac:dyDescent="0.4">
      <c r="A99" s="106"/>
      <c r="B99" s="106"/>
      <c r="C99" s="106"/>
      <c r="D99" s="93"/>
      <c r="E99" s="106"/>
      <c r="F99" s="106"/>
      <c r="G99" s="93"/>
      <c r="H99" s="94"/>
      <c r="I99" s="98"/>
      <c r="J99" s="95"/>
      <c r="K99" s="96"/>
      <c r="L99" s="96"/>
      <c r="M99" s="96"/>
      <c r="N99" s="96"/>
      <c r="O99" s="97"/>
      <c r="P99" s="106"/>
      <c r="Q99" s="106"/>
      <c r="R99" s="106"/>
      <c r="S99" s="106"/>
      <c r="T99" s="106"/>
    </row>
    <row r="100" spans="1:20" ht="15" x14ac:dyDescent="0.4">
      <c r="A100" s="106"/>
      <c r="B100" s="106"/>
      <c r="C100" s="106"/>
      <c r="D100" s="93"/>
      <c r="E100" s="106"/>
      <c r="F100" s="106"/>
      <c r="G100" s="93"/>
      <c r="H100" s="94"/>
      <c r="I100" s="98"/>
      <c r="J100" s="95"/>
      <c r="K100" s="96"/>
      <c r="L100" s="96"/>
      <c r="M100" s="96"/>
      <c r="N100" s="96"/>
      <c r="O100" s="97"/>
      <c r="P100" s="106"/>
      <c r="Q100" s="106"/>
      <c r="R100" s="106"/>
      <c r="S100" s="106"/>
      <c r="T100" s="106"/>
    </row>
    <row r="101" spans="1:20" ht="15" x14ac:dyDescent="0.4">
      <c r="A101" s="106"/>
      <c r="B101" s="106"/>
      <c r="C101" s="106"/>
      <c r="D101" s="93"/>
      <c r="E101" s="106"/>
      <c r="F101" s="106"/>
      <c r="G101" s="93"/>
      <c r="H101" s="94"/>
      <c r="I101" s="98"/>
      <c r="J101" s="95"/>
      <c r="K101" s="96"/>
      <c r="L101" s="96"/>
      <c r="M101" s="96"/>
      <c r="N101" s="96"/>
      <c r="O101" s="97"/>
      <c r="P101" s="106"/>
      <c r="Q101" s="106"/>
      <c r="R101" s="106"/>
      <c r="S101" s="106"/>
      <c r="T101" s="106"/>
    </row>
    <row r="102" spans="1:20" ht="15" x14ac:dyDescent="0.4">
      <c r="A102" s="106"/>
      <c r="B102" s="106"/>
      <c r="C102" s="106"/>
      <c r="D102" s="93"/>
      <c r="E102" s="106"/>
      <c r="F102" s="106"/>
      <c r="G102" s="93"/>
      <c r="H102" s="94"/>
      <c r="I102" s="98"/>
      <c r="J102" s="95"/>
      <c r="K102" s="96"/>
      <c r="L102" s="96"/>
      <c r="M102" s="96"/>
      <c r="N102" s="96"/>
      <c r="O102" s="97"/>
      <c r="P102" s="106"/>
      <c r="Q102" s="106"/>
      <c r="R102" s="106"/>
      <c r="S102" s="106"/>
      <c r="T102" s="106"/>
    </row>
    <row r="103" spans="1:20" ht="15" x14ac:dyDescent="0.4">
      <c r="A103" s="106"/>
      <c r="B103" s="106"/>
      <c r="C103" s="106"/>
      <c r="D103" s="93"/>
      <c r="E103" s="106"/>
      <c r="F103" s="106"/>
      <c r="G103" s="93"/>
      <c r="H103" s="94"/>
      <c r="I103" s="98"/>
      <c r="J103" s="95"/>
      <c r="K103" s="96"/>
      <c r="L103" s="96"/>
      <c r="M103" s="96"/>
      <c r="N103" s="96"/>
      <c r="O103" s="97"/>
      <c r="P103" s="106"/>
      <c r="Q103" s="106"/>
      <c r="R103" s="106"/>
      <c r="S103" s="106"/>
      <c r="T103" s="106"/>
    </row>
    <row r="104" spans="1:20" ht="15" x14ac:dyDescent="0.4">
      <c r="A104" s="106"/>
      <c r="B104" s="106"/>
      <c r="C104" s="106"/>
      <c r="D104" s="93"/>
      <c r="E104" s="106"/>
      <c r="F104" s="106"/>
      <c r="G104" s="93"/>
      <c r="H104" s="94"/>
      <c r="I104" s="98"/>
      <c r="J104" s="95"/>
      <c r="K104" s="96"/>
      <c r="L104" s="96"/>
      <c r="M104" s="96"/>
      <c r="N104" s="96"/>
      <c r="O104" s="97"/>
      <c r="P104" s="106"/>
      <c r="Q104" s="106"/>
      <c r="R104" s="106"/>
      <c r="S104" s="106"/>
      <c r="T104" s="106"/>
    </row>
    <row r="105" spans="1:20" ht="15" x14ac:dyDescent="0.4">
      <c r="A105" s="106"/>
      <c r="B105" s="106"/>
      <c r="C105" s="106"/>
      <c r="D105" s="93"/>
      <c r="E105" s="106"/>
      <c r="F105" s="106"/>
      <c r="G105" s="93"/>
      <c r="H105" s="94"/>
      <c r="I105" s="98"/>
      <c r="J105" s="95"/>
      <c r="K105" s="96"/>
      <c r="L105" s="96"/>
      <c r="M105" s="96"/>
      <c r="N105" s="96"/>
      <c r="O105" s="97"/>
      <c r="P105" s="106"/>
      <c r="Q105" s="106"/>
      <c r="R105" s="106"/>
      <c r="S105" s="106"/>
      <c r="T105" s="106"/>
    </row>
    <row r="106" spans="1:20" ht="15" x14ac:dyDescent="0.4">
      <c r="A106" s="106"/>
      <c r="B106" s="106"/>
      <c r="C106" s="106"/>
      <c r="D106" s="93"/>
      <c r="E106" s="106"/>
      <c r="F106" s="106"/>
      <c r="G106" s="93"/>
      <c r="H106" s="94"/>
      <c r="I106" s="98"/>
      <c r="J106" s="95"/>
      <c r="K106" s="96"/>
      <c r="L106" s="96"/>
      <c r="M106" s="96"/>
      <c r="N106" s="96"/>
      <c r="O106" s="97"/>
      <c r="P106" s="106"/>
      <c r="Q106" s="106"/>
      <c r="R106" s="106"/>
      <c r="S106" s="106"/>
      <c r="T106" s="106"/>
    </row>
    <row r="107" spans="1:20" ht="15" x14ac:dyDescent="0.4">
      <c r="A107" s="106"/>
      <c r="B107" s="106"/>
      <c r="C107" s="106"/>
      <c r="D107" s="93"/>
      <c r="E107" s="106"/>
      <c r="F107" s="106"/>
      <c r="G107" s="93"/>
      <c r="H107" s="94"/>
      <c r="I107" s="98"/>
      <c r="J107" s="95"/>
      <c r="K107" s="96"/>
      <c r="L107" s="96"/>
      <c r="M107" s="96"/>
      <c r="N107" s="96"/>
      <c r="O107" s="97"/>
      <c r="P107" s="106"/>
      <c r="Q107" s="106"/>
      <c r="R107" s="106"/>
      <c r="S107" s="106"/>
      <c r="T107" s="106"/>
    </row>
    <row r="108" spans="1:20" ht="15" x14ac:dyDescent="0.4">
      <c r="A108" s="106"/>
      <c r="B108" s="106"/>
      <c r="C108" s="106"/>
      <c r="D108" s="93"/>
      <c r="E108" s="106"/>
      <c r="F108" s="106"/>
      <c r="G108" s="93"/>
      <c r="H108" s="94"/>
      <c r="I108" s="98"/>
      <c r="J108" s="95"/>
      <c r="K108" s="96"/>
      <c r="L108" s="96"/>
      <c r="M108" s="96"/>
      <c r="N108" s="96"/>
      <c r="O108" s="97"/>
      <c r="P108" s="106"/>
      <c r="Q108" s="106"/>
      <c r="R108" s="106"/>
      <c r="S108" s="106"/>
      <c r="T108" s="106"/>
    </row>
    <row r="109" spans="1:20" ht="15" x14ac:dyDescent="0.4">
      <c r="A109" s="106"/>
      <c r="B109" s="106"/>
      <c r="C109" s="106"/>
      <c r="D109" s="93"/>
      <c r="E109" s="106"/>
      <c r="F109" s="106"/>
      <c r="G109" s="93"/>
      <c r="H109" s="94"/>
      <c r="I109" s="98"/>
      <c r="J109" s="95"/>
      <c r="K109" s="96"/>
      <c r="L109" s="96"/>
      <c r="M109" s="96"/>
      <c r="N109" s="96"/>
      <c r="O109" s="97"/>
      <c r="P109" s="106"/>
      <c r="Q109" s="106"/>
      <c r="R109" s="106"/>
      <c r="S109" s="106"/>
      <c r="T109" s="106"/>
    </row>
    <row r="110" spans="1:20" ht="15" x14ac:dyDescent="0.4">
      <c r="A110" s="106"/>
      <c r="B110" s="106"/>
      <c r="C110" s="106"/>
      <c r="D110" s="93"/>
      <c r="E110" s="106"/>
      <c r="F110" s="106"/>
      <c r="G110" s="93"/>
      <c r="H110" s="94"/>
      <c r="I110" s="98"/>
      <c r="J110" s="95"/>
      <c r="K110" s="96"/>
      <c r="L110" s="96"/>
      <c r="M110" s="96"/>
      <c r="N110" s="96"/>
      <c r="O110" s="97"/>
      <c r="P110" s="106"/>
      <c r="Q110" s="106"/>
      <c r="R110" s="106"/>
      <c r="S110" s="106"/>
      <c r="T110" s="106"/>
    </row>
    <row r="111" spans="1:20" ht="15" x14ac:dyDescent="0.4">
      <c r="A111" s="106"/>
      <c r="B111" s="106"/>
      <c r="C111" s="106"/>
      <c r="D111" s="93"/>
      <c r="E111" s="106"/>
      <c r="F111" s="106"/>
      <c r="G111" s="93"/>
      <c r="H111" s="94"/>
      <c r="I111" s="98"/>
      <c r="J111" s="95"/>
      <c r="K111" s="96"/>
      <c r="L111" s="96"/>
      <c r="M111" s="96"/>
      <c r="N111" s="96"/>
      <c r="O111" s="97"/>
      <c r="P111" s="106"/>
      <c r="Q111" s="106"/>
      <c r="R111" s="106"/>
      <c r="S111" s="106"/>
      <c r="T111" s="106"/>
    </row>
    <row r="112" spans="1:20" ht="15" x14ac:dyDescent="0.4">
      <c r="A112" s="106"/>
      <c r="B112" s="106"/>
      <c r="C112" s="106"/>
      <c r="D112" s="93"/>
      <c r="E112" s="106"/>
      <c r="F112" s="106"/>
      <c r="G112" s="93"/>
      <c r="H112" s="94"/>
      <c r="I112" s="98"/>
      <c r="J112" s="95"/>
      <c r="K112" s="96"/>
      <c r="L112" s="96"/>
      <c r="M112" s="96"/>
      <c r="N112" s="96"/>
      <c r="O112" s="97"/>
      <c r="P112" s="106"/>
      <c r="Q112" s="106"/>
      <c r="R112" s="106"/>
      <c r="S112" s="106"/>
      <c r="T112" s="106"/>
    </row>
    <row r="113" spans="1:20" ht="15" x14ac:dyDescent="0.4">
      <c r="A113" s="106"/>
      <c r="B113" s="106"/>
      <c r="C113" s="106"/>
      <c r="D113" s="93"/>
      <c r="E113" s="106"/>
      <c r="F113" s="106"/>
      <c r="G113" s="93"/>
      <c r="H113" s="94"/>
      <c r="I113" s="98"/>
      <c r="J113" s="95"/>
      <c r="K113" s="96"/>
      <c r="L113" s="96"/>
      <c r="M113" s="96"/>
      <c r="N113" s="96"/>
      <c r="O113" s="97"/>
      <c r="P113" s="106"/>
      <c r="Q113" s="106"/>
      <c r="R113" s="106"/>
      <c r="S113" s="106"/>
      <c r="T113" s="106"/>
    </row>
    <row r="114" spans="1:20" ht="15" x14ac:dyDescent="0.4">
      <c r="A114" s="106"/>
      <c r="B114" s="106"/>
      <c r="C114" s="106"/>
      <c r="D114" s="93"/>
      <c r="E114" s="106"/>
      <c r="F114" s="106"/>
      <c r="G114" s="93"/>
      <c r="H114" s="94"/>
      <c r="I114" s="98"/>
      <c r="J114" s="95"/>
      <c r="K114" s="96"/>
      <c r="L114" s="96"/>
      <c r="M114" s="96"/>
      <c r="N114" s="96"/>
      <c r="O114" s="97"/>
      <c r="P114" s="106"/>
      <c r="Q114" s="106"/>
      <c r="R114" s="106"/>
      <c r="S114" s="106"/>
      <c r="T114" s="106"/>
    </row>
    <row r="115" spans="1:20" ht="15" x14ac:dyDescent="0.4">
      <c r="A115" s="106"/>
      <c r="B115" s="106"/>
      <c r="C115" s="106"/>
      <c r="D115" s="93"/>
      <c r="E115" s="106"/>
      <c r="F115" s="106"/>
      <c r="G115" s="93"/>
      <c r="H115" s="94"/>
      <c r="I115" s="98"/>
      <c r="J115" s="95"/>
      <c r="K115" s="96"/>
      <c r="L115" s="96"/>
      <c r="M115" s="96"/>
      <c r="N115" s="96"/>
      <c r="O115" s="97"/>
      <c r="P115" s="106"/>
      <c r="Q115" s="106"/>
      <c r="R115" s="106"/>
      <c r="S115" s="106"/>
      <c r="T115" s="106"/>
    </row>
    <row r="116" spans="1:20" ht="15" x14ac:dyDescent="0.4">
      <c r="A116" s="106"/>
      <c r="B116" s="106"/>
      <c r="C116" s="106"/>
      <c r="D116" s="93"/>
      <c r="E116" s="106"/>
      <c r="F116" s="106"/>
      <c r="G116" s="93"/>
      <c r="H116" s="94"/>
      <c r="I116" s="98"/>
      <c r="J116" s="95"/>
      <c r="K116" s="96"/>
      <c r="L116" s="96"/>
      <c r="M116" s="96"/>
      <c r="N116" s="96"/>
      <c r="O116" s="97"/>
      <c r="P116" s="106"/>
      <c r="Q116" s="106"/>
      <c r="R116" s="106"/>
      <c r="S116" s="106"/>
      <c r="T116" s="106"/>
    </row>
    <row r="117" spans="1:20" ht="15" x14ac:dyDescent="0.4">
      <c r="A117" s="106"/>
      <c r="B117" s="106"/>
      <c r="C117" s="106"/>
      <c r="D117" s="93"/>
      <c r="E117" s="106"/>
      <c r="F117" s="106"/>
      <c r="G117" s="93"/>
      <c r="H117" s="94"/>
      <c r="I117" s="98"/>
      <c r="J117" s="95"/>
      <c r="K117" s="96"/>
      <c r="L117" s="96"/>
      <c r="M117" s="96"/>
      <c r="N117" s="96"/>
      <c r="O117" s="97"/>
      <c r="P117" s="106"/>
      <c r="Q117" s="106"/>
      <c r="R117" s="106"/>
      <c r="S117" s="106"/>
      <c r="T117" s="106"/>
    </row>
    <row r="118" spans="1:20" ht="15" x14ac:dyDescent="0.4">
      <c r="A118" s="106"/>
      <c r="B118" s="106"/>
      <c r="C118" s="106"/>
      <c r="D118" s="93"/>
      <c r="E118" s="106"/>
      <c r="F118" s="106"/>
      <c r="G118" s="93"/>
      <c r="H118" s="94"/>
      <c r="I118" s="98"/>
      <c r="J118" s="95"/>
      <c r="K118" s="96"/>
      <c r="L118" s="96"/>
      <c r="M118" s="96"/>
      <c r="N118" s="96"/>
      <c r="O118" s="97"/>
      <c r="P118" s="106"/>
      <c r="Q118" s="106"/>
      <c r="R118" s="106"/>
      <c r="S118" s="106"/>
      <c r="T118" s="106"/>
    </row>
    <row r="119" spans="1:20" ht="15" x14ac:dyDescent="0.4">
      <c r="A119" s="106"/>
      <c r="B119" s="106"/>
      <c r="C119" s="106"/>
      <c r="D119" s="93"/>
      <c r="E119" s="106"/>
      <c r="F119" s="106"/>
      <c r="G119" s="93"/>
      <c r="H119" s="94"/>
      <c r="I119" s="98"/>
      <c r="J119" s="95"/>
      <c r="K119" s="96"/>
      <c r="L119" s="96"/>
      <c r="M119" s="96"/>
      <c r="N119" s="96"/>
      <c r="O119" s="97"/>
      <c r="P119" s="106"/>
      <c r="Q119" s="106"/>
      <c r="R119" s="106"/>
      <c r="S119" s="106"/>
      <c r="T119" s="106"/>
    </row>
    <row r="120" spans="1:20" ht="15" x14ac:dyDescent="0.4">
      <c r="A120" s="106"/>
      <c r="B120" s="106"/>
      <c r="C120" s="106"/>
      <c r="D120" s="93"/>
      <c r="E120" s="106"/>
      <c r="F120" s="106"/>
      <c r="G120" s="93"/>
      <c r="H120" s="94"/>
      <c r="I120" s="98"/>
      <c r="J120" s="95"/>
      <c r="K120" s="96"/>
      <c r="L120" s="96"/>
      <c r="M120" s="96"/>
      <c r="N120" s="96"/>
      <c r="O120" s="97"/>
      <c r="P120" s="106"/>
      <c r="Q120" s="106"/>
      <c r="R120" s="106"/>
      <c r="S120" s="106"/>
      <c r="T120" s="106"/>
    </row>
    <row r="121" spans="1:20" ht="15" x14ac:dyDescent="0.4">
      <c r="A121" s="106"/>
      <c r="B121" s="106"/>
      <c r="C121" s="106"/>
      <c r="D121" s="93"/>
      <c r="E121" s="106"/>
      <c r="F121" s="106"/>
      <c r="G121" s="93"/>
      <c r="H121" s="94"/>
      <c r="I121" s="98"/>
      <c r="J121" s="95"/>
      <c r="K121" s="96"/>
      <c r="L121" s="96"/>
      <c r="M121" s="96"/>
      <c r="N121" s="96"/>
      <c r="O121" s="97"/>
      <c r="P121" s="106"/>
      <c r="Q121" s="106"/>
      <c r="R121" s="106"/>
      <c r="S121" s="106"/>
      <c r="T121" s="106"/>
    </row>
    <row r="122" spans="1:20" ht="15" x14ac:dyDescent="0.4">
      <c r="A122" s="106"/>
      <c r="B122" s="106"/>
      <c r="C122" s="106"/>
      <c r="D122" s="93"/>
      <c r="E122" s="106"/>
      <c r="F122" s="106"/>
      <c r="G122" s="93"/>
      <c r="H122" s="94"/>
      <c r="I122" s="98"/>
      <c r="J122" s="95"/>
      <c r="K122" s="96"/>
      <c r="L122" s="96"/>
      <c r="M122" s="96"/>
      <c r="N122" s="96"/>
      <c r="O122" s="97"/>
      <c r="P122" s="106"/>
      <c r="Q122" s="106"/>
      <c r="R122" s="106"/>
      <c r="S122" s="106"/>
      <c r="T122" s="106"/>
    </row>
    <row r="123" spans="1:20" ht="15" x14ac:dyDescent="0.4">
      <c r="A123" s="106"/>
      <c r="B123" s="106"/>
      <c r="C123" s="106"/>
      <c r="D123" s="93"/>
      <c r="E123" s="106"/>
      <c r="F123" s="106"/>
      <c r="G123" s="93"/>
      <c r="H123" s="94"/>
      <c r="I123" s="98"/>
      <c r="J123" s="95"/>
      <c r="K123" s="96"/>
      <c r="L123" s="96"/>
      <c r="M123" s="96"/>
      <c r="N123" s="96"/>
      <c r="O123" s="97"/>
      <c r="P123" s="106"/>
      <c r="Q123" s="106"/>
      <c r="R123" s="106"/>
      <c r="S123" s="106"/>
      <c r="T123" s="106"/>
    </row>
    <row r="124" spans="1:20" ht="15" x14ac:dyDescent="0.4">
      <c r="A124" s="106"/>
      <c r="B124" s="106"/>
      <c r="C124" s="106"/>
      <c r="D124" s="93"/>
      <c r="E124" s="106"/>
      <c r="F124" s="106"/>
      <c r="G124" s="93"/>
      <c r="H124" s="94"/>
      <c r="I124" s="98"/>
      <c r="J124" s="95"/>
      <c r="K124" s="96"/>
      <c r="L124" s="96"/>
      <c r="M124" s="96"/>
      <c r="N124" s="96"/>
      <c r="O124" s="97"/>
      <c r="P124" s="106"/>
      <c r="Q124" s="106"/>
      <c r="R124" s="106"/>
      <c r="S124" s="106"/>
      <c r="T124" s="106"/>
    </row>
    <row r="125" spans="1:20" ht="15" x14ac:dyDescent="0.4">
      <c r="A125" s="106"/>
      <c r="B125" s="106"/>
      <c r="C125" s="106"/>
      <c r="D125" s="93"/>
      <c r="E125" s="106"/>
      <c r="F125" s="106"/>
      <c r="G125" s="93"/>
      <c r="H125" s="94"/>
      <c r="I125" s="98"/>
      <c r="J125" s="95"/>
      <c r="K125" s="96"/>
      <c r="L125" s="96"/>
      <c r="M125" s="96"/>
      <c r="N125" s="96"/>
      <c r="O125" s="97"/>
      <c r="P125" s="106"/>
      <c r="Q125" s="106"/>
      <c r="R125" s="106"/>
      <c r="S125" s="106"/>
      <c r="T125" s="106"/>
    </row>
    <row r="126" spans="1:20" ht="15" x14ac:dyDescent="0.4">
      <c r="A126" s="106"/>
      <c r="B126" s="106"/>
      <c r="C126" s="106"/>
      <c r="D126" s="93"/>
      <c r="E126" s="106"/>
      <c r="F126" s="106"/>
      <c r="G126" s="93"/>
      <c r="H126" s="94"/>
      <c r="I126" s="98"/>
      <c r="J126" s="95"/>
      <c r="K126" s="96"/>
      <c r="L126" s="96"/>
      <c r="M126" s="96"/>
      <c r="N126" s="96"/>
      <c r="O126" s="97"/>
      <c r="P126" s="106"/>
      <c r="Q126" s="106"/>
      <c r="R126" s="106"/>
      <c r="S126" s="106"/>
      <c r="T126" s="106"/>
    </row>
    <row r="127" spans="1:20" ht="15" x14ac:dyDescent="0.4">
      <c r="A127" s="106"/>
      <c r="B127" s="106"/>
      <c r="C127" s="106"/>
      <c r="D127" s="93"/>
      <c r="E127" s="106"/>
      <c r="F127" s="106"/>
      <c r="G127" s="93"/>
      <c r="H127" s="94"/>
      <c r="I127" s="98"/>
      <c r="J127" s="95"/>
      <c r="K127" s="96"/>
      <c r="L127" s="96"/>
      <c r="M127" s="96"/>
      <c r="N127" s="96"/>
      <c r="O127" s="97"/>
      <c r="P127" s="106"/>
      <c r="Q127" s="106"/>
      <c r="R127" s="106"/>
      <c r="S127" s="106"/>
      <c r="T127" s="106"/>
    </row>
    <row r="128" spans="1:20" ht="15" x14ac:dyDescent="0.4">
      <c r="A128" s="106"/>
      <c r="B128" s="106"/>
      <c r="C128" s="106"/>
      <c r="D128" s="93"/>
      <c r="E128" s="106"/>
      <c r="F128" s="106"/>
      <c r="G128" s="93"/>
      <c r="H128" s="94"/>
      <c r="I128" s="98"/>
      <c r="J128" s="95"/>
      <c r="K128" s="96"/>
      <c r="L128" s="96"/>
      <c r="M128" s="96"/>
      <c r="N128" s="96"/>
      <c r="O128" s="97"/>
      <c r="P128" s="106"/>
      <c r="Q128" s="106"/>
      <c r="R128" s="106"/>
      <c r="S128" s="106"/>
      <c r="T128" s="106"/>
    </row>
    <row r="129" spans="1:20" ht="15" x14ac:dyDescent="0.4">
      <c r="A129" s="106"/>
      <c r="B129" s="106"/>
      <c r="C129" s="106"/>
      <c r="D129" s="93"/>
      <c r="E129" s="106"/>
      <c r="F129" s="106"/>
      <c r="G129" s="93"/>
      <c r="H129" s="94"/>
      <c r="I129" s="98"/>
      <c r="J129" s="95"/>
      <c r="K129" s="96"/>
      <c r="L129" s="96"/>
      <c r="M129" s="96"/>
      <c r="N129" s="96"/>
      <c r="O129" s="97"/>
      <c r="P129" s="106"/>
      <c r="Q129" s="106"/>
      <c r="R129" s="106"/>
      <c r="S129" s="106"/>
      <c r="T129" s="106"/>
    </row>
    <row r="130" spans="1:20" ht="15" x14ac:dyDescent="0.4">
      <c r="A130" s="106"/>
      <c r="B130" s="106"/>
      <c r="C130" s="106"/>
      <c r="D130" s="93"/>
      <c r="E130" s="106"/>
      <c r="F130" s="106"/>
      <c r="G130" s="93"/>
      <c r="H130" s="94"/>
      <c r="I130" s="98"/>
      <c r="J130" s="95"/>
      <c r="K130" s="96"/>
      <c r="L130" s="96"/>
      <c r="M130" s="96"/>
      <c r="N130" s="96"/>
      <c r="O130" s="97"/>
      <c r="P130" s="106"/>
      <c r="Q130" s="106"/>
      <c r="R130" s="106"/>
      <c r="S130" s="106"/>
      <c r="T130" s="106"/>
    </row>
    <row r="131" spans="1:20" ht="15" x14ac:dyDescent="0.4">
      <c r="A131" s="106"/>
      <c r="B131" s="106"/>
      <c r="C131" s="106"/>
      <c r="D131" s="93"/>
      <c r="E131" s="106"/>
      <c r="F131" s="106"/>
      <c r="G131" s="93"/>
      <c r="H131" s="94"/>
      <c r="I131" s="98"/>
      <c r="J131" s="95"/>
      <c r="K131" s="96"/>
      <c r="L131" s="96"/>
      <c r="M131" s="96"/>
      <c r="N131" s="96"/>
      <c r="O131" s="97"/>
      <c r="P131" s="106"/>
      <c r="Q131" s="106"/>
      <c r="R131" s="106"/>
      <c r="S131" s="106"/>
      <c r="T131" s="106"/>
    </row>
    <row r="132" spans="1:20" ht="15" x14ac:dyDescent="0.4">
      <c r="A132" s="106"/>
      <c r="B132" s="106"/>
      <c r="C132" s="106"/>
      <c r="D132" s="93"/>
      <c r="E132" s="106"/>
      <c r="F132" s="106"/>
      <c r="G132" s="93"/>
      <c r="H132" s="94"/>
      <c r="I132" s="98"/>
      <c r="J132" s="95"/>
      <c r="K132" s="96"/>
      <c r="L132" s="96"/>
      <c r="M132" s="96"/>
      <c r="N132" s="96"/>
      <c r="O132" s="97"/>
      <c r="P132" s="106"/>
      <c r="Q132" s="106"/>
      <c r="R132" s="106"/>
      <c r="S132" s="106"/>
      <c r="T132" s="106"/>
    </row>
    <row r="133" spans="1:20" ht="15" x14ac:dyDescent="0.4">
      <c r="A133" s="106"/>
      <c r="B133" s="106"/>
      <c r="C133" s="106"/>
      <c r="D133" s="93"/>
      <c r="E133" s="106"/>
      <c r="F133" s="106"/>
      <c r="G133" s="93"/>
      <c r="H133" s="94"/>
      <c r="I133" s="98"/>
      <c r="J133" s="95"/>
      <c r="K133" s="96"/>
      <c r="L133" s="96"/>
      <c r="M133" s="96"/>
      <c r="N133" s="96"/>
      <c r="O133" s="97"/>
      <c r="P133" s="106"/>
      <c r="Q133" s="106"/>
      <c r="R133" s="106"/>
      <c r="S133" s="106"/>
      <c r="T133" s="106"/>
    </row>
    <row r="134" spans="1:20" ht="15" x14ac:dyDescent="0.4">
      <c r="A134" s="106"/>
      <c r="B134" s="106"/>
      <c r="C134" s="106"/>
      <c r="D134" s="93"/>
      <c r="E134" s="106"/>
      <c r="F134" s="106"/>
      <c r="G134" s="93"/>
      <c r="H134" s="94"/>
      <c r="I134" s="98"/>
      <c r="J134" s="95"/>
      <c r="K134" s="96"/>
      <c r="L134" s="96"/>
      <c r="M134" s="96"/>
      <c r="N134" s="96"/>
      <c r="O134" s="97"/>
      <c r="P134" s="106"/>
      <c r="Q134" s="106"/>
      <c r="R134" s="106"/>
      <c r="S134" s="106"/>
      <c r="T134" s="106"/>
    </row>
    <row r="135" spans="1:20" ht="15" x14ac:dyDescent="0.4">
      <c r="A135" s="106"/>
      <c r="B135" s="106"/>
      <c r="C135" s="106"/>
      <c r="D135" s="93"/>
      <c r="E135" s="106"/>
      <c r="F135" s="106"/>
      <c r="G135" s="93"/>
      <c r="H135" s="94"/>
      <c r="I135" s="98"/>
      <c r="J135" s="95"/>
      <c r="K135" s="96"/>
      <c r="L135" s="96"/>
      <c r="M135" s="96"/>
      <c r="N135" s="96"/>
      <c r="O135" s="97"/>
      <c r="P135" s="106"/>
      <c r="Q135" s="106"/>
      <c r="R135" s="106"/>
      <c r="S135" s="106"/>
      <c r="T135" s="106"/>
    </row>
    <row r="136" spans="1:20" ht="15" x14ac:dyDescent="0.4">
      <c r="A136" s="106"/>
      <c r="B136" s="106"/>
      <c r="C136" s="106"/>
      <c r="D136" s="93"/>
      <c r="E136" s="106"/>
      <c r="F136" s="106"/>
      <c r="G136" s="93"/>
      <c r="H136" s="94"/>
      <c r="I136" s="98"/>
      <c r="J136" s="95"/>
      <c r="K136" s="96"/>
      <c r="L136" s="96"/>
      <c r="M136" s="96"/>
      <c r="N136" s="96"/>
      <c r="O136" s="97"/>
      <c r="P136" s="106"/>
      <c r="Q136" s="106"/>
      <c r="R136" s="106"/>
      <c r="S136" s="106"/>
      <c r="T136" s="106"/>
    </row>
    <row r="137" spans="1:20" ht="15" x14ac:dyDescent="0.4">
      <c r="A137" s="106"/>
      <c r="B137" s="106"/>
      <c r="C137" s="106"/>
      <c r="D137" s="93"/>
      <c r="E137" s="106"/>
      <c r="F137" s="106"/>
      <c r="G137" s="93"/>
      <c r="H137" s="94"/>
      <c r="I137" s="98"/>
      <c r="J137" s="95"/>
      <c r="K137" s="96"/>
      <c r="L137" s="96"/>
      <c r="M137" s="96"/>
      <c r="N137" s="96"/>
      <c r="O137" s="97"/>
      <c r="P137" s="106"/>
      <c r="Q137" s="106"/>
      <c r="R137" s="106"/>
      <c r="S137" s="106"/>
      <c r="T137" s="106"/>
    </row>
    <row r="138" spans="1:20" ht="15" x14ac:dyDescent="0.4">
      <c r="A138" s="106"/>
      <c r="B138" s="106"/>
      <c r="C138" s="106"/>
      <c r="D138" s="93"/>
      <c r="E138" s="106"/>
      <c r="F138" s="106"/>
      <c r="G138" s="93"/>
      <c r="H138" s="94"/>
      <c r="I138" s="98"/>
      <c r="J138" s="95"/>
      <c r="K138" s="96"/>
      <c r="L138" s="96"/>
      <c r="M138" s="96"/>
      <c r="N138" s="96"/>
      <c r="O138" s="97"/>
      <c r="P138" s="106"/>
      <c r="Q138" s="106"/>
      <c r="R138" s="106"/>
      <c r="S138" s="106"/>
      <c r="T138" s="106"/>
    </row>
    <row r="139" spans="1:20" ht="15" x14ac:dyDescent="0.4">
      <c r="A139" s="106"/>
      <c r="B139" s="106"/>
      <c r="C139" s="106"/>
      <c r="D139" s="93"/>
      <c r="E139" s="106"/>
      <c r="F139" s="106"/>
      <c r="G139" s="93"/>
      <c r="H139" s="94"/>
      <c r="I139" s="98"/>
      <c r="J139" s="95"/>
      <c r="K139" s="96"/>
      <c r="L139" s="96"/>
      <c r="M139" s="96"/>
      <c r="N139" s="96"/>
      <c r="O139" s="97"/>
      <c r="P139" s="106"/>
      <c r="Q139" s="106"/>
      <c r="R139" s="106"/>
      <c r="S139" s="106"/>
      <c r="T139" s="106"/>
    </row>
    <row r="140" spans="1:20" ht="15" x14ac:dyDescent="0.4">
      <c r="A140" s="106"/>
      <c r="B140" s="106"/>
      <c r="C140" s="106"/>
      <c r="D140" s="93"/>
      <c r="E140" s="106"/>
      <c r="F140" s="106"/>
      <c r="G140" s="93"/>
      <c r="H140" s="94"/>
      <c r="I140" s="98"/>
      <c r="J140" s="95"/>
      <c r="K140" s="96"/>
      <c r="L140" s="96"/>
      <c r="M140" s="96"/>
      <c r="N140" s="96"/>
      <c r="O140" s="97"/>
      <c r="P140" s="106"/>
      <c r="Q140" s="106"/>
      <c r="R140" s="106"/>
      <c r="S140" s="106"/>
      <c r="T140" s="106"/>
    </row>
    <row r="141" spans="1:20" ht="15" x14ac:dyDescent="0.4">
      <c r="A141" s="106"/>
      <c r="B141" s="106"/>
      <c r="C141" s="106"/>
      <c r="D141" s="93"/>
      <c r="E141" s="106"/>
      <c r="F141" s="106"/>
      <c r="G141" s="93"/>
      <c r="H141" s="94"/>
      <c r="I141" s="98"/>
      <c r="J141" s="95"/>
      <c r="K141" s="96"/>
      <c r="L141" s="96"/>
      <c r="M141" s="96"/>
      <c r="N141" s="96"/>
      <c r="O141" s="97"/>
      <c r="P141" s="106"/>
      <c r="Q141" s="106"/>
      <c r="R141" s="106"/>
      <c r="S141" s="106"/>
      <c r="T141" s="106"/>
    </row>
    <row r="142" spans="1:20" ht="15" x14ac:dyDescent="0.4">
      <c r="A142" s="106"/>
      <c r="B142" s="106"/>
      <c r="C142" s="106"/>
      <c r="D142" s="93"/>
      <c r="E142" s="106"/>
      <c r="F142" s="106"/>
      <c r="G142" s="93"/>
      <c r="H142" s="94"/>
      <c r="I142" s="98"/>
      <c r="J142" s="95"/>
      <c r="K142" s="96"/>
      <c r="L142" s="96"/>
      <c r="M142" s="96"/>
      <c r="N142" s="96"/>
      <c r="O142" s="97"/>
      <c r="P142" s="106"/>
      <c r="Q142" s="106"/>
      <c r="R142" s="106"/>
      <c r="S142" s="106"/>
      <c r="T142" s="106"/>
    </row>
    <row r="143" spans="1:20" ht="15" x14ac:dyDescent="0.4">
      <c r="A143" s="106"/>
      <c r="B143" s="106"/>
      <c r="C143" s="106"/>
      <c r="D143" s="93"/>
      <c r="E143" s="106"/>
      <c r="F143" s="106"/>
      <c r="G143" s="93"/>
      <c r="H143" s="94"/>
      <c r="I143" s="98"/>
      <c r="J143" s="95"/>
      <c r="K143" s="96"/>
      <c r="L143" s="96"/>
      <c r="M143" s="96"/>
      <c r="N143" s="96"/>
      <c r="O143" s="97"/>
      <c r="P143" s="106"/>
      <c r="Q143" s="106"/>
      <c r="R143" s="106"/>
      <c r="S143" s="106"/>
      <c r="T143" s="106"/>
    </row>
    <row r="144" spans="1:20" ht="15" x14ac:dyDescent="0.4">
      <c r="A144" s="106"/>
      <c r="B144" s="106"/>
      <c r="C144" s="106"/>
      <c r="D144" s="93"/>
      <c r="E144" s="106"/>
      <c r="F144" s="106"/>
      <c r="G144" s="93"/>
      <c r="H144" s="94"/>
      <c r="I144" s="98"/>
      <c r="J144" s="95"/>
      <c r="K144" s="96"/>
      <c r="L144" s="96"/>
      <c r="M144" s="96"/>
      <c r="N144" s="96"/>
      <c r="O144" s="97"/>
      <c r="P144" s="106"/>
      <c r="Q144" s="106"/>
      <c r="R144" s="106"/>
      <c r="S144" s="106"/>
      <c r="T144" s="106"/>
    </row>
    <row r="145" spans="1:20" ht="15" x14ac:dyDescent="0.4">
      <c r="A145" s="106"/>
      <c r="B145" s="106"/>
      <c r="C145" s="106"/>
      <c r="D145" s="93"/>
      <c r="E145" s="106"/>
      <c r="F145" s="106"/>
      <c r="G145" s="93"/>
      <c r="H145" s="94"/>
      <c r="I145" s="98"/>
      <c r="J145" s="95"/>
      <c r="K145" s="96"/>
      <c r="L145" s="96"/>
      <c r="M145" s="96"/>
      <c r="N145" s="96"/>
      <c r="O145" s="97"/>
      <c r="P145" s="106"/>
      <c r="Q145" s="106"/>
      <c r="R145" s="106"/>
      <c r="S145" s="106"/>
      <c r="T145" s="106"/>
    </row>
    <row r="146" spans="1:20" ht="15" x14ac:dyDescent="0.4">
      <c r="A146" s="106"/>
      <c r="B146" s="106"/>
      <c r="C146" s="106"/>
      <c r="D146" s="93"/>
      <c r="E146" s="106"/>
      <c r="F146" s="106"/>
      <c r="G146" s="93"/>
      <c r="H146" s="94"/>
      <c r="I146" s="98"/>
      <c r="J146" s="95"/>
      <c r="K146" s="96"/>
      <c r="L146" s="96"/>
      <c r="M146" s="96"/>
      <c r="N146" s="96"/>
      <c r="O146" s="97"/>
      <c r="P146" s="106"/>
      <c r="Q146" s="106"/>
      <c r="R146" s="106"/>
      <c r="S146" s="106"/>
      <c r="T146" s="106"/>
    </row>
    <row r="147" spans="1:20" ht="15" x14ac:dyDescent="0.4">
      <c r="A147" s="106"/>
      <c r="B147" s="106"/>
      <c r="C147" s="106"/>
      <c r="D147" s="93"/>
      <c r="E147" s="106"/>
      <c r="F147" s="106"/>
      <c r="G147" s="93"/>
      <c r="H147" s="94"/>
      <c r="I147" s="98"/>
      <c r="J147" s="95"/>
      <c r="K147" s="96"/>
      <c r="L147" s="96"/>
      <c r="M147" s="96"/>
      <c r="N147" s="96"/>
      <c r="O147" s="97"/>
      <c r="P147" s="106"/>
      <c r="Q147" s="106"/>
      <c r="R147" s="106"/>
      <c r="S147" s="106"/>
      <c r="T147" s="106"/>
    </row>
    <row r="148" spans="1:20" ht="15" x14ac:dyDescent="0.4">
      <c r="A148" s="106"/>
      <c r="B148" s="106"/>
      <c r="C148" s="106"/>
      <c r="D148" s="93"/>
      <c r="E148" s="106"/>
      <c r="F148" s="106"/>
      <c r="G148" s="93"/>
      <c r="H148" s="94"/>
      <c r="I148" s="98"/>
      <c r="J148" s="95"/>
      <c r="K148" s="96"/>
      <c r="L148" s="96"/>
      <c r="M148" s="96"/>
      <c r="N148" s="96"/>
      <c r="O148" s="97"/>
      <c r="P148" s="106"/>
      <c r="Q148" s="106"/>
      <c r="R148" s="106"/>
      <c r="S148" s="106"/>
      <c r="T148" s="106"/>
    </row>
    <row r="149" spans="1:20" ht="15" x14ac:dyDescent="0.4">
      <c r="A149" s="106"/>
      <c r="B149" s="106"/>
      <c r="C149" s="106"/>
      <c r="D149" s="93"/>
      <c r="E149" s="106"/>
      <c r="F149" s="106"/>
      <c r="G149" s="93"/>
      <c r="H149" s="94"/>
      <c r="I149" s="98"/>
      <c r="J149" s="95"/>
      <c r="K149" s="96"/>
      <c r="L149" s="96"/>
      <c r="M149" s="96"/>
      <c r="N149" s="96"/>
      <c r="O149" s="97"/>
      <c r="P149" s="106"/>
      <c r="Q149" s="106"/>
      <c r="R149" s="106"/>
      <c r="S149" s="106"/>
      <c r="T149" s="106"/>
    </row>
    <row r="150" spans="1:20" ht="15" x14ac:dyDescent="0.4">
      <c r="A150" s="106"/>
      <c r="B150" s="106"/>
      <c r="C150" s="106"/>
      <c r="D150" s="93"/>
      <c r="E150" s="106"/>
      <c r="F150" s="106"/>
      <c r="G150" s="93"/>
      <c r="H150" s="94"/>
      <c r="I150" s="98"/>
      <c r="J150" s="95"/>
      <c r="K150" s="96"/>
      <c r="L150" s="96"/>
      <c r="M150" s="96"/>
      <c r="N150" s="96"/>
      <c r="O150" s="97"/>
      <c r="P150" s="106"/>
      <c r="Q150" s="106"/>
      <c r="R150" s="106"/>
      <c r="S150" s="106"/>
      <c r="T150" s="106"/>
    </row>
    <row r="151" spans="1:20" ht="15" x14ac:dyDescent="0.4">
      <c r="A151" s="106"/>
      <c r="B151" s="106"/>
      <c r="C151" s="106"/>
      <c r="D151" s="93"/>
      <c r="E151" s="106"/>
      <c r="F151" s="106"/>
      <c r="G151" s="93"/>
      <c r="H151" s="94"/>
      <c r="I151" s="98"/>
      <c r="J151" s="95"/>
      <c r="K151" s="96"/>
      <c r="L151" s="96"/>
      <c r="M151" s="96"/>
      <c r="N151" s="96"/>
      <c r="O151" s="97"/>
      <c r="P151" s="106"/>
      <c r="Q151" s="106"/>
      <c r="R151" s="106"/>
      <c r="S151" s="106"/>
      <c r="T151" s="106"/>
    </row>
    <row r="152" spans="1:20" ht="15" x14ac:dyDescent="0.4">
      <c r="A152" s="106"/>
      <c r="B152" s="106"/>
      <c r="C152" s="106"/>
      <c r="D152" s="93"/>
      <c r="E152" s="106"/>
      <c r="F152" s="106"/>
      <c r="G152" s="93"/>
      <c r="H152" s="94"/>
      <c r="I152" s="98"/>
      <c r="J152" s="95"/>
      <c r="K152" s="96"/>
      <c r="L152" s="96"/>
      <c r="M152" s="96"/>
      <c r="N152" s="96"/>
      <c r="O152" s="97"/>
      <c r="P152" s="106"/>
      <c r="Q152" s="106"/>
      <c r="R152" s="106"/>
      <c r="S152" s="106"/>
      <c r="T152" s="106"/>
    </row>
    <row r="153" spans="1:20" ht="15" x14ac:dyDescent="0.4">
      <c r="A153" s="106"/>
      <c r="B153" s="106"/>
      <c r="C153" s="106"/>
      <c r="D153" s="93"/>
      <c r="E153" s="106"/>
      <c r="F153" s="106"/>
      <c r="G153" s="93"/>
      <c r="H153" s="94"/>
      <c r="I153" s="98"/>
      <c r="J153" s="95"/>
      <c r="K153" s="96"/>
      <c r="L153" s="96"/>
      <c r="M153" s="96"/>
      <c r="N153" s="96"/>
      <c r="O153" s="97"/>
      <c r="P153" s="106"/>
      <c r="Q153" s="106"/>
      <c r="R153" s="106"/>
      <c r="S153" s="106"/>
      <c r="T153" s="106"/>
    </row>
    <row r="154" spans="1:20" ht="15" x14ac:dyDescent="0.4">
      <c r="A154" s="106"/>
      <c r="B154" s="106"/>
      <c r="C154" s="106"/>
      <c r="D154" s="93"/>
      <c r="E154" s="106"/>
      <c r="F154" s="106"/>
      <c r="G154" s="93"/>
      <c r="H154" s="94"/>
      <c r="I154" s="98"/>
      <c r="J154" s="95"/>
      <c r="K154" s="96"/>
      <c r="L154" s="96"/>
      <c r="M154" s="96"/>
      <c r="N154" s="96"/>
      <c r="O154" s="97"/>
      <c r="P154" s="106"/>
      <c r="Q154" s="106"/>
      <c r="R154" s="106"/>
      <c r="S154" s="106"/>
      <c r="T154" s="106"/>
    </row>
    <row r="155" spans="1:20" ht="15" x14ac:dyDescent="0.4">
      <c r="A155" s="106"/>
      <c r="B155" s="106"/>
      <c r="C155" s="106"/>
      <c r="D155" s="93"/>
      <c r="E155" s="106"/>
      <c r="F155" s="106"/>
      <c r="G155" s="93"/>
      <c r="H155" s="94"/>
      <c r="I155" s="98"/>
      <c r="J155" s="95"/>
      <c r="K155" s="96"/>
      <c r="L155" s="96"/>
      <c r="M155" s="96"/>
      <c r="N155" s="96"/>
      <c r="O155" s="97"/>
      <c r="P155" s="106"/>
      <c r="Q155" s="106"/>
      <c r="R155" s="106"/>
      <c r="S155" s="106"/>
      <c r="T155" s="106"/>
    </row>
    <row r="156" spans="1:20" ht="15" x14ac:dyDescent="0.4">
      <c r="A156" s="106"/>
      <c r="B156" s="106"/>
      <c r="C156" s="106"/>
      <c r="D156" s="93"/>
      <c r="E156" s="106"/>
      <c r="F156" s="106"/>
      <c r="G156" s="93"/>
      <c r="H156" s="94"/>
      <c r="I156" s="98"/>
      <c r="J156" s="95"/>
      <c r="K156" s="96"/>
      <c r="L156" s="96"/>
      <c r="M156" s="96"/>
      <c r="N156" s="96"/>
      <c r="O156" s="97"/>
      <c r="P156" s="106"/>
      <c r="Q156" s="106"/>
      <c r="R156" s="106"/>
      <c r="S156" s="106"/>
      <c r="T156" s="106"/>
    </row>
    <row r="157" spans="1:20" ht="15" x14ac:dyDescent="0.4">
      <c r="A157" s="106"/>
      <c r="B157" s="106"/>
      <c r="C157" s="106"/>
      <c r="D157" s="93"/>
      <c r="E157" s="106"/>
      <c r="F157" s="106"/>
      <c r="G157" s="93"/>
      <c r="H157" s="94"/>
      <c r="I157" s="98"/>
      <c r="J157" s="95"/>
      <c r="K157" s="96"/>
      <c r="L157" s="96"/>
      <c r="M157" s="96"/>
      <c r="N157" s="96"/>
      <c r="O157" s="97"/>
      <c r="P157" s="106"/>
      <c r="Q157" s="106"/>
      <c r="R157" s="106"/>
      <c r="S157" s="106"/>
      <c r="T157" s="106"/>
    </row>
    <row r="158" spans="1:20" ht="15" x14ac:dyDescent="0.4">
      <c r="A158" s="106"/>
      <c r="B158" s="106"/>
      <c r="C158" s="106"/>
      <c r="D158" s="93"/>
      <c r="E158" s="106"/>
      <c r="F158" s="106"/>
      <c r="G158" s="93"/>
      <c r="H158" s="94"/>
      <c r="I158" s="98"/>
      <c r="J158" s="95"/>
      <c r="K158" s="96"/>
      <c r="L158" s="96"/>
      <c r="M158" s="96"/>
      <c r="N158" s="96"/>
      <c r="O158" s="97"/>
      <c r="P158" s="106"/>
      <c r="Q158" s="106"/>
      <c r="R158" s="106"/>
      <c r="S158" s="106"/>
      <c r="T158" s="106"/>
    </row>
    <row r="159" spans="1:20" ht="15" x14ac:dyDescent="0.4">
      <c r="A159" s="106"/>
      <c r="B159" s="106"/>
      <c r="C159" s="106"/>
      <c r="D159" s="93"/>
      <c r="E159" s="106"/>
      <c r="F159" s="106"/>
      <c r="G159" s="93"/>
      <c r="H159" s="94"/>
      <c r="I159" s="98"/>
      <c r="J159" s="95"/>
      <c r="K159" s="96"/>
      <c r="L159" s="96"/>
      <c r="M159" s="96"/>
      <c r="N159" s="96"/>
      <c r="O159" s="97"/>
      <c r="P159" s="106"/>
      <c r="Q159" s="106"/>
      <c r="R159" s="106"/>
      <c r="S159" s="106"/>
      <c r="T159" s="106"/>
    </row>
    <row r="160" spans="1:20" ht="15" x14ac:dyDescent="0.4">
      <c r="A160" s="106"/>
      <c r="B160" s="106"/>
      <c r="C160" s="106"/>
      <c r="D160" s="93"/>
      <c r="E160" s="106"/>
      <c r="F160" s="106"/>
      <c r="G160" s="93"/>
      <c r="H160" s="94"/>
      <c r="I160" s="98"/>
      <c r="J160" s="95"/>
      <c r="K160" s="96"/>
      <c r="L160" s="96"/>
      <c r="M160" s="96"/>
      <c r="N160" s="96"/>
      <c r="O160" s="97"/>
      <c r="P160" s="106"/>
      <c r="Q160" s="106"/>
      <c r="R160" s="106"/>
      <c r="S160" s="106"/>
      <c r="T160" s="106"/>
    </row>
    <row r="161" spans="1:20" ht="15" x14ac:dyDescent="0.4">
      <c r="A161" s="106"/>
      <c r="B161" s="106"/>
      <c r="C161" s="106"/>
      <c r="D161" s="93"/>
      <c r="E161" s="106"/>
      <c r="F161" s="106"/>
      <c r="G161" s="93"/>
      <c r="H161" s="94"/>
      <c r="I161" s="98"/>
      <c r="J161" s="95"/>
      <c r="K161" s="96"/>
      <c r="L161" s="96"/>
      <c r="M161" s="96"/>
      <c r="N161" s="96"/>
      <c r="O161" s="97"/>
      <c r="P161" s="106"/>
      <c r="Q161" s="106"/>
      <c r="R161" s="106"/>
      <c r="S161" s="106"/>
      <c r="T161" s="106"/>
    </row>
    <row r="162" spans="1:20" ht="15" x14ac:dyDescent="0.4">
      <c r="A162" s="106"/>
      <c r="B162" s="106"/>
      <c r="C162" s="106"/>
      <c r="D162" s="93"/>
      <c r="E162" s="106"/>
      <c r="F162" s="106"/>
      <c r="G162" s="93"/>
      <c r="H162" s="94"/>
      <c r="I162" s="98"/>
      <c r="J162" s="95"/>
      <c r="K162" s="96"/>
      <c r="L162" s="96"/>
      <c r="M162" s="96"/>
      <c r="N162" s="96"/>
      <c r="O162" s="97"/>
      <c r="P162" s="106"/>
      <c r="Q162" s="106"/>
      <c r="R162" s="106"/>
      <c r="S162" s="106"/>
      <c r="T162" s="106"/>
    </row>
    <row r="163" spans="1:20" ht="15" x14ac:dyDescent="0.4">
      <c r="A163" s="106"/>
      <c r="B163" s="106"/>
      <c r="C163" s="106"/>
      <c r="D163" s="93"/>
      <c r="E163" s="106"/>
      <c r="F163" s="106"/>
      <c r="G163" s="93"/>
      <c r="H163" s="94"/>
      <c r="I163" s="98"/>
      <c r="J163" s="95"/>
      <c r="K163" s="96"/>
      <c r="L163" s="96"/>
      <c r="M163" s="96"/>
      <c r="N163" s="96"/>
      <c r="O163" s="97"/>
      <c r="P163" s="106"/>
      <c r="Q163" s="106"/>
      <c r="R163" s="106"/>
      <c r="S163" s="106"/>
      <c r="T163" s="106"/>
    </row>
    <row r="164" spans="1:20" ht="15" x14ac:dyDescent="0.4">
      <c r="A164" s="106"/>
      <c r="B164" s="106"/>
      <c r="C164" s="106"/>
      <c r="D164" s="93"/>
      <c r="E164" s="106"/>
      <c r="F164" s="106"/>
      <c r="G164" s="93"/>
      <c r="H164" s="94"/>
      <c r="I164" s="98"/>
      <c r="J164" s="95"/>
      <c r="K164" s="96"/>
      <c r="L164" s="96"/>
      <c r="M164" s="96"/>
      <c r="N164" s="96"/>
      <c r="O164" s="97"/>
      <c r="P164" s="106"/>
      <c r="Q164" s="106"/>
      <c r="R164" s="106"/>
      <c r="S164" s="106"/>
      <c r="T164" s="106"/>
    </row>
    <row r="165" spans="1:20" ht="15" x14ac:dyDescent="0.4">
      <c r="A165" s="106"/>
      <c r="B165" s="106"/>
      <c r="C165" s="106"/>
      <c r="D165" s="93"/>
      <c r="E165" s="106"/>
      <c r="F165" s="106"/>
      <c r="G165" s="93"/>
      <c r="H165" s="94"/>
      <c r="I165" s="98"/>
      <c r="J165" s="95"/>
      <c r="K165" s="96"/>
      <c r="L165" s="96"/>
      <c r="M165" s="96"/>
      <c r="N165" s="96"/>
      <c r="O165" s="97"/>
      <c r="P165" s="106"/>
      <c r="Q165" s="106"/>
      <c r="R165" s="106"/>
      <c r="S165" s="106"/>
      <c r="T165" s="106"/>
    </row>
    <row r="166" spans="1:20" ht="15" x14ac:dyDescent="0.4">
      <c r="A166" s="106"/>
      <c r="B166" s="106"/>
      <c r="C166" s="106"/>
      <c r="D166" s="93"/>
      <c r="E166" s="106"/>
      <c r="F166" s="106"/>
      <c r="G166" s="93"/>
      <c r="H166" s="94"/>
      <c r="I166" s="98"/>
      <c r="J166" s="95"/>
      <c r="K166" s="96"/>
      <c r="L166" s="96"/>
      <c r="M166" s="96"/>
      <c r="N166" s="96"/>
      <c r="O166" s="97"/>
      <c r="P166" s="106"/>
      <c r="Q166" s="106"/>
      <c r="R166" s="106"/>
      <c r="S166" s="106"/>
      <c r="T166" s="106"/>
    </row>
    <row r="167" spans="1:20" ht="15" x14ac:dyDescent="0.4">
      <c r="A167" s="106"/>
      <c r="B167" s="106"/>
      <c r="C167" s="106"/>
      <c r="D167" s="93"/>
      <c r="E167" s="106"/>
      <c r="F167" s="106"/>
      <c r="G167" s="93"/>
      <c r="H167" s="94"/>
      <c r="I167" s="98"/>
      <c r="J167" s="95"/>
      <c r="K167" s="96"/>
      <c r="L167" s="96"/>
      <c r="M167" s="96"/>
      <c r="N167" s="96"/>
      <c r="O167" s="97"/>
      <c r="P167" s="106"/>
      <c r="Q167" s="106"/>
      <c r="R167" s="106"/>
      <c r="S167" s="106"/>
      <c r="T167" s="106"/>
    </row>
    <row r="168" spans="1:20" ht="15" x14ac:dyDescent="0.4">
      <c r="A168" s="106"/>
      <c r="B168" s="106"/>
      <c r="C168" s="106"/>
      <c r="D168" s="93"/>
      <c r="E168" s="106"/>
      <c r="F168" s="106"/>
      <c r="G168" s="93"/>
      <c r="H168" s="94"/>
      <c r="I168" s="98"/>
      <c r="J168" s="95"/>
      <c r="K168" s="96"/>
      <c r="L168" s="96"/>
      <c r="M168" s="96"/>
      <c r="N168" s="96"/>
      <c r="O168" s="97"/>
      <c r="P168" s="106"/>
      <c r="Q168" s="106"/>
      <c r="R168" s="106"/>
      <c r="S168" s="106"/>
      <c r="T168" s="106"/>
    </row>
    <row r="169" spans="1:20" ht="15" x14ac:dyDescent="0.4">
      <c r="A169" s="106"/>
      <c r="B169" s="106"/>
      <c r="C169" s="106"/>
      <c r="D169" s="93"/>
      <c r="E169" s="106"/>
      <c r="F169" s="106"/>
      <c r="G169" s="93"/>
      <c r="H169" s="94"/>
      <c r="I169" s="98"/>
      <c r="J169" s="95"/>
      <c r="K169" s="96"/>
      <c r="L169" s="96"/>
      <c r="M169" s="96"/>
      <c r="N169" s="96"/>
      <c r="O169" s="97"/>
      <c r="P169" s="106"/>
      <c r="Q169" s="106"/>
      <c r="R169" s="106"/>
      <c r="S169" s="106"/>
      <c r="T169" s="106"/>
    </row>
    <row r="170" spans="1:20" ht="15" x14ac:dyDescent="0.4">
      <c r="A170" s="106"/>
      <c r="B170" s="106"/>
      <c r="C170" s="106"/>
      <c r="D170" s="93"/>
      <c r="E170" s="106"/>
      <c r="F170" s="106"/>
      <c r="G170" s="93"/>
      <c r="H170" s="94"/>
      <c r="I170" s="98"/>
      <c r="J170" s="95"/>
      <c r="K170" s="96"/>
      <c r="L170" s="96"/>
      <c r="M170" s="96"/>
      <c r="N170" s="96"/>
      <c r="O170" s="97"/>
      <c r="P170" s="106"/>
      <c r="Q170" s="106"/>
      <c r="R170" s="106"/>
      <c r="S170" s="106"/>
      <c r="T170" s="106"/>
    </row>
    <row r="171" spans="1:20" ht="15" x14ac:dyDescent="0.4">
      <c r="A171" s="106"/>
      <c r="B171" s="106"/>
      <c r="C171" s="106"/>
      <c r="D171" s="93"/>
      <c r="E171" s="106"/>
      <c r="F171" s="106"/>
      <c r="G171" s="93"/>
      <c r="H171" s="94"/>
      <c r="I171" s="98"/>
      <c r="J171" s="95"/>
      <c r="K171" s="96"/>
      <c r="L171" s="96"/>
      <c r="M171" s="96"/>
      <c r="N171" s="96"/>
      <c r="O171" s="97"/>
      <c r="P171" s="106"/>
      <c r="Q171" s="106"/>
      <c r="R171" s="106"/>
      <c r="S171" s="106"/>
      <c r="T171" s="106"/>
    </row>
    <row r="172" spans="1:20" ht="15" x14ac:dyDescent="0.4">
      <c r="A172" s="106"/>
      <c r="B172" s="106"/>
      <c r="C172" s="106"/>
      <c r="D172" s="93"/>
      <c r="E172" s="106"/>
      <c r="F172" s="106"/>
      <c r="G172" s="93"/>
      <c r="H172" s="94"/>
      <c r="I172" s="98"/>
      <c r="J172" s="95"/>
      <c r="K172" s="96"/>
      <c r="L172" s="96"/>
      <c r="M172" s="96"/>
      <c r="N172" s="96"/>
      <c r="O172" s="97"/>
      <c r="P172" s="106"/>
      <c r="Q172" s="106"/>
      <c r="R172" s="106"/>
      <c r="S172" s="106"/>
      <c r="T172" s="106"/>
    </row>
    <row r="173" spans="1:20" ht="15" x14ac:dyDescent="0.4">
      <c r="A173" s="106"/>
      <c r="B173" s="106"/>
      <c r="C173" s="106"/>
      <c r="D173" s="93"/>
      <c r="E173" s="106"/>
      <c r="F173" s="106"/>
      <c r="G173" s="93"/>
      <c r="H173" s="94"/>
      <c r="I173" s="98"/>
      <c r="J173" s="95"/>
      <c r="K173" s="96"/>
      <c r="L173" s="96"/>
      <c r="M173" s="96"/>
      <c r="N173" s="96"/>
      <c r="O173" s="97"/>
      <c r="P173" s="106"/>
      <c r="Q173" s="106"/>
      <c r="R173" s="106"/>
      <c r="S173" s="106"/>
      <c r="T173" s="106"/>
    </row>
    <row r="174" spans="1:20" ht="15" x14ac:dyDescent="0.4">
      <c r="A174" s="106"/>
      <c r="B174" s="106"/>
      <c r="C174" s="106"/>
      <c r="D174" s="93"/>
      <c r="E174" s="106"/>
      <c r="F174" s="106"/>
      <c r="G174" s="93"/>
      <c r="H174" s="94"/>
      <c r="I174" s="98"/>
      <c r="J174" s="95"/>
      <c r="K174" s="96"/>
      <c r="L174" s="96"/>
      <c r="M174" s="96"/>
      <c r="N174" s="96"/>
      <c r="O174" s="97"/>
      <c r="P174" s="106"/>
      <c r="Q174" s="106"/>
      <c r="R174" s="106"/>
      <c r="S174" s="106"/>
      <c r="T174" s="106"/>
    </row>
    <row r="175" spans="1:20" x14ac:dyDescent="0.4">
      <c r="A175" s="106"/>
      <c r="B175" s="106"/>
      <c r="C175" s="106"/>
      <c r="D175" s="126"/>
      <c r="E175" s="129"/>
      <c r="F175" s="128"/>
      <c r="G175" s="93"/>
      <c r="H175" s="94"/>
      <c r="I175" s="98"/>
      <c r="J175" s="95"/>
      <c r="K175" s="96"/>
      <c r="L175" s="96"/>
      <c r="M175" s="96"/>
      <c r="N175" s="96"/>
      <c r="O175" s="97"/>
      <c r="P175" s="106"/>
      <c r="Q175" s="106"/>
      <c r="R175" s="106"/>
      <c r="S175" s="106"/>
      <c r="T175" s="106"/>
    </row>
    <row r="176" spans="1:20" x14ac:dyDescent="0.4">
      <c r="A176" s="106"/>
      <c r="B176" s="106"/>
      <c r="C176" s="124"/>
      <c r="D176" s="126"/>
      <c r="E176" s="129"/>
      <c r="F176" s="130"/>
      <c r="G176" s="93"/>
      <c r="H176" s="98"/>
      <c r="I176" s="98"/>
      <c r="J176" s="95"/>
      <c r="K176" s="96"/>
      <c r="L176" s="96"/>
      <c r="M176" s="96"/>
      <c r="N176" s="96"/>
      <c r="O176" s="97"/>
      <c r="P176" s="106"/>
      <c r="Q176" s="106"/>
      <c r="R176" s="106"/>
      <c r="S176" s="106"/>
      <c r="T176" s="106"/>
    </row>
    <row r="177" spans="1:20" x14ac:dyDescent="0.4">
      <c r="A177" s="106"/>
      <c r="B177" s="106"/>
      <c r="C177" s="124"/>
      <c r="D177" s="126"/>
      <c r="E177" s="129"/>
      <c r="F177" s="130"/>
      <c r="G177" s="93"/>
      <c r="H177" s="98"/>
      <c r="I177" s="98"/>
      <c r="J177" s="95"/>
      <c r="K177" s="96"/>
      <c r="L177" s="96"/>
      <c r="M177" s="96"/>
      <c r="N177" s="96"/>
      <c r="O177" s="97"/>
      <c r="P177" s="106"/>
      <c r="Q177" s="106"/>
      <c r="R177" s="106"/>
      <c r="S177" s="106"/>
      <c r="T177" s="106"/>
    </row>
    <row r="178" spans="1:20" x14ac:dyDescent="0.4">
      <c r="A178" s="106"/>
      <c r="B178" s="106"/>
      <c r="C178" s="124"/>
      <c r="D178" s="126"/>
      <c r="E178" s="129"/>
      <c r="F178" s="130"/>
      <c r="G178" s="93"/>
      <c r="H178" s="98"/>
      <c r="I178" s="98"/>
      <c r="J178" s="95"/>
      <c r="K178" s="96"/>
      <c r="L178" s="96"/>
      <c r="M178" s="96"/>
      <c r="N178" s="96"/>
      <c r="O178" s="97"/>
      <c r="P178" s="106"/>
      <c r="Q178" s="106"/>
      <c r="R178" s="106"/>
      <c r="S178" s="106"/>
      <c r="T178" s="106"/>
    </row>
    <row r="179" spans="1:20" x14ac:dyDescent="0.4">
      <c r="A179" s="106"/>
      <c r="B179" s="106"/>
      <c r="C179" s="124"/>
      <c r="D179" s="126"/>
      <c r="E179" s="129"/>
      <c r="F179" s="130"/>
      <c r="G179" s="93"/>
      <c r="H179" s="98"/>
      <c r="I179" s="98"/>
      <c r="J179" s="95"/>
      <c r="K179" s="96"/>
      <c r="L179" s="96"/>
      <c r="M179" s="96"/>
      <c r="N179" s="96"/>
      <c r="O179" s="97"/>
      <c r="P179" s="106"/>
      <c r="Q179" s="106"/>
      <c r="R179" s="106"/>
      <c r="S179" s="106"/>
      <c r="T179" s="106"/>
    </row>
    <row r="180" spans="1:20" x14ac:dyDescent="0.4">
      <c r="A180" s="106"/>
      <c r="B180" s="106"/>
      <c r="C180" s="124"/>
      <c r="D180" s="126"/>
      <c r="E180" s="129"/>
      <c r="F180" s="130"/>
      <c r="G180" s="93"/>
      <c r="H180" s="98"/>
      <c r="I180" s="98"/>
      <c r="J180" s="95"/>
      <c r="K180" s="96"/>
      <c r="L180" s="96"/>
      <c r="M180" s="96"/>
      <c r="N180" s="96"/>
      <c r="O180" s="97"/>
      <c r="P180" s="106"/>
      <c r="Q180" s="106"/>
      <c r="R180" s="106"/>
      <c r="S180" s="106"/>
      <c r="T180" s="106"/>
    </row>
    <row r="181" spans="1:20" x14ac:dyDescent="0.4">
      <c r="A181" s="106"/>
      <c r="B181" s="106"/>
      <c r="C181" s="124"/>
      <c r="D181" s="126"/>
      <c r="E181" s="129"/>
      <c r="F181" s="130"/>
      <c r="G181" s="93"/>
      <c r="H181" s="98"/>
      <c r="I181" s="98"/>
      <c r="J181" s="95"/>
      <c r="K181" s="96"/>
      <c r="L181" s="96"/>
      <c r="M181" s="96"/>
      <c r="N181" s="96"/>
      <c r="O181" s="97"/>
      <c r="P181" s="106"/>
      <c r="Q181" s="106"/>
      <c r="R181" s="106"/>
      <c r="S181" s="106"/>
      <c r="T181" s="106"/>
    </row>
    <row r="182" spans="1:20" x14ac:dyDescent="0.4">
      <c r="A182" s="106"/>
      <c r="B182" s="106"/>
      <c r="C182" s="124"/>
      <c r="D182" s="126"/>
      <c r="E182" s="129"/>
      <c r="F182" s="130"/>
      <c r="G182" s="93"/>
      <c r="H182" s="98"/>
      <c r="I182" s="98"/>
      <c r="J182" s="95"/>
      <c r="K182" s="96"/>
      <c r="L182" s="96"/>
      <c r="M182" s="96"/>
      <c r="N182" s="96"/>
      <c r="O182" s="97"/>
      <c r="P182" s="106"/>
      <c r="Q182" s="106"/>
      <c r="R182" s="106"/>
      <c r="S182" s="106"/>
      <c r="T182" s="106"/>
    </row>
    <row r="183" spans="1:20" x14ac:dyDescent="0.4">
      <c r="A183" s="106"/>
      <c r="B183" s="106"/>
      <c r="C183" s="124"/>
      <c r="D183" s="126"/>
      <c r="E183" s="129"/>
      <c r="F183" s="130"/>
      <c r="G183" s="93"/>
      <c r="H183" s="98"/>
      <c r="I183" s="98"/>
      <c r="J183" s="95"/>
      <c r="K183" s="96"/>
      <c r="L183" s="96"/>
      <c r="M183" s="96"/>
      <c r="N183" s="96"/>
      <c r="O183" s="97"/>
      <c r="P183" s="106"/>
      <c r="Q183" s="106"/>
      <c r="R183" s="106"/>
      <c r="S183" s="106"/>
      <c r="T183" s="106"/>
    </row>
    <row r="184" spans="1:20" x14ac:dyDescent="0.4">
      <c r="A184" s="106"/>
      <c r="B184" s="106"/>
      <c r="C184" s="124"/>
      <c r="D184" s="126"/>
      <c r="E184" s="129"/>
      <c r="F184" s="130"/>
      <c r="G184" s="93"/>
      <c r="H184" s="98"/>
      <c r="I184" s="98"/>
      <c r="J184" s="95"/>
      <c r="K184" s="96"/>
      <c r="L184" s="96"/>
      <c r="M184" s="96"/>
      <c r="N184" s="96"/>
      <c r="O184" s="97"/>
      <c r="P184" s="106"/>
      <c r="Q184" s="106"/>
      <c r="R184" s="106"/>
      <c r="S184" s="106"/>
      <c r="T184" s="106"/>
    </row>
    <row r="185" spans="1:20" x14ac:dyDescent="0.4">
      <c r="A185" s="106"/>
      <c r="B185" s="106"/>
      <c r="C185" s="124"/>
      <c r="D185" s="126"/>
      <c r="E185" s="129"/>
      <c r="F185" s="130"/>
      <c r="G185" s="93"/>
      <c r="H185" s="98"/>
      <c r="I185" s="98"/>
      <c r="J185" s="95"/>
      <c r="K185" s="96"/>
      <c r="L185" s="96"/>
      <c r="M185" s="96"/>
      <c r="N185" s="96"/>
      <c r="O185" s="97"/>
      <c r="P185" s="106"/>
      <c r="Q185" s="106"/>
      <c r="R185" s="106"/>
      <c r="S185" s="106"/>
      <c r="T185" s="106"/>
    </row>
    <row r="186" spans="1:20" x14ac:dyDescent="0.4">
      <c r="A186" s="106"/>
      <c r="B186" s="106"/>
      <c r="C186" s="124"/>
      <c r="D186" s="126"/>
      <c r="E186" s="129"/>
      <c r="F186" s="130"/>
      <c r="G186" s="93"/>
      <c r="H186" s="98"/>
      <c r="I186" s="98"/>
      <c r="J186" s="95"/>
      <c r="K186" s="96"/>
      <c r="L186" s="96"/>
      <c r="M186" s="96"/>
      <c r="N186" s="96"/>
      <c r="O186" s="97"/>
      <c r="P186" s="106"/>
      <c r="Q186" s="106"/>
      <c r="R186" s="106"/>
      <c r="S186" s="106"/>
      <c r="T186" s="106"/>
    </row>
    <row r="187" spans="1:20" x14ac:dyDescent="0.4">
      <c r="A187" s="106"/>
      <c r="B187" s="106"/>
      <c r="C187" s="124"/>
      <c r="D187" s="126"/>
      <c r="E187" s="129"/>
      <c r="F187" s="130"/>
      <c r="G187" s="93"/>
      <c r="H187" s="98"/>
      <c r="I187" s="98"/>
      <c r="J187" s="95"/>
      <c r="K187" s="96"/>
      <c r="L187" s="96"/>
      <c r="M187" s="96"/>
      <c r="N187" s="96"/>
      <c r="O187" s="97"/>
      <c r="P187" s="106"/>
      <c r="Q187" s="106"/>
      <c r="R187" s="106"/>
      <c r="S187" s="106"/>
      <c r="T187" s="106"/>
    </row>
    <row r="188" spans="1:20" x14ac:dyDescent="0.4">
      <c r="A188" s="106"/>
      <c r="B188" s="106"/>
      <c r="C188" s="124"/>
      <c r="D188" s="126"/>
      <c r="E188" s="129"/>
      <c r="F188" s="130"/>
      <c r="G188" s="93"/>
      <c r="H188" s="98"/>
      <c r="I188" s="98"/>
      <c r="J188" s="95"/>
      <c r="K188" s="96"/>
      <c r="L188" s="96"/>
      <c r="M188" s="96"/>
      <c r="N188" s="96"/>
      <c r="O188" s="97"/>
      <c r="P188" s="106"/>
      <c r="Q188" s="106"/>
      <c r="R188" s="106"/>
      <c r="S188" s="106"/>
      <c r="T188" s="106"/>
    </row>
    <row r="189" spans="1:20" x14ac:dyDescent="0.4">
      <c r="A189" s="106"/>
      <c r="B189" s="106"/>
      <c r="C189" s="124"/>
      <c r="D189" s="126"/>
      <c r="E189" s="129"/>
      <c r="F189" s="130"/>
      <c r="G189" s="93"/>
      <c r="H189" s="98"/>
      <c r="I189" s="98"/>
      <c r="J189" s="95"/>
      <c r="K189" s="96"/>
      <c r="L189" s="96"/>
      <c r="M189" s="96"/>
      <c r="N189" s="96"/>
      <c r="O189" s="97"/>
      <c r="P189" s="106"/>
      <c r="Q189" s="106"/>
      <c r="R189" s="106"/>
      <c r="S189" s="106"/>
      <c r="T189" s="106"/>
    </row>
    <row r="190" spans="1:20" x14ac:dyDescent="0.4">
      <c r="A190" s="106"/>
      <c r="B190" s="106"/>
      <c r="C190" s="124"/>
      <c r="D190" s="126"/>
      <c r="E190" s="129"/>
      <c r="F190" s="130"/>
      <c r="G190" s="93"/>
      <c r="H190" s="98"/>
      <c r="I190" s="98"/>
      <c r="J190" s="95"/>
      <c r="K190" s="96"/>
      <c r="L190" s="96"/>
      <c r="M190" s="96"/>
      <c r="N190" s="96"/>
      <c r="O190" s="97"/>
      <c r="P190" s="106"/>
      <c r="Q190" s="106"/>
      <c r="R190" s="106"/>
      <c r="S190" s="106"/>
      <c r="T190" s="106"/>
    </row>
    <row r="191" spans="1:20" x14ac:dyDescent="0.4">
      <c r="A191" s="106"/>
      <c r="B191" s="106"/>
      <c r="C191" s="124"/>
      <c r="D191" s="126"/>
      <c r="E191" s="129"/>
      <c r="F191" s="130"/>
      <c r="G191" s="93"/>
      <c r="H191" s="98"/>
      <c r="I191" s="98"/>
      <c r="J191" s="95"/>
      <c r="K191" s="96"/>
      <c r="L191" s="96"/>
      <c r="M191" s="96"/>
      <c r="N191" s="96"/>
      <c r="O191" s="97"/>
      <c r="P191" s="106"/>
      <c r="Q191" s="106"/>
      <c r="R191" s="106"/>
      <c r="S191" s="106"/>
      <c r="T191" s="106"/>
    </row>
    <row r="192" spans="1:20" x14ac:dyDescent="0.4">
      <c r="A192" s="106"/>
      <c r="B192" s="106"/>
      <c r="C192" s="124"/>
      <c r="D192" s="126"/>
      <c r="E192" s="129"/>
      <c r="F192" s="130"/>
      <c r="G192" s="93"/>
      <c r="H192" s="98"/>
      <c r="I192" s="98"/>
      <c r="J192" s="95"/>
      <c r="K192" s="96"/>
      <c r="L192" s="96"/>
      <c r="M192" s="96"/>
      <c r="N192" s="96"/>
      <c r="O192" s="97"/>
      <c r="P192" s="106"/>
      <c r="Q192" s="106"/>
      <c r="R192" s="106"/>
      <c r="S192" s="106"/>
      <c r="T192" s="106"/>
    </row>
    <row r="193" spans="1:20" x14ac:dyDescent="0.4">
      <c r="A193" s="106"/>
      <c r="B193" s="106"/>
      <c r="C193" s="124"/>
      <c r="D193" s="126"/>
      <c r="E193" s="129"/>
      <c r="F193" s="130"/>
      <c r="G193" s="93"/>
      <c r="H193" s="98"/>
      <c r="I193" s="98"/>
      <c r="J193" s="95"/>
      <c r="K193" s="96"/>
      <c r="L193" s="96"/>
      <c r="M193" s="96"/>
      <c r="N193" s="96"/>
      <c r="O193" s="97"/>
      <c r="P193" s="106"/>
      <c r="Q193" s="106"/>
      <c r="R193" s="106"/>
      <c r="S193" s="106"/>
      <c r="T193" s="106"/>
    </row>
    <row r="194" spans="1:20" x14ac:dyDescent="0.4">
      <c r="A194" s="106"/>
      <c r="B194" s="106"/>
      <c r="C194" s="124"/>
      <c r="D194" s="126"/>
      <c r="E194" s="129"/>
      <c r="F194" s="130"/>
      <c r="G194" s="93"/>
      <c r="H194" s="98"/>
      <c r="I194" s="98"/>
      <c r="J194" s="95"/>
      <c r="K194" s="96"/>
      <c r="L194" s="96"/>
      <c r="M194" s="96"/>
      <c r="N194" s="96"/>
      <c r="O194" s="97"/>
      <c r="P194" s="106"/>
      <c r="Q194" s="106"/>
      <c r="R194" s="106"/>
      <c r="S194" s="106"/>
      <c r="T194" s="106"/>
    </row>
    <row r="195" spans="1:20" x14ac:dyDescent="0.4">
      <c r="A195" s="106"/>
      <c r="B195" s="106"/>
      <c r="C195" s="124"/>
      <c r="D195" s="126"/>
      <c r="E195" s="129"/>
      <c r="F195" s="130"/>
      <c r="G195" s="93"/>
      <c r="H195" s="98"/>
      <c r="I195" s="98"/>
      <c r="J195" s="95"/>
      <c r="K195" s="96"/>
      <c r="L195" s="96"/>
      <c r="M195" s="96"/>
      <c r="N195" s="96"/>
      <c r="O195" s="97"/>
      <c r="P195" s="106"/>
      <c r="Q195" s="106"/>
      <c r="R195" s="106"/>
      <c r="S195" s="106"/>
      <c r="T195" s="106"/>
    </row>
    <row r="196" spans="1:20" x14ac:dyDescent="0.4">
      <c r="A196" s="106"/>
      <c r="B196" s="106"/>
      <c r="C196" s="124"/>
      <c r="D196" s="126"/>
      <c r="E196" s="129"/>
      <c r="F196" s="130"/>
      <c r="G196" s="93"/>
      <c r="H196" s="98"/>
      <c r="I196" s="98"/>
      <c r="J196" s="95"/>
      <c r="K196" s="96"/>
      <c r="L196" s="96"/>
      <c r="M196" s="96"/>
      <c r="N196" s="96"/>
      <c r="O196" s="97"/>
      <c r="P196" s="106"/>
      <c r="Q196" s="106"/>
      <c r="R196" s="106"/>
      <c r="S196" s="106"/>
      <c r="T196" s="106"/>
    </row>
    <row r="197" spans="1:20" x14ac:dyDescent="0.4">
      <c r="A197" s="106"/>
      <c r="B197" s="106"/>
      <c r="C197" s="124"/>
      <c r="D197" s="126"/>
      <c r="E197" s="129"/>
      <c r="F197" s="130"/>
      <c r="G197" s="93"/>
      <c r="H197" s="98"/>
      <c r="I197" s="98"/>
      <c r="J197" s="95"/>
      <c r="K197" s="96"/>
      <c r="L197" s="96"/>
      <c r="M197" s="96"/>
      <c r="N197" s="96"/>
      <c r="O197" s="97"/>
      <c r="P197" s="106"/>
      <c r="Q197" s="106"/>
      <c r="R197" s="106"/>
      <c r="S197" s="106"/>
      <c r="T197" s="106"/>
    </row>
    <row r="198" spans="1:20" x14ac:dyDescent="0.4">
      <c r="A198" s="106"/>
      <c r="B198" s="106"/>
      <c r="C198" s="124"/>
      <c r="D198" s="126"/>
      <c r="E198" s="129"/>
      <c r="F198" s="130"/>
      <c r="G198" s="93"/>
      <c r="H198" s="98"/>
      <c r="I198" s="98"/>
      <c r="J198" s="95"/>
      <c r="K198" s="96"/>
      <c r="L198" s="96"/>
      <c r="M198" s="96"/>
      <c r="N198" s="96"/>
      <c r="O198" s="97"/>
      <c r="P198" s="106"/>
      <c r="Q198" s="106"/>
      <c r="R198" s="106"/>
      <c r="S198" s="106"/>
      <c r="T198" s="106"/>
    </row>
    <row r="199" spans="1:20" x14ac:dyDescent="0.4">
      <c r="A199" s="106"/>
      <c r="B199" s="106"/>
      <c r="C199" s="124"/>
      <c r="D199" s="126"/>
      <c r="E199" s="129"/>
      <c r="F199" s="130"/>
      <c r="G199" s="93"/>
      <c r="H199" s="98"/>
      <c r="I199" s="98"/>
      <c r="J199" s="95"/>
      <c r="K199" s="96"/>
      <c r="L199" s="96"/>
      <c r="M199" s="96"/>
      <c r="N199" s="96"/>
      <c r="O199" s="97"/>
      <c r="P199" s="106"/>
      <c r="Q199" s="106"/>
      <c r="R199" s="106"/>
      <c r="S199" s="106"/>
      <c r="T199" s="106"/>
    </row>
    <row r="200" spans="1:20" x14ac:dyDescent="0.4">
      <c r="A200" s="106"/>
      <c r="B200" s="106"/>
      <c r="C200" s="124"/>
      <c r="D200" s="126"/>
      <c r="E200" s="129"/>
      <c r="F200" s="130"/>
      <c r="G200" s="93"/>
      <c r="H200" s="98"/>
      <c r="I200" s="98"/>
      <c r="J200" s="95"/>
      <c r="K200" s="96"/>
      <c r="L200" s="96"/>
      <c r="M200" s="96"/>
      <c r="N200" s="96"/>
      <c r="O200" s="97"/>
      <c r="P200" s="106"/>
      <c r="Q200" s="106"/>
      <c r="R200" s="106"/>
      <c r="S200" s="106"/>
      <c r="T200" s="106"/>
    </row>
    <row r="201" spans="1:20" x14ac:dyDescent="0.4">
      <c r="A201" s="106"/>
      <c r="B201" s="106"/>
      <c r="C201" s="124"/>
      <c r="D201" s="126"/>
      <c r="E201" s="129"/>
      <c r="F201" s="130"/>
      <c r="G201" s="93"/>
      <c r="H201" s="98"/>
      <c r="I201" s="98"/>
      <c r="J201" s="95"/>
      <c r="K201" s="96"/>
      <c r="L201" s="96"/>
      <c r="M201" s="96"/>
      <c r="N201" s="96"/>
      <c r="O201" s="97"/>
      <c r="P201" s="106"/>
      <c r="Q201" s="106"/>
      <c r="R201" s="106"/>
      <c r="S201" s="106"/>
      <c r="T201" s="106"/>
    </row>
    <row r="202" spans="1:20" x14ac:dyDescent="0.4">
      <c r="A202" s="106"/>
      <c r="B202" s="106"/>
      <c r="C202" s="124"/>
      <c r="D202" s="126"/>
      <c r="E202" s="129"/>
      <c r="F202" s="130"/>
      <c r="G202" s="93"/>
      <c r="H202" s="98"/>
      <c r="I202" s="98"/>
      <c r="J202" s="95"/>
      <c r="K202" s="96"/>
      <c r="L202" s="96"/>
      <c r="M202" s="96"/>
      <c r="N202" s="96"/>
      <c r="O202" s="97"/>
      <c r="P202" s="106"/>
      <c r="Q202" s="106"/>
      <c r="R202" s="106"/>
      <c r="S202" s="106"/>
      <c r="T202" s="106"/>
    </row>
    <row r="203" spans="1:20" x14ac:dyDescent="0.4">
      <c r="A203" s="106"/>
      <c r="B203" s="106"/>
      <c r="C203" s="124"/>
      <c r="D203" s="126"/>
      <c r="E203" s="129"/>
      <c r="F203" s="130"/>
      <c r="G203" s="93"/>
      <c r="H203" s="98"/>
      <c r="I203" s="98"/>
      <c r="J203" s="95"/>
      <c r="K203" s="96"/>
      <c r="L203" s="96"/>
      <c r="M203" s="96"/>
      <c r="N203" s="96"/>
      <c r="O203" s="97"/>
      <c r="P203" s="106"/>
      <c r="Q203" s="106"/>
      <c r="R203" s="106"/>
      <c r="S203" s="106"/>
      <c r="T203" s="106"/>
    </row>
    <row r="204" spans="1:20" x14ac:dyDescent="0.4">
      <c r="A204" s="107"/>
      <c r="B204" s="107"/>
      <c r="C204" s="125"/>
      <c r="D204" s="127"/>
      <c r="E204" s="129"/>
      <c r="F204" s="131"/>
      <c r="G204" s="99"/>
      <c r="H204" s="101"/>
      <c r="I204" s="101"/>
      <c r="J204" s="95"/>
      <c r="K204" s="96"/>
      <c r="L204" s="96"/>
      <c r="M204" s="96"/>
      <c r="N204" s="96"/>
      <c r="O204" s="97"/>
      <c r="P204" s="106"/>
      <c r="Q204" s="107"/>
      <c r="R204" s="107"/>
      <c r="S204" s="107"/>
      <c r="T204" s="107"/>
    </row>
  </sheetData>
  <mergeCells count="18">
    <mergeCell ref="I15:I17"/>
    <mergeCell ref="I18:I20"/>
    <mergeCell ref="O3:O4"/>
    <mergeCell ref="P3:P4"/>
    <mergeCell ref="R3:S3"/>
    <mergeCell ref="I8:I10"/>
    <mergeCell ref="N3:N4"/>
    <mergeCell ref="G3:G4"/>
    <mergeCell ref="H3:H4"/>
    <mergeCell ref="I3:I4"/>
    <mergeCell ref="J3:J4"/>
    <mergeCell ref="K3:M3"/>
    <mergeCell ref="F3:F4"/>
    <mergeCell ref="A3:A4"/>
    <mergeCell ref="B3:B4"/>
    <mergeCell ref="C3:C4"/>
    <mergeCell ref="D3:D4"/>
    <mergeCell ref="E3:E4"/>
  </mergeCells>
  <phoneticPr fontId="1" type="noConversion"/>
  <conditionalFormatting sqref="G5:G20">
    <cfRule type="expression" dxfId="3" priority="7">
      <formula>$O5="D"</formula>
    </cfRule>
    <cfRule type="expression" dxfId="2" priority="8">
      <formula>FIND("C",$O5)</formula>
    </cfRule>
  </conditionalFormatting>
  <conditionalFormatting sqref="O5:O20">
    <cfRule type="expression" dxfId="1" priority="1">
      <formula>FIND("D",$O5)</formula>
    </cfRule>
    <cfRule type="expression" dxfId="0" priority="2">
      <formula>FIND("C",$O5)</formula>
    </cfRule>
  </conditionalFormatting>
  <pageMargins left="0.7" right="0.7" top="0.75" bottom="0.75" header="0.3" footer="0.3"/>
  <pageSetup paperSize="9" scale="3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129"/>
  <sheetViews>
    <sheetView workbookViewId="0"/>
  </sheetViews>
  <sheetFormatPr defaultColWidth="9" defaultRowHeight="15.6" x14ac:dyDescent="0.4"/>
  <cols>
    <col min="1" max="1" width="9.8984375" style="1" customWidth="1"/>
    <col min="2" max="2" width="10.09765625" style="11" bestFit="1" customWidth="1"/>
    <col min="3" max="3" width="16.59765625" style="11" customWidth="1"/>
    <col min="4" max="4" width="14.8984375" style="12" bestFit="1" customWidth="1"/>
    <col min="5" max="5" width="36.8984375" style="2" bestFit="1" customWidth="1"/>
    <col min="6" max="6" width="52.59765625" style="1" bestFit="1" customWidth="1"/>
    <col min="7" max="7" width="60" style="1" hidden="1" customWidth="1"/>
    <col min="8" max="8" width="9" style="3"/>
    <col min="9" max="11" width="9" style="2"/>
    <col min="12" max="12" width="40.09765625" style="1" bestFit="1" customWidth="1"/>
    <col min="13" max="13" width="29.5" style="1" bestFit="1" customWidth="1"/>
    <col min="14" max="14" width="4.59765625" style="1" bestFit="1" customWidth="1"/>
    <col min="15" max="15" width="32.5" style="1" bestFit="1" customWidth="1"/>
    <col min="16" max="16384" width="9" style="1"/>
  </cols>
  <sheetData>
    <row r="2" spans="1:15" thickBot="1" x14ac:dyDescent="0.45">
      <c r="B2" s="180" t="s">
        <v>0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15" ht="17.100000000000001" customHeight="1" x14ac:dyDescent="0.4">
      <c r="A3" s="181" t="s">
        <v>118</v>
      </c>
      <c r="B3" s="181" t="s">
        <v>14</v>
      </c>
      <c r="C3" s="181" t="s">
        <v>15</v>
      </c>
      <c r="D3" s="183" t="s">
        <v>16</v>
      </c>
      <c r="E3" s="185" t="s">
        <v>13</v>
      </c>
      <c r="F3" s="187" t="s">
        <v>11</v>
      </c>
      <c r="G3" s="187" t="s">
        <v>12</v>
      </c>
      <c r="H3" s="189" t="s">
        <v>5</v>
      </c>
      <c r="I3" s="187" t="s">
        <v>2</v>
      </c>
      <c r="J3" s="187"/>
      <c r="K3" s="187"/>
      <c r="L3" s="177" t="s">
        <v>7</v>
      </c>
      <c r="M3" s="179" t="s">
        <v>119</v>
      </c>
      <c r="N3" s="22" t="s">
        <v>120</v>
      </c>
      <c r="O3" s="23" t="s">
        <v>121</v>
      </c>
    </row>
    <row r="4" spans="1:15" ht="17.25" customHeight="1" thickBot="1" x14ac:dyDescent="0.45">
      <c r="A4" s="182"/>
      <c r="B4" s="182"/>
      <c r="C4" s="182"/>
      <c r="D4" s="184"/>
      <c r="E4" s="186"/>
      <c r="F4" s="188"/>
      <c r="G4" s="188"/>
      <c r="H4" s="190"/>
      <c r="I4" s="35" t="s">
        <v>3</v>
      </c>
      <c r="J4" s="35" t="s">
        <v>4</v>
      </c>
      <c r="K4" s="35" t="s">
        <v>1</v>
      </c>
      <c r="L4" s="178"/>
      <c r="M4" s="179" t="s">
        <v>119</v>
      </c>
      <c r="N4" s="22" t="s">
        <v>120</v>
      </c>
      <c r="O4" s="23" t="s">
        <v>121</v>
      </c>
    </row>
    <row r="5" spans="1:15" thickBot="1" x14ac:dyDescent="0.45">
      <c r="A5" s="191" t="s">
        <v>124</v>
      </c>
      <c r="B5" s="194" t="s">
        <v>62</v>
      </c>
      <c r="C5" s="198" t="s">
        <v>63</v>
      </c>
      <c r="D5" s="201" t="s">
        <v>125</v>
      </c>
      <c r="E5" s="19" t="str">
        <f t="shared" ref="E5:E68" si="0">CONCATENATE("DEL_",M5)</f>
        <v>DEL_AL_VSD_AB_MS</v>
      </c>
      <c r="F5" s="20" t="s">
        <v>127</v>
      </c>
      <c r="G5" s="20"/>
      <c r="H5" s="21">
        <v>1</v>
      </c>
      <c r="I5" s="19">
        <v>0</v>
      </c>
      <c r="J5" s="19">
        <v>3600</v>
      </c>
      <c r="K5" s="19" t="s">
        <v>31</v>
      </c>
      <c r="L5" s="28"/>
      <c r="M5" s="4" t="s">
        <v>126</v>
      </c>
      <c r="N5" s="4">
        <v>0</v>
      </c>
      <c r="O5" s="4" t="s">
        <v>126</v>
      </c>
    </row>
    <row r="6" spans="1:15" thickBot="1" x14ac:dyDescent="0.45">
      <c r="A6" s="192"/>
      <c r="B6" s="195"/>
      <c r="C6" s="199"/>
      <c r="D6" s="202"/>
      <c r="E6" s="5" t="str">
        <f t="shared" si="0"/>
        <v>DEL_AL_MSD_UD_EGD</v>
      </c>
      <c r="F6" s="20" t="s">
        <v>129</v>
      </c>
      <c r="G6" s="16"/>
      <c r="H6" s="17">
        <v>0.1</v>
      </c>
      <c r="I6" s="5">
        <v>0</v>
      </c>
      <c r="J6" s="5">
        <v>3600</v>
      </c>
      <c r="K6" s="5" t="s">
        <v>31</v>
      </c>
      <c r="L6" s="29"/>
      <c r="M6" s="4" t="s">
        <v>128</v>
      </c>
      <c r="N6" s="4">
        <v>1</v>
      </c>
      <c r="O6" s="4" t="s">
        <v>128</v>
      </c>
    </row>
    <row r="7" spans="1:15" thickBot="1" x14ac:dyDescent="0.45">
      <c r="A7" s="192"/>
      <c r="B7" s="195"/>
      <c r="C7" s="199"/>
      <c r="D7" s="202"/>
      <c r="E7" s="5" t="str">
        <f t="shared" si="0"/>
        <v>DEL_AL_MSD_UD_EGS</v>
      </c>
      <c r="F7" s="20" t="s">
        <v>131</v>
      </c>
      <c r="G7" s="16"/>
      <c r="H7" s="17">
        <v>0.1</v>
      </c>
      <c r="I7" s="5">
        <v>0</v>
      </c>
      <c r="J7" s="5">
        <v>3600</v>
      </c>
      <c r="K7" s="5" t="s">
        <v>31</v>
      </c>
      <c r="L7" s="29"/>
      <c r="M7" s="4" t="s">
        <v>130</v>
      </c>
      <c r="N7" s="4">
        <v>2</v>
      </c>
      <c r="O7" s="4" t="s">
        <v>130</v>
      </c>
    </row>
    <row r="8" spans="1:15" thickBot="1" x14ac:dyDescent="0.45">
      <c r="A8" s="192"/>
      <c r="B8" s="195"/>
      <c r="C8" s="199"/>
      <c r="D8" s="202"/>
      <c r="E8" s="5" t="str">
        <f t="shared" si="0"/>
        <v>DEL_AL_MSD_UD_CME</v>
      </c>
      <c r="F8" s="20" t="s">
        <v>133</v>
      </c>
      <c r="G8" s="16"/>
      <c r="H8" s="17">
        <v>0.1</v>
      </c>
      <c r="I8" s="5">
        <v>0</v>
      </c>
      <c r="J8" s="5">
        <v>3600</v>
      </c>
      <c r="K8" s="5" t="s">
        <v>31</v>
      </c>
      <c r="L8" s="29"/>
      <c r="M8" s="4" t="s">
        <v>132</v>
      </c>
      <c r="N8" s="4">
        <v>3</v>
      </c>
      <c r="O8" s="4" t="s">
        <v>132</v>
      </c>
    </row>
    <row r="9" spans="1:15" thickBot="1" x14ac:dyDescent="0.45">
      <c r="A9" s="192"/>
      <c r="B9" s="195"/>
      <c r="C9" s="199"/>
      <c r="D9" s="202"/>
      <c r="E9" s="5" t="str">
        <f t="shared" si="0"/>
        <v>DEL_AL_NOT_UD_CMH</v>
      </c>
      <c r="F9" s="20" t="s">
        <v>135</v>
      </c>
      <c r="G9" s="16"/>
      <c r="H9" s="17">
        <v>1</v>
      </c>
      <c r="I9" s="5">
        <v>0</v>
      </c>
      <c r="J9" s="5">
        <v>3600</v>
      </c>
      <c r="K9" s="5" t="s">
        <v>31</v>
      </c>
      <c r="L9" s="29"/>
      <c r="M9" s="4" t="s">
        <v>134</v>
      </c>
      <c r="N9" s="4">
        <v>4</v>
      </c>
      <c r="O9" s="4" t="s">
        <v>134</v>
      </c>
    </row>
    <row r="10" spans="1:15" thickBot="1" x14ac:dyDescent="0.45">
      <c r="A10" s="192"/>
      <c r="B10" s="195"/>
      <c r="C10" s="199"/>
      <c r="D10" s="202"/>
      <c r="E10" s="5" t="str">
        <f t="shared" si="0"/>
        <v>DEL_AL_VSD_UD_RSV_FA</v>
      </c>
      <c r="F10" s="20" t="s">
        <v>137</v>
      </c>
      <c r="G10" s="16"/>
      <c r="H10" s="17">
        <v>10</v>
      </c>
      <c r="I10" s="5">
        <v>0</v>
      </c>
      <c r="J10" s="5">
        <v>3600</v>
      </c>
      <c r="K10" s="5" t="s">
        <v>21</v>
      </c>
      <c r="L10" s="29"/>
      <c r="M10" s="4" t="s">
        <v>136</v>
      </c>
      <c r="N10" s="4">
        <v>5</v>
      </c>
      <c r="O10" s="4" t="s">
        <v>136</v>
      </c>
    </row>
    <row r="11" spans="1:15" thickBot="1" x14ac:dyDescent="0.45">
      <c r="A11" s="192"/>
      <c r="B11" s="195"/>
      <c r="C11" s="199"/>
      <c r="D11" s="202"/>
      <c r="E11" s="5" t="str">
        <f t="shared" si="0"/>
        <v>DEL_AL_VSD_UD_RSV_SF</v>
      </c>
      <c r="F11" s="20" t="s">
        <v>139</v>
      </c>
      <c r="G11" s="16"/>
      <c r="H11" s="17">
        <v>1</v>
      </c>
      <c r="I11" s="5">
        <v>0</v>
      </c>
      <c r="J11" s="5">
        <v>3600</v>
      </c>
      <c r="K11" s="5" t="s">
        <v>21</v>
      </c>
      <c r="L11" s="29"/>
      <c r="M11" s="4" t="s">
        <v>138</v>
      </c>
      <c r="N11" s="4">
        <v>6</v>
      </c>
      <c r="O11" s="4" t="s">
        <v>138</v>
      </c>
    </row>
    <row r="12" spans="1:15" thickBot="1" x14ac:dyDescent="0.45">
      <c r="A12" s="192"/>
      <c r="B12" s="195"/>
      <c r="C12" s="199"/>
      <c r="D12" s="202"/>
      <c r="E12" s="5" t="str">
        <f t="shared" si="0"/>
        <v>DEL_AL_VSD_UD_RBV_FA</v>
      </c>
      <c r="F12" s="20" t="s">
        <v>140</v>
      </c>
      <c r="G12" s="16"/>
      <c r="H12" s="17">
        <v>10</v>
      </c>
      <c r="I12" s="5">
        <v>0</v>
      </c>
      <c r="J12" s="5">
        <v>3600</v>
      </c>
      <c r="K12" s="5" t="s">
        <v>21</v>
      </c>
      <c r="L12" s="29"/>
      <c r="M12" s="4" t="s">
        <v>260</v>
      </c>
      <c r="N12" s="4">
        <v>7</v>
      </c>
      <c r="O12" s="4" t="s">
        <v>260</v>
      </c>
    </row>
    <row r="13" spans="1:15" thickBot="1" x14ac:dyDescent="0.45">
      <c r="A13" s="192"/>
      <c r="B13" s="195"/>
      <c r="C13" s="199"/>
      <c r="D13" s="202"/>
      <c r="E13" s="5" t="str">
        <f t="shared" si="0"/>
        <v>DEL_AL_VSD_UD_RBV_SF</v>
      </c>
      <c r="F13" s="20" t="s">
        <v>142</v>
      </c>
      <c r="G13" s="16"/>
      <c r="H13" s="17">
        <v>1</v>
      </c>
      <c r="I13" s="5">
        <v>0</v>
      </c>
      <c r="J13" s="5">
        <v>3600</v>
      </c>
      <c r="K13" s="5" t="s">
        <v>21</v>
      </c>
      <c r="L13" s="29"/>
      <c r="M13" s="4" t="s">
        <v>141</v>
      </c>
      <c r="N13" s="4">
        <v>8</v>
      </c>
      <c r="O13" s="4" t="s">
        <v>141</v>
      </c>
    </row>
    <row r="14" spans="1:15" thickBot="1" x14ac:dyDescent="0.45">
      <c r="A14" s="192"/>
      <c r="B14" s="195"/>
      <c r="C14" s="199"/>
      <c r="D14" s="202"/>
      <c r="E14" s="5" t="str">
        <f t="shared" si="0"/>
        <v>DEL_AL_DEN_UD_FM_FO_DVTO</v>
      </c>
      <c r="F14" s="20" t="s">
        <v>144</v>
      </c>
      <c r="G14" s="6"/>
      <c r="H14" s="7">
        <v>600</v>
      </c>
      <c r="I14" s="5">
        <v>0</v>
      </c>
      <c r="J14" s="5">
        <v>3600</v>
      </c>
      <c r="K14" s="5" t="s">
        <v>31</v>
      </c>
      <c r="L14" s="29"/>
      <c r="M14" s="4" t="s">
        <v>143</v>
      </c>
      <c r="N14" s="4">
        <v>9</v>
      </c>
      <c r="O14" s="4" t="s">
        <v>143</v>
      </c>
    </row>
    <row r="15" spans="1:15" thickBot="1" x14ac:dyDescent="0.45">
      <c r="A15" s="192"/>
      <c r="B15" s="195"/>
      <c r="C15" s="199"/>
      <c r="D15" s="202"/>
      <c r="E15" s="5" t="str">
        <f t="shared" si="0"/>
        <v>DEL_AL_DEN_UD_FM_FO_STTO</v>
      </c>
      <c r="F15" s="20" t="s">
        <v>146</v>
      </c>
      <c r="G15" s="6"/>
      <c r="H15" s="7">
        <v>3600</v>
      </c>
      <c r="I15" s="5">
        <v>0</v>
      </c>
      <c r="J15" s="5">
        <v>18000</v>
      </c>
      <c r="K15" s="5" t="s">
        <v>31</v>
      </c>
      <c r="L15" s="29" t="s">
        <v>147</v>
      </c>
      <c r="M15" s="4" t="s">
        <v>145</v>
      </c>
      <c r="N15" s="4">
        <v>10</v>
      </c>
      <c r="O15" s="4" t="s">
        <v>145</v>
      </c>
    </row>
    <row r="16" spans="1:15" thickBot="1" x14ac:dyDescent="0.45">
      <c r="A16" s="192"/>
      <c r="B16" s="195"/>
      <c r="C16" s="199"/>
      <c r="D16" s="202"/>
      <c r="E16" s="5" t="str">
        <f t="shared" si="0"/>
        <v>DEL_AL_NOT_AB_PP1_RMT</v>
      </c>
      <c r="F16" s="20" t="s">
        <v>149</v>
      </c>
      <c r="G16" s="16"/>
      <c r="H16" s="17">
        <v>1</v>
      </c>
      <c r="I16" s="5">
        <v>0</v>
      </c>
      <c r="J16" s="5">
        <v>3600</v>
      </c>
      <c r="K16" s="5" t="s">
        <v>31</v>
      </c>
      <c r="L16" s="29"/>
      <c r="M16" s="4" t="s">
        <v>251</v>
      </c>
      <c r="N16" s="4">
        <v>11</v>
      </c>
      <c r="O16" s="4" t="s">
        <v>148</v>
      </c>
    </row>
    <row r="17" spans="1:15" thickBot="1" x14ac:dyDescent="0.45">
      <c r="A17" s="192"/>
      <c r="B17" s="195"/>
      <c r="C17" s="199"/>
      <c r="D17" s="202"/>
      <c r="E17" s="5" t="str">
        <f t="shared" si="0"/>
        <v>DEL_AL_NOT_AB_PP1_ABN</v>
      </c>
      <c r="F17" s="20" t="s">
        <v>151</v>
      </c>
      <c r="G17" s="16"/>
      <c r="H17" s="17">
        <v>1</v>
      </c>
      <c r="I17" s="5">
        <v>0</v>
      </c>
      <c r="J17" s="5">
        <v>3600</v>
      </c>
      <c r="K17" s="5" t="s">
        <v>31</v>
      </c>
      <c r="L17" s="29"/>
      <c r="M17" s="4" t="s">
        <v>252</v>
      </c>
      <c r="N17" s="4">
        <v>12</v>
      </c>
      <c r="O17" s="4" t="s">
        <v>150</v>
      </c>
    </row>
    <row r="18" spans="1:15" thickBot="1" x14ac:dyDescent="0.45">
      <c r="A18" s="192"/>
      <c r="B18" s="195"/>
      <c r="C18" s="199"/>
      <c r="D18" s="202"/>
      <c r="E18" s="5" t="str">
        <f t="shared" si="0"/>
        <v>DEL_AL_NOT_UD_PP1_FA</v>
      </c>
      <c r="F18" s="20" t="s">
        <v>153</v>
      </c>
      <c r="G18" s="16"/>
      <c r="H18" s="17">
        <v>10</v>
      </c>
      <c r="I18" s="5">
        <v>0</v>
      </c>
      <c r="J18" s="5">
        <v>3600</v>
      </c>
      <c r="K18" s="5" t="s">
        <v>31</v>
      </c>
      <c r="L18" s="29"/>
      <c r="M18" s="4" t="s">
        <v>253</v>
      </c>
      <c r="N18" s="4">
        <v>13</v>
      </c>
      <c r="O18" s="4" t="s">
        <v>152</v>
      </c>
    </row>
    <row r="19" spans="1:15" thickBot="1" x14ac:dyDescent="0.45">
      <c r="A19" s="192"/>
      <c r="B19" s="195"/>
      <c r="C19" s="199"/>
      <c r="D19" s="202"/>
      <c r="E19" s="5" t="str">
        <f t="shared" si="0"/>
        <v>DEL_AL_NOT_AB_PP2_RMT</v>
      </c>
      <c r="F19" s="20" t="s">
        <v>155</v>
      </c>
      <c r="G19" s="16"/>
      <c r="H19" s="17">
        <v>1</v>
      </c>
      <c r="I19" s="5">
        <v>0</v>
      </c>
      <c r="J19" s="5">
        <v>3600</v>
      </c>
      <c r="K19" s="5" t="s">
        <v>31</v>
      </c>
      <c r="L19" s="29"/>
      <c r="M19" s="4" t="s">
        <v>254</v>
      </c>
      <c r="N19" s="4">
        <v>14</v>
      </c>
      <c r="O19" s="4" t="s">
        <v>154</v>
      </c>
    </row>
    <row r="20" spans="1:15" thickBot="1" x14ac:dyDescent="0.45">
      <c r="A20" s="192"/>
      <c r="B20" s="195"/>
      <c r="C20" s="199"/>
      <c r="D20" s="202"/>
      <c r="E20" s="5" t="str">
        <f t="shared" si="0"/>
        <v>DEL_AL_NOT_AB_PP2_ABN</v>
      </c>
      <c r="F20" s="20" t="s">
        <v>157</v>
      </c>
      <c r="G20" s="16"/>
      <c r="H20" s="17">
        <v>1</v>
      </c>
      <c r="I20" s="5">
        <v>0</v>
      </c>
      <c r="J20" s="5">
        <v>3600</v>
      </c>
      <c r="K20" s="5" t="s">
        <v>31</v>
      </c>
      <c r="L20" s="29"/>
      <c r="M20" s="4" t="s">
        <v>255</v>
      </c>
      <c r="N20" s="4">
        <v>15</v>
      </c>
      <c r="O20" s="4" t="s">
        <v>156</v>
      </c>
    </row>
    <row r="21" spans="1:15" thickBot="1" x14ac:dyDescent="0.45">
      <c r="A21" s="192"/>
      <c r="B21" s="195"/>
      <c r="C21" s="199"/>
      <c r="D21" s="202"/>
      <c r="E21" s="5" t="str">
        <f t="shared" si="0"/>
        <v>DEL_AL_NOT_UD_PP2_FA</v>
      </c>
      <c r="F21" s="20" t="s">
        <v>159</v>
      </c>
      <c r="G21" s="16"/>
      <c r="H21" s="17">
        <v>10</v>
      </c>
      <c r="I21" s="5">
        <v>0</v>
      </c>
      <c r="J21" s="5">
        <v>3600</v>
      </c>
      <c r="K21" s="5" t="s">
        <v>31</v>
      </c>
      <c r="L21" s="29"/>
      <c r="M21" s="4" t="s">
        <v>256</v>
      </c>
      <c r="N21" s="4">
        <v>16</v>
      </c>
      <c r="O21" s="4" t="s">
        <v>158</v>
      </c>
    </row>
    <row r="22" spans="1:15" thickBot="1" x14ac:dyDescent="0.45">
      <c r="A22" s="192"/>
      <c r="B22" s="195"/>
      <c r="C22" s="199"/>
      <c r="D22" s="202"/>
      <c r="E22" s="5" t="str">
        <f t="shared" si="0"/>
        <v>DEL_AL_DEN_AB_TC_SFOI</v>
      </c>
      <c r="F22" s="20" t="s">
        <v>161</v>
      </c>
      <c r="G22" s="16"/>
      <c r="H22" s="17">
        <v>30</v>
      </c>
      <c r="I22" s="5">
        <v>0</v>
      </c>
      <c r="J22" s="5">
        <v>3600</v>
      </c>
      <c r="K22" s="5" t="s">
        <v>31</v>
      </c>
      <c r="L22" s="29"/>
      <c r="M22" s="4" t="s">
        <v>160</v>
      </c>
      <c r="N22" s="4">
        <v>17</v>
      </c>
      <c r="O22" s="4" t="s">
        <v>160</v>
      </c>
    </row>
    <row r="23" spans="1:15" thickBot="1" x14ac:dyDescent="0.45">
      <c r="A23" s="192"/>
      <c r="B23" s="195"/>
      <c r="C23" s="199"/>
      <c r="D23" s="202"/>
      <c r="E23" s="5" t="str">
        <f t="shared" si="0"/>
        <v>DEL_AL_DEN_UD_BN_NR</v>
      </c>
      <c r="F23" s="20" t="s">
        <v>162</v>
      </c>
      <c r="G23" s="16"/>
      <c r="H23" s="17">
        <v>1</v>
      </c>
      <c r="I23" s="5">
        <v>0</v>
      </c>
      <c r="J23" s="5">
        <v>3600</v>
      </c>
      <c r="K23" s="5" t="s">
        <v>31</v>
      </c>
      <c r="L23" s="29"/>
      <c r="M23" s="4" t="s">
        <v>257</v>
      </c>
      <c r="N23" s="4">
        <v>18</v>
      </c>
      <c r="O23" s="4" t="s">
        <v>257</v>
      </c>
    </row>
    <row r="24" spans="1:15" thickBot="1" x14ac:dyDescent="0.45">
      <c r="A24" s="192"/>
      <c r="B24" s="195"/>
      <c r="C24" s="199"/>
      <c r="D24" s="202"/>
      <c r="E24" s="5" t="str">
        <f t="shared" si="0"/>
        <v>DEL_AL_NOT_AB_BN_MI</v>
      </c>
      <c r="F24" s="20" t="s">
        <v>164</v>
      </c>
      <c r="G24" s="16"/>
      <c r="H24" s="17">
        <v>1</v>
      </c>
      <c r="I24" s="5">
        <v>0</v>
      </c>
      <c r="J24" s="5">
        <v>3600</v>
      </c>
      <c r="K24" s="5" t="s">
        <v>31</v>
      </c>
      <c r="L24" s="29"/>
      <c r="M24" s="4" t="s">
        <v>258</v>
      </c>
      <c r="N24" s="4">
        <v>19</v>
      </c>
      <c r="O24" s="4" t="s">
        <v>163</v>
      </c>
    </row>
    <row r="25" spans="1:15" thickBot="1" x14ac:dyDescent="0.45">
      <c r="A25" s="192"/>
      <c r="B25" s="195"/>
      <c r="C25" s="199"/>
      <c r="D25" s="202"/>
      <c r="E25" s="5" t="str">
        <f t="shared" si="0"/>
        <v>DEL_AL_DEN_AB_BN_MA</v>
      </c>
      <c r="F25" s="20" t="s">
        <v>166</v>
      </c>
      <c r="G25" s="16"/>
      <c r="H25" s="17">
        <v>1</v>
      </c>
      <c r="I25" s="5">
        <v>0</v>
      </c>
      <c r="J25" s="5">
        <v>3600</v>
      </c>
      <c r="K25" s="5" t="s">
        <v>31</v>
      </c>
      <c r="L25" s="29"/>
      <c r="M25" s="4" t="s">
        <v>165</v>
      </c>
      <c r="N25" s="4">
        <v>20</v>
      </c>
      <c r="O25" s="4" t="s">
        <v>165</v>
      </c>
    </row>
    <row r="26" spans="1:15" thickBot="1" x14ac:dyDescent="0.45">
      <c r="A26" s="192"/>
      <c r="B26" s="195"/>
      <c r="C26" s="199"/>
      <c r="D26" s="202"/>
      <c r="E26" s="5" t="str">
        <f t="shared" si="0"/>
        <v>DEL_AL_DEN_UD_BN_FA</v>
      </c>
      <c r="F26" s="20" t="s">
        <v>168</v>
      </c>
      <c r="G26" s="16"/>
      <c r="H26" s="17">
        <v>300</v>
      </c>
      <c r="I26" s="5">
        <v>0</v>
      </c>
      <c r="J26" s="5">
        <v>3600</v>
      </c>
      <c r="K26" s="5" t="s">
        <v>31</v>
      </c>
      <c r="L26" s="29"/>
      <c r="M26" s="4" t="s">
        <v>167</v>
      </c>
      <c r="N26" s="4">
        <v>21</v>
      </c>
      <c r="O26" s="4" t="s">
        <v>167</v>
      </c>
    </row>
    <row r="27" spans="1:15" thickBot="1" x14ac:dyDescent="0.45">
      <c r="A27" s="192"/>
      <c r="B27" s="195"/>
      <c r="C27" s="199"/>
      <c r="D27" s="202" t="s">
        <v>169</v>
      </c>
      <c r="E27" s="5" t="str">
        <f t="shared" si="0"/>
        <v>DEL_AL_VSD_SF_RTV</v>
      </c>
      <c r="F27" s="20" t="s">
        <v>170</v>
      </c>
      <c r="G27" s="16"/>
      <c r="H27" s="219">
        <v>1</v>
      </c>
      <c r="I27" s="214">
        <v>0</v>
      </c>
      <c r="J27" s="214">
        <v>3600</v>
      </c>
      <c r="K27" s="214" t="s">
        <v>21</v>
      </c>
      <c r="L27" s="29"/>
      <c r="M27" s="4" t="s">
        <v>234</v>
      </c>
      <c r="N27" s="4">
        <v>22</v>
      </c>
      <c r="O27" s="4" t="s">
        <v>234</v>
      </c>
    </row>
    <row r="28" spans="1:15" thickBot="1" x14ac:dyDescent="0.45">
      <c r="A28" s="192"/>
      <c r="B28" s="195"/>
      <c r="C28" s="199"/>
      <c r="D28" s="202"/>
      <c r="E28" s="5" t="str">
        <f t="shared" si="0"/>
        <v>DEL_AL_DEN_SF_PDT_CH</v>
      </c>
      <c r="F28" s="20" t="s">
        <v>171</v>
      </c>
      <c r="G28" s="16"/>
      <c r="H28" s="220"/>
      <c r="I28" s="215"/>
      <c r="J28" s="215"/>
      <c r="K28" s="215"/>
      <c r="L28" s="29"/>
      <c r="M28" s="4" t="s">
        <v>235</v>
      </c>
      <c r="N28" s="4">
        <v>23</v>
      </c>
      <c r="O28" s="4" t="s">
        <v>235</v>
      </c>
    </row>
    <row r="29" spans="1:15" thickBot="1" x14ac:dyDescent="0.45">
      <c r="A29" s="192"/>
      <c r="B29" s="195"/>
      <c r="C29" s="199"/>
      <c r="D29" s="202"/>
      <c r="E29" s="5" t="str">
        <f t="shared" si="0"/>
        <v>DEL_AL_MSD_SF_PDT_RBV</v>
      </c>
      <c r="F29" s="20" t="s">
        <v>172</v>
      </c>
      <c r="G29" s="16"/>
      <c r="H29" s="220"/>
      <c r="I29" s="215"/>
      <c r="J29" s="215"/>
      <c r="K29" s="215"/>
      <c r="L29" s="29"/>
      <c r="M29" s="4" t="s">
        <v>236</v>
      </c>
      <c r="N29" s="4">
        <v>24</v>
      </c>
      <c r="O29" s="4" t="s">
        <v>236</v>
      </c>
    </row>
    <row r="30" spans="1:15" thickBot="1" x14ac:dyDescent="0.45">
      <c r="A30" s="192"/>
      <c r="B30" s="195"/>
      <c r="C30" s="199"/>
      <c r="D30" s="202"/>
      <c r="E30" s="5" t="str">
        <f t="shared" si="0"/>
        <v>DEL_AL_NOT_SF_PDT_RTV</v>
      </c>
      <c r="F30" s="20" t="s">
        <v>173</v>
      </c>
      <c r="G30" s="16"/>
      <c r="H30" s="220"/>
      <c r="I30" s="215"/>
      <c r="J30" s="215"/>
      <c r="K30" s="215"/>
      <c r="L30" s="29"/>
      <c r="M30" s="4" t="s">
        <v>237</v>
      </c>
      <c r="N30" s="4">
        <v>25</v>
      </c>
      <c r="O30" s="4" t="s">
        <v>237</v>
      </c>
    </row>
    <row r="31" spans="1:15" thickBot="1" x14ac:dyDescent="0.45">
      <c r="A31" s="192"/>
      <c r="B31" s="195"/>
      <c r="C31" s="199"/>
      <c r="D31" s="202"/>
      <c r="E31" s="5" t="str">
        <f t="shared" si="0"/>
        <v>DEL_AL_NOT_SF_PDT_RTVS</v>
      </c>
      <c r="F31" s="20" t="s">
        <v>174</v>
      </c>
      <c r="G31" s="16"/>
      <c r="H31" s="220"/>
      <c r="I31" s="215"/>
      <c r="J31" s="215"/>
      <c r="K31" s="215"/>
      <c r="L31" s="29"/>
      <c r="M31" s="4" t="s">
        <v>238</v>
      </c>
      <c r="N31" s="4">
        <v>26</v>
      </c>
      <c r="O31" s="4" t="s">
        <v>238</v>
      </c>
    </row>
    <row r="32" spans="1:15" thickBot="1" x14ac:dyDescent="0.45">
      <c r="A32" s="192"/>
      <c r="B32" s="195"/>
      <c r="C32" s="199"/>
      <c r="D32" s="202"/>
      <c r="E32" s="5" t="str">
        <f t="shared" si="0"/>
        <v>DEL_AL_DEN_SF_TC_MXI</v>
      </c>
      <c r="F32" s="20" t="s">
        <v>175</v>
      </c>
      <c r="G32" s="16"/>
      <c r="H32" s="220"/>
      <c r="I32" s="215"/>
      <c r="J32" s="215"/>
      <c r="K32" s="215"/>
      <c r="L32" s="29"/>
      <c r="M32" s="4" t="s">
        <v>239</v>
      </c>
      <c r="N32" s="4">
        <v>27</v>
      </c>
      <c r="O32" s="4" t="s">
        <v>239</v>
      </c>
    </row>
    <row r="33" spans="1:15" thickBot="1" x14ac:dyDescent="0.45">
      <c r="A33" s="192"/>
      <c r="B33" s="195"/>
      <c r="C33" s="199"/>
      <c r="D33" s="202"/>
      <c r="E33" s="5" t="str">
        <f t="shared" si="0"/>
        <v>DEL_AL_DEN_SF_TC_CHI</v>
      </c>
      <c r="F33" s="20" t="s">
        <v>176</v>
      </c>
      <c r="G33" s="16"/>
      <c r="H33" s="220"/>
      <c r="I33" s="215"/>
      <c r="J33" s="215"/>
      <c r="K33" s="215"/>
      <c r="L33" s="29"/>
      <c r="M33" s="4" t="s">
        <v>248</v>
      </c>
      <c r="N33" s="4">
        <v>28</v>
      </c>
      <c r="O33" s="4" t="s">
        <v>248</v>
      </c>
    </row>
    <row r="34" spans="1:15" thickBot="1" x14ac:dyDescent="0.45">
      <c r="A34" s="192"/>
      <c r="B34" s="195"/>
      <c r="C34" s="199"/>
      <c r="D34" s="202"/>
      <c r="E34" s="5" t="str">
        <f t="shared" si="0"/>
        <v>DEL_AL_NOT_SF_TC_CHM</v>
      </c>
      <c r="F34" s="20" t="s">
        <v>177</v>
      </c>
      <c r="G34" s="16"/>
      <c r="H34" s="220"/>
      <c r="I34" s="215"/>
      <c r="J34" s="215"/>
      <c r="K34" s="215"/>
      <c r="L34" s="29"/>
      <c r="M34" s="4" t="s">
        <v>240</v>
      </c>
      <c r="N34" s="4">
        <v>29</v>
      </c>
      <c r="O34" s="4" t="s">
        <v>240</v>
      </c>
    </row>
    <row r="35" spans="1:15" thickBot="1" x14ac:dyDescent="0.45">
      <c r="A35" s="192"/>
      <c r="B35" s="195"/>
      <c r="C35" s="199"/>
      <c r="D35" s="202"/>
      <c r="E35" s="5" t="str">
        <f t="shared" si="0"/>
        <v>DEL_AL_DEN_SF_TC_CHO</v>
      </c>
      <c r="F35" s="20" t="s">
        <v>178</v>
      </c>
      <c r="G35" s="16"/>
      <c r="H35" s="220"/>
      <c r="I35" s="215"/>
      <c r="J35" s="215"/>
      <c r="K35" s="215"/>
      <c r="L35" s="29"/>
      <c r="M35" s="4" t="s">
        <v>241</v>
      </c>
      <c r="N35" s="4">
        <v>30</v>
      </c>
      <c r="O35" s="4" t="s">
        <v>241</v>
      </c>
    </row>
    <row r="36" spans="1:15" thickBot="1" x14ac:dyDescent="0.45">
      <c r="A36" s="192"/>
      <c r="B36" s="195"/>
      <c r="C36" s="199"/>
      <c r="D36" s="202"/>
      <c r="E36" s="5" t="str">
        <f t="shared" si="0"/>
        <v>DEL_AL_NOT_SF_FM_FO</v>
      </c>
      <c r="F36" s="20" t="s">
        <v>179</v>
      </c>
      <c r="G36" s="16"/>
      <c r="H36" s="220"/>
      <c r="I36" s="215"/>
      <c r="J36" s="215"/>
      <c r="K36" s="215"/>
      <c r="L36" s="29"/>
      <c r="M36" s="4" t="s">
        <v>242</v>
      </c>
      <c r="N36" s="4">
        <v>31</v>
      </c>
      <c r="O36" s="4" t="s">
        <v>242</v>
      </c>
    </row>
    <row r="37" spans="1:15" thickBot="1" x14ac:dyDescent="0.45">
      <c r="A37" s="192"/>
      <c r="B37" s="195"/>
      <c r="C37" s="199"/>
      <c r="D37" s="202"/>
      <c r="E37" s="5" t="str">
        <f t="shared" si="0"/>
        <v>DEL_AL_DEN_SF_PT_SFOI</v>
      </c>
      <c r="F37" s="20" t="s">
        <v>180</v>
      </c>
      <c r="G37" s="16"/>
      <c r="H37" s="220"/>
      <c r="I37" s="215"/>
      <c r="J37" s="215"/>
      <c r="K37" s="215"/>
      <c r="L37" s="29"/>
      <c r="M37" s="4" t="s">
        <v>243</v>
      </c>
      <c r="N37" s="4">
        <v>32</v>
      </c>
      <c r="O37" s="4" t="s">
        <v>243</v>
      </c>
    </row>
    <row r="38" spans="1:15" thickBot="1" x14ac:dyDescent="0.45">
      <c r="A38" s="192"/>
      <c r="B38" s="195"/>
      <c r="C38" s="199"/>
      <c r="D38" s="202"/>
      <c r="E38" s="5" t="str">
        <f t="shared" si="0"/>
        <v>DEL_AL_DEN_SF_PT_SFOO</v>
      </c>
      <c r="F38" s="20" t="s">
        <v>181</v>
      </c>
      <c r="G38" s="16"/>
      <c r="H38" s="220"/>
      <c r="I38" s="215"/>
      <c r="J38" s="215"/>
      <c r="K38" s="215"/>
      <c r="L38" s="29"/>
      <c r="M38" s="4" t="s">
        <v>244</v>
      </c>
      <c r="N38" s="4">
        <v>33</v>
      </c>
      <c r="O38" s="4" t="s">
        <v>244</v>
      </c>
    </row>
    <row r="39" spans="1:15" thickBot="1" x14ac:dyDescent="0.45">
      <c r="A39" s="192"/>
      <c r="B39" s="195"/>
      <c r="C39" s="199"/>
      <c r="D39" s="202"/>
      <c r="E39" s="5" t="str">
        <f t="shared" si="0"/>
        <v>DEL_AL_DEN_SF_PT_DFOI</v>
      </c>
      <c r="F39" s="20" t="s">
        <v>182</v>
      </c>
      <c r="G39" s="16"/>
      <c r="H39" s="220"/>
      <c r="I39" s="215"/>
      <c r="J39" s="215"/>
      <c r="K39" s="215"/>
      <c r="L39" s="29"/>
      <c r="M39" s="4" t="s">
        <v>245</v>
      </c>
      <c r="N39" s="4">
        <v>34</v>
      </c>
      <c r="O39" s="4" t="s">
        <v>245</v>
      </c>
    </row>
    <row r="40" spans="1:15" thickBot="1" x14ac:dyDescent="0.45">
      <c r="A40" s="192"/>
      <c r="B40" s="195"/>
      <c r="C40" s="199"/>
      <c r="D40" s="202"/>
      <c r="E40" s="5" t="str">
        <f t="shared" si="0"/>
        <v>DEL_AL_DEN_SF_PT_DFOM</v>
      </c>
      <c r="F40" s="20" t="s">
        <v>183</v>
      </c>
      <c r="G40" s="16"/>
      <c r="H40" s="220"/>
      <c r="I40" s="215"/>
      <c r="J40" s="215"/>
      <c r="K40" s="215"/>
      <c r="L40" s="29"/>
      <c r="M40" s="4" t="s">
        <v>247</v>
      </c>
      <c r="N40" s="4">
        <v>35</v>
      </c>
      <c r="O40" s="4" t="s">
        <v>247</v>
      </c>
    </row>
    <row r="41" spans="1:15" thickBot="1" x14ac:dyDescent="0.45">
      <c r="A41" s="192"/>
      <c r="B41" s="195"/>
      <c r="C41" s="199"/>
      <c r="D41" s="202"/>
      <c r="E41" s="5" t="str">
        <f t="shared" si="0"/>
        <v>DEL_AL_DEN_SF_PT_DFOO</v>
      </c>
      <c r="F41" s="20" t="s">
        <v>184</v>
      </c>
      <c r="G41" s="16"/>
      <c r="H41" s="220"/>
      <c r="I41" s="215"/>
      <c r="J41" s="215"/>
      <c r="K41" s="215"/>
      <c r="L41" s="29"/>
      <c r="M41" s="4" t="s">
        <v>246</v>
      </c>
      <c r="N41" s="4">
        <v>36</v>
      </c>
      <c r="O41" s="4" t="s">
        <v>246</v>
      </c>
    </row>
    <row r="42" spans="1:15" thickBot="1" x14ac:dyDescent="0.45">
      <c r="A42" s="192"/>
      <c r="B42" s="195"/>
      <c r="C42" s="199"/>
      <c r="D42" s="202"/>
      <c r="E42" s="5" t="str">
        <f t="shared" si="0"/>
        <v>DEL_AL_DEN_SF_PT_DAI</v>
      </c>
      <c r="F42" s="20" t="s">
        <v>185</v>
      </c>
      <c r="G42" s="16"/>
      <c r="H42" s="220"/>
      <c r="I42" s="215"/>
      <c r="J42" s="215"/>
      <c r="K42" s="215"/>
      <c r="L42" s="29"/>
      <c r="M42" s="4" t="s">
        <v>249</v>
      </c>
      <c r="N42" s="4">
        <v>37</v>
      </c>
      <c r="O42" s="4" t="s">
        <v>249</v>
      </c>
    </row>
    <row r="43" spans="1:15" thickBot="1" x14ac:dyDescent="0.45">
      <c r="A43" s="192"/>
      <c r="B43" s="195"/>
      <c r="C43" s="199"/>
      <c r="D43" s="203"/>
      <c r="E43" s="8" t="str">
        <f t="shared" si="0"/>
        <v>DEL_AL_DEN_SF_PT_DAO</v>
      </c>
      <c r="F43" s="20" t="s">
        <v>186</v>
      </c>
      <c r="G43" s="24"/>
      <c r="H43" s="221"/>
      <c r="I43" s="216"/>
      <c r="J43" s="216"/>
      <c r="K43" s="216"/>
      <c r="L43" s="30"/>
      <c r="M43" s="4" t="s">
        <v>250</v>
      </c>
      <c r="N43" s="4">
        <v>38</v>
      </c>
      <c r="O43" s="4" t="s">
        <v>250</v>
      </c>
    </row>
    <row r="44" spans="1:15" thickBot="1" x14ac:dyDescent="0.45">
      <c r="A44" s="192"/>
      <c r="B44" s="195"/>
      <c r="C44" s="199"/>
      <c r="D44" s="212" t="s">
        <v>187</v>
      </c>
      <c r="E44" s="18" t="str">
        <f t="shared" si="0"/>
        <v>DEL_AL_VSD_ER_RTV_FA</v>
      </c>
      <c r="F44" s="20" t="s">
        <v>67</v>
      </c>
      <c r="G44" s="16"/>
      <c r="H44" s="17">
        <v>60</v>
      </c>
      <c r="I44" s="18">
        <v>0</v>
      </c>
      <c r="J44" s="18">
        <v>3600</v>
      </c>
      <c r="K44" s="18" t="s">
        <v>21</v>
      </c>
      <c r="L44" s="29"/>
      <c r="M44" s="4" t="s">
        <v>188</v>
      </c>
      <c r="N44" s="4">
        <v>39</v>
      </c>
      <c r="O44" s="4" t="s">
        <v>188</v>
      </c>
    </row>
    <row r="45" spans="1:15" thickBot="1" x14ac:dyDescent="0.45">
      <c r="A45" s="192"/>
      <c r="B45" s="195"/>
      <c r="C45" s="199"/>
      <c r="D45" s="212"/>
      <c r="E45" s="5" t="str">
        <f t="shared" si="0"/>
        <v>DEL_AL_VSD_ER_RTV_DV</v>
      </c>
      <c r="F45" s="20" t="s">
        <v>68</v>
      </c>
      <c r="G45" s="16"/>
      <c r="H45" s="17">
        <v>180</v>
      </c>
      <c r="I45" s="5">
        <v>0</v>
      </c>
      <c r="J45" s="5">
        <v>3600</v>
      </c>
      <c r="K45" s="5" t="s">
        <v>31</v>
      </c>
      <c r="L45" s="29"/>
      <c r="M45" s="4" t="s">
        <v>189</v>
      </c>
      <c r="N45" s="4">
        <v>40</v>
      </c>
      <c r="O45" s="4" t="s">
        <v>189</v>
      </c>
    </row>
    <row r="46" spans="1:15" thickBot="1" x14ac:dyDescent="0.45">
      <c r="A46" s="192"/>
      <c r="B46" s="195"/>
      <c r="C46" s="199"/>
      <c r="D46" s="212"/>
      <c r="E46" s="5" t="str">
        <f t="shared" si="0"/>
        <v>DEL_AL_DEN_HH_PDT_CH</v>
      </c>
      <c r="F46" s="20" t="s">
        <v>69</v>
      </c>
      <c r="G46" s="16"/>
      <c r="H46" s="17">
        <v>60</v>
      </c>
      <c r="I46" s="5">
        <v>0</v>
      </c>
      <c r="J46" s="5">
        <v>3600</v>
      </c>
      <c r="K46" s="5" t="s">
        <v>31</v>
      </c>
      <c r="L46" s="29"/>
      <c r="M46" s="4" t="s">
        <v>190</v>
      </c>
      <c r="N46" s="4">
        <v>41</v>
      </c>
      <c r="O46" s="4" t="s">
        <v>190</v>
      </c>
    </row>
    <row r="47" spans="1:15" thickBot="1" x14ac:dyDescent="0.45">
      <c r="A47" s="192"/>
      <c r="B47" s="195"/>
      <c r="C47" s="199"/>
      <c r="D47" s="212"/>
      <c r="E47" s="5" t="str">
        <f t="shared" si="0"/>
        <v>DEL_AL_NOT_HO_PDT_CH</v>
      </c>
      <c r="F47" s="20" t="s">
        <v>70</v>
      </c>
      <c r="G47" s="16"/>
      <c r="H47" s="17">
        <v>60</v>
      </c>
      <c r="I47" s="5">
        <v>0</v>
      </c>
      <c r="J47" s="5">
        <v>3600</v>
      </c>
      <c r="K47" s="5" t="s">
        <v>31</v>
      </c>
      <c r="L47" s="29"/>
      <c r="M47" s="4" t="s">
        <v>191</v>
      </c>
      <c r="N47" s="4">
        <v>42</v>
      </c>
      <c r="O47" s="4" t="s">
        <v>191</v>
      </c>
    </row>
    <row r="48" spans="1:15" thickBot="1" x14ac:dyDescent="0.45">
      <c r="A48" s="192"/>
      <c r="B48" s="195"/>
      <c r="C48" s="199"/>
      <c r="D48" s="212"/>
      <c r="E48" s="5" t="str">
        <f t="shared" si="0"/>
        <v>DEL_AL_DEN_LO_PDT_CH</v>
      </c>
      <c r="F48" s="20" t="s">
        <v>71</v>
      </c>
      <c r="G48" s="16"/>
      <c r="H48" s="17">
        <v>60</v>
      </c>
      <c r="I48" s="5">
        <v>0</v>
      </c>
      <c r="J48" s="5">
        <v>3600</v>
      </c>
      <c r="K48" s="5" t="s">
        <v>31</v>
      </c>
      <c r="L48" s="29"/>
      <c r="M48" s="4" t="s">
        <v>259</v>
      </c>
      <c r="N48" s="4">
        <v>43</v>
      </c>
      <c r="O48" s="4" t="s">
        <v>192</v>
      </c>
    </row>
    <row r="49" spans="1:15" thickBot="1" x14ac:dyDescent="0.45">
      <c r="A49" s="192"/>
      <c r="B49" s="195"/>
      <c r="C49" s="199"/>
      <c r="D49" s="212"/>
      <c r="E49" s="5" t="str">
        <f t="shared" si="0"/>
        <v>DEL_AL_MSD_HH_PDT_RBV</v>
      </c>
      <c r="F49" s="20" t="s">
        <v>72</v>
      </c>
      <c r="G49" s="16"/>
      <c r="H49" s="17">
        <v>60</v>
      </c>
      <c r="I49" s="5">
        <v>0</v>
      </c>
      <c r="J49" s="5">
        <v>3600</v>
      </c>
      <c r="K49" s="5" t="s">
        <v>31</v>
      </c>
      <c r="L49" s="29"/>
      <c r="M49" s="4" t="s">
        <v>193</v>
      </c>
      <c r="N49" s="4">
        <v>44</v>
      </c>
      <c r="O49" s="4" t="s">
        <v>193</v>
      </c>
    </row>
    <row r="50" spans="1:15" thickBot="1" x14ac:dyDescent="0.45">
      <c r="A50" s="192"/>
      <c r="B50" s="195"/>
      <c r="C50" s="199"/>
      <c r="D50" s="212"/>
      <c r="E50" s="5" t="str">
        <f t="shared" si="0"/>
        <v>DEL_AL_NOT_HO_PDT_RBV</v>
      </c>
      <c r="F50" s="20" t="s">
        <v>73</v>
      </c>
      <c r="G50" s="16"/>
      <c r="H50" s="17">
        <v>60</v>
      </c>
      <c r="I50" s="5">
        <v>0</v>
      </c>
      <c r="J50" s="5">
        <v>3600</v>
      </c>
      <c r="K50" s="5" t="s">
        <v>31</v>
      </c>
      <c r="L50" s="29"/>
      <c r="M50" s="4" t="s">
        <v>194</v>
      </c>
      <c r="N50" s="4">
        <v>45</v>
      </c>
      <c r="O50" s="4" t="s">
        <v>194</v>
      </c>
    </row>
    <row r="51" spans="1:15" thickBot="1" x14ac:dyDescent="0.45">
      <c r="A51" s="192"/>
      <c r="B51" s="195"/>
      <c r="C51" s="199"/>
      <c r="D51" s="212"/>
      <c r="E51" s="5" t="str">
        <f t="shared" si="0"/>
        <v>DEL_AL_NOT_HH_PDT_RTV</v>
      </c>
      <c r="F51" s="20" t="s">
        <v>74</v>
      </c>
      <c r="G51" s="16"/>
      <c r="H51" s="17">
        <v>60</v>
      </c>
      <c r="I51" s="5">
        <v>0</v>
      </c>
      <c r="J51" s="5">
        <v>3600</v>
      </c>
      <c r="K51" s="5" t="s">
        <v>31</v>
      </c>
      <c r="L51" s="29"/>
      <c r="M51" s="4" t="s">
        <v>195</v>
      </c>
      <c r="N51" s="4">
        <v>46</v>
      </c>
      <c r="O51" s="4" t="s">
        <v>195</v>
      </c>
    </row>
    <row r="52" spans="1:15" thickBot="1" x14ac:dyDescent="0.45">
      <c r="A52" s="192"/>
      <c r="B52" s="195"/>
      <c r="C52" s="199"/>
      <c r="D52" s="212"/>
      <c r="E52" s="5" t="str">
        <f t="shared" si="0"/>
        <v>DEL_AL_NOT_HO_PDT_RTV</v>
      </c>
      <c r="F52" s="20" t="s">
        <v>75</v>
      </c>
      <c r="G52" s="16"/>
      <c r="H52" s="17">
        <v>60</v>
      </c>
      <c r="I52" s="5">
        <v>0</v>
      </c>
      <c r="J52" s="5">
        <v>3600</v>
      </c>
      <c r="K52" s="5" t="s">
        <v>31</v>
      </c>
      <c r="L52" s="29"/>
      <c r="M52" s="4" t="s">
        <v>196</v>
      </c>
      <c r="N52" s="4">
        <v>47</v>
      </c>
      <c r="O52" s="4" t="s">
        <v>196</v>
      </c>
    </row>
    <row r="53" spans="1:15" thickBot="1" x14ac:dyDescent="0.45">
      <c r="A53" s="192"/>
      <c r="B53" s="195"/>
      <c r="C53" s="199"/>
      <c r="D53" s="212"/>
      <c r="E53" s="5" t="str">
        <f t="shared" si="0"/>
        <v>DEL_AL_NOT_LO_PDT_RTV</v>
      </c>
      <c r="F53" s="20" t="s">
        <v>76</v>
      </c>
      <c r="G53" s="16"/>
      <c r="H53" s="17">
        <v>60</v>
      </c>
      <c r="I53" s="5">
        <v>0</v>
      </c>
      <c r="J53" s="5">
        <v>3600</v>
      </c>
      <c r="K53" s="5" t="s">
        <v>31</v>
      </c>
      <c r="L53" s="29"/>
      <c r="M53" s="4" t="s">
        <v>197</v>
      </c>
      <c r="N53" s="4">
        <v>48</v>
      </c>
      <c r="O53" s="4" t="s">
        <v>197</v>
      </c>
    </row>
    <row r="54" spans="1:15" thickBot="1" x14ac:dyDescent="0.45">
      <c r="A54" s="192"/>
      <c r="B54" s="195"/>
      <c r="C54" s="199"/>
      <c r="D54" s="212"/>
      <c r="E54" s="5" t="str">
        <f t="shared" si="0"/>
        <v>DEL_AL_MSD_HH_TC_CHI</v>
      </c>
      <c r="F54" s="20" t="s">
        <v>77</v>
      </c>
      <c r="G54" s="16"/>
      <c r="H54" s="17">
        <v>30</v>
      </c>
      <c r="I54" s="5">
        <v>0</v>
      </c>
      <c r="J54" s="5">
        <v>3600</v>
      </c>
      <c r="K54" s="5" t="s">
        <v>31</v>
      </c>
      <c r="L54" s="29"/>
      <c r="M54" s="4" t="s">
        <v>198</v>
      </c>
      <c r="N54" s="4">
        <v>49</v>
      </c>
      <c r="O54" s="4" t="s">
        <v>198</v>
      </c>
    </row>
    <row r="55" spans="1:15" thickBot="1" x14ac:dyDescent="0.45">
      <c r="A55" s="192"/>
      <c r="B55" s="195"/>
      <c r="C55" s="199"/>
      <c r="D55" s="212"/>
      <c r="E55" s="5" t="str">
        <f t="shared" si="0"/>
        <v>DEL_AL_NOT_HO_TC_CHI</v>
      </c>
      <c r="F55" s="20" t="s">
        <v>78</v>
      </c>
      <c r="G55" s="16"/>
      <c r="H55" s="17">
        <v>30</v>
      </c>
      <c r="I55" s="5">
        <v>0</v>
      </c>
      <c r="J55" s="5">
        <v>3600</v>
      </c>
      <c r="K55" s="5" t="s">
        <v>31</v>
      </c>
      <c r="L55" s="29"/>
      <c r="M55" s="4" t="s">
        <v>199</v>
      </c>
      <c r="N55" s="4">
        <v>50</v>
      </c>
      <c r="O55" s="4" t="s">
        <v>199</v>
      </c>
    </row>
    <row r="56" spans="1:15" thickBot="1" x14ac:dyDescent="0.45">
      <c r="A56" s="192"/>
      <c r="B56" s="195"/>
      <c r="C56" s="199"/>
      <c r="D56" s="212"/>
      <c r="E56" s="5" t="str">
        <f t="shared" si="0"/>
        <v>DEL_AL_NOT_LO_TC_CHI</v>
      </c>
      <c r="F56" s="20" t="s">
        <v>79</v>
      </c>
      <c r="G56" s="16"/>
      <c r="H56" s="17">
        <v>30</v>
      </c>
      <c r="I56" s="5">
        <v>0</v>
      </c>
      <c r="J56" s="5">
        <v>3600</v>
      </c>
      <c r="K56" s="5" t="s">
        <v>31</v>
      </c>
      <c r="L56" s="29"/>
      <c r="M56" s="4" t="s">
        <v>200</v>
      </c>
      <c r="N56" s="4">
        <v>51</v>
      </c>
      <c r="O56" s="4" t="s">
        <v>200</v>
      </c>
    </row>
    <row r="57" spans="1:15" thickBot="1" x14ac:dyDescent="0.45">
      <c r="A57" s="192"/>
      <c r="B57" s="195"/>
      <c r="C57" s="199"/>
      <c r="D57" s="212"/>
      <c r="E57" s="5" t="str">
        <f t="shared" si="0"/>
        <v>DEL_AL_MSD_LL_TC_CHI</v>
      </c>
      <c r="F57" s="20" t="s">
        <v>80</v>
      </c>
      <c r="G57" s="16"/>
      <c r="H57" s="17">
        <v>30</v>
      </c>
      <c r="I57" s="5">
        <v>0</v>
      </c>
      <c r="J57" s="5">
        <v>3600</v>
      </c>
      <c r="K57" s="5" t="s">
        <v>31</v>
      </c>
      <c r="L57" s="29"/>
      <c r="M57" s="4" t="s">
        <v>201</v>
      </c>
      <c r="N57" s="4">
        <v>52</v>
      </c>
      <c r="O57" s="4" t="s">
        <v>201</v>
      </c>
    </row>
    <row r="58" spans="1:15" thickBot="1" x14ac:dyDescent="0.45">
      <c r="A58" s="192"/>
      <c r="B58" s="195"/>
      <c r="C58" s="199"/>
      <c r="D58" s="212"/>
      <c r="E58" s="5" t="str">
        <f t="shared" si="0"/>
        <v>DEL_AL_MSD_HH_TC_CHM</v>
      </c>
      <c r="F58" s="20" t="s">
        <v>81</v>
      </c>
      <c r="G58" s="16"/>
      <c r="H58" s="17">
        <v>30</v>
      </c>
      <c r="I58" s="5">
        <v>0</v>
      </c>
      <c r="J58" s="5">
        <v>3600</v>
      </c>
      <c r="K58" s="5" t="s">
        <v>31</v>
      </c>
      <c r="L58" s="29"/>
      <c r="M58" s="4" t="s">
        <v>202</v>
      </c>
      <c r="N58" s="4">
        <v>53</v>
      </c>
      <c r="O58" s="4" t="s">
        <v>202</v>
      </c>
    </row>
    <row r="59" spans="1:15" thickBot="1" x14ac:dyDescent="0.45">
      <c r="A59" s="192"/>
      <c r="B59" s="195"/>
      <c r="C59" s="199"/>
      <c r="D59" s="212"/>
      <c r="E59" s="5" t="str">
        <f t="shared" si="0"/>
        <v>DEL_AL_NOT_HO_TC_CHM</v>
      </c>
      <c r="F59" s="20" t="s">
        <v>82</v>
      </c>
      <c r="G59" s="16"/>
      <c r="H59" s="17">
        <v>30</v>
      </c>
      <c r="I59" s="5">
        <v>0</v>
      </c>
      <c r="J59" s="5">
        <v>3600</v>
      </c>
      <c r="K59" s="5" t="s">
        <v>31</v>
      </c>
      <c r="L59" s="29"/>
      <c r="M59" s="4" t="s">
        <v>203</v>
      </c>
      <c r="N59" s="4">
        <v>54</v>
      </c>
      <c r="O59" s="4" t="s">
        <v>203</v>
      </c>
    </row>
    <row r="60" spans="1:15" thickBot="1" x14ac:dyDescent="0.45">
      <c r="A60" s="192"/>
      <c r="B60" s="195"/>
      <c r="C60" s="199"/>
      <c r="D60" s="212"/>
      <c r="E60" s="5" t="str">
        <f t="shared" si="0"/>
        <v>DEL_AL_NOT_LO_TC_CHM</v>
      </c>
      <c r="F60" s="20" t="s">
        <v>83</v>
      </c>
      <c r="G60" s="16"/>
      <c r="H60" s="17">
        <v>30</v>
      </c>
      <c r="I60" s="5">
        <v>0</v>
      </c>
      <c r="J60" s="5">
        <v>3600</v>
      </c>
      <c r="K60" s="5" t="s">
        <v>31</v>
      </c>
      <c r="L60" s="29"/>
      <c r="M60" s="4" t="s">
        <v>204</v>
      </c>
      <c r="N60" s="4">
        <v>55</v>
      </c>
      <c r="O60" s="4" t="s">
        <v>204</v>
      </c>
    </row>
    <row r="61" spans="1:15" thickBot="1" x14ac:dyDescent="0.45">
      <c r="A61" s="192"/>
      <c r="B61" s="195"/>
      <c r="C61" s="199"/>
      <c r="D61" s="212"/>
      <c r="E61" s="5" t="str">
        <f t="shared" si="0"/>
        <v>DEL_AL_MSD_LL_TC_CHM</v>
      </c>
      <c r="F61" s="20" t="s">
        <v>84</v>
      </c>
      <c r="G61" s="16"/>
      <c r="H61" s="17">
        <v>30</v>
      </c>
      <c r="I61" s="5">
        <v>0</v>
      </c>
      <c r="J61" s="5">
        <v>3600</v>
      </c>
      <c r="K61" s="5" t="s">
        <v>31</v>
      </c>
      <c r="L61" s="29"/>
      <c r="M61" s="4" t="s">
        <v>205</v>
      </c>
      <c r="N61" s="4">
        <v>56</v>
      </c>
      <c r="O61" s="4" t="s">
        <v>205</v>
      </c>
    </row>
    <row r="62" spans="1:15" thickBot="1" x14ac:dyDescent="0.45">
      <c r="A62" s="192"/>
      <c r="B62" s="195"/>
      <c r="C62" s="199"/>
      <c r="D62" s="212"/>
      <c r="E62" s="5" t="str">
        <f t="shared" si="0"/>
        <v>DEL_AL_MSD_HH_TC_CHO</v>
      </c>
      <c r="F62" s="20" t="s">
        <v>85</v>
      </c>
      <c r="G62" s="16"/>
      <c r="H62" s="17">
        <v>30</v>
      </c>
      <c r="I62" s="5">
        <v>0</v>
      </c>
      <c r="J62" s="5">
        <v>3600</v>
      </c>
      <c r="K62" s="5" t="s">
        <v>31</v>
      </c>
      <c r="L62" s="29"/>
      <c r="M62" s="4" t="s">
        <v>206</v>
      </c>
      <c r="N62" s="4">
        <v>57</v>
      </c>
      <c r="O62" s="4" t="s">
        <v>206</v>
      </c>
    </row>
    <row r="63" spans="1:15" thickBot="1" x14ac:dyDescent="0.45">
      <c r="A63" s="192"/>
      <c r="B63" s="195"/>
      <c r="C63" s="199"/>
      <c r="D63" s="212"/>
      <c r="E63" s="5" t="str">
        <f t="shared" si="0"/>
        <v>DEL_AL_NOT_HO_TC_CHO</v>
      </c>
      <c r="F63" s="20" t="s">
        <v>86</v>
      </c>
      <c r="G63" s="16"/>
      <c r="H63" s="17">
        <v>30</v>
      </c>
      <c r="I63" s="5">
        <v>0</v>
      </c>
      <c r="J63" s="5">
        <v>3600</v>
      </c>
      <c r="K63" s="5" t="s">
        <v>31</v>
      </c>
      <c r="L63" s="29"/>
      <c r="M63" s="4" t="s">
        <v>207</v>
      </c>
      <c r="N63" s="4">
        <v>58</v>
      </c>
      <c r="O63" s="4" t="s">
        <v>207</v>
      </c>
    </row>
    <row r="64" spans="1:15" thickBot="1" x14ac:dyDescent="0.45">
      <c r="A64" s="192"/>
      <c r="B64" s="195"/>
      <c r="C64" s="199"/>
      <c r="D64" s="212"/>
      <c r="E64" s="5" t="str">
        <f t="shared" si="0"/>
        <v>DEL_AL_NOT_LO_TC_CHO</v>
      </c>
      <c r="F64" s="20" t="s">
        <v>87</v>
      </c>
      <c r="G64" s="16"/>
      <c r="H64" s="17">
        <v>30</v>
      </c>
      <c r="I64" s="5">
        <v>0</v>
      </c>
      <c r="J64" s="5">
        <v>3600</v>
      </c>
      <c r="K64" s="5" t="s">
        <v>31</v>
      </c>
      <c r="L64" s="29"/>
      <c r="M64" s="4" t="s">
        <v>208</v>
      </c>
      <c r="N64" s="4">
        <v>59</v>
      </c>
      <c r="O64" s="4" t="s">
        <v>208</v>
      </c>
    </row>
    <row r="65" spans="1:15" thickBot="1" x14ac:dyDescent="0.45">
      <c r="A65" s="192"/>
      <c r="B65" s="195"/>
      <c r="C65" s="199"/>
      <c r="D65" s="217"/>
      <c r="E65" s="8" t="str">
        <f t="shared" si="0"/>
        <v>DEL_AL_MSD_LL_TC_CHO</v>
      </c>
      <c r="F65" s="20" t="s">
        <v>88</v>
      </c>
      <c r="G65" s="16"/>
      <c r="H65" s="17">
        <v>30</v>
      </c>
      <c r="I65" s="5">
        <v>0</v>
      </c>
      <c r="J65" s="5">
        <v>3600</v>
      </c>
      <c r="K65" s="5" t="s">
        <v>31</v>
      </c>
      <c r="L65" s="29"/>
      <c r="M65" s="4" t="s">
        <v>209</v>
      </c>
      <c r="N65" s="4">
        <v>60</v>
      </c>
      <c r="O65" s="4" t="s">
        <v>209</v>
      </c>
    </row>
    <row r="66" spans="1:15" thickBot="1" x14ac:dyDescent="0.45">
      <c r="A66" s="192"/>
      <c r="B66" s="196"/>
      <c r="C66" s="199"/>
      <c r="D66" s="218" t="s">
        <v>65</v>
      </c>
      <c r="E66" s="18" t="str">
        <f t="shared" si="0"/>
        <v>DEL_AL_NOT_HH_FM_FO</v>
      </c>
      <c r="F66" s="20" t="s">
        <v>89</v>
      </c>
      <c r="G66" s="26"/>
      <c r="H66" s="27">
        <v>100</v>
      </c>
      <c r="I66" s="25">
        <v>0</v>
      </c>
      <c r="J66" s="25">
        <v>3600</v>
      </c>
      <c r="K66" s="25" t="s">
        <v>31</v>
      </c>
      <c r="L66" s="31"/>
      <c r="M66" s="4" t="s">
        <v>210</v>
      </c>
      <c r="N66" s="4">
        <v>61</v>
      </c>
      <c r="O66" s="4" t="s">
        <v>210</v>
      </c>
    </row>
    <row r="67" spans="1:15" thickBot="1" x14ac:dyDescent="0.45">
      <c r="A67" s="192"/>
      <c r="B67" s="196"/>
      <c r="C67" s="199"/>
      <c r="D67" s="212"/>
      <c r="E67" s="5" t="str">
        <f t="shared" si="0"/>
        <v>DEL_AL_NOT_HO_FM_FO</v>
      </c>
      <c r="F67" s="20" t="s">
        <v>90</v>
      </c>
      <c r="G67" s="6"/>
      <c r="H67" s="7">
        <v>100</v>
      </c>
      <c r="I67" s="5">
        <v>0</v>
      </c>
      <c r="J67" s="5">
        <v>3600</v>
      </c>
      <c r="K67" s="5" t="s">
        <v>31</v>
      </c>
      <c r="L67" s="32"/>
      <c r="M67" s="4" t="s">
        <v>211</v>
      </c>
      <c r="N67" s="4">
        <v>62</v>
      </c>
      <c r="O67" s="4" t="s">
        <v>211</v>
      </c>
    </row>
    <row r="68" spans="1:15" thickBot="1" x14ac:dyDescent="0.45">
      <c r="A68" s="192"/>
      <c r="B68" s="196"/>
      <c r="C68" s="199"/>
      <c r="D68" s="212"/>
      <c r="E68" s="5" t="str">
        <f t="shared" si="0"/>
        <v>DEL_AL_NOT_ER_FM_FO</v>
      </c>
      <c r="F68" s="20" t="s">
        <v>64</v>
      </c>
      <c r="G68" s="6"/>
      <c r="H68" s="7">
        <v>120</v>
      </c>
      <c r="I68" s="5">
        <v>0</v>
      </c>
      <c r="J68" s="5">
        <v>3600</v>
      </c>
      <c r="K68" s="5" t="s">
        <v>31</v>
      </c>
      <c r="L68" s="32"/>
      <c r="M68" s="4" t="s">
        <v>212</v>
      </c>
      <c r="N68" s="4">
        <v>63</v>
      </c>
      <c r="O68" s="4" t="s">
        <v>212</v>
      </c>
    </row>
    <row r="69" spans="1:15" thickBot="1" x14ac:dyDescent="0.45">
      <c r="A69" s="192"/>
      <c r="B69" s="196"/>
      <c r="C69" s="199"/>
      <c r="D69" s="212"/>
      <c r="E69" s="5" t="str">
        <f t="shared" ref="E69:E85" si="1">CONCATENATE("DEL_",M69)</f>
        <v>DEL_AL_DEN_LO_PT_SFOI</v>
      </c>
      <c r="F69" s="20" t="s">
        <v>214</v>
      </c>
      <c r="G69" s="6"/>
      <c r="H69" s="7">
        <v>2</v>
      </c>
      <c r="I69" s="5">
        <v>0</v>
      </c>
      <c r="J69" s="5">
        <v>3600</v>
      </c>
      <c r="K69" s="5" t="s">
        <v>31</v>
      </c>
      <c r="L69" s="32"/>
      <c r="M69" s="4" t="s">
        <v>213</v>
      </c>
      <c r="N69" s="4">
        <v>64</v>
      </c>
      <c r="O69" s="4" t="s">
        <v>213</v>
      </c>
    </row>
    <row r="70" spans="1:15" thickBot="1" x14ac:dyDescent="0.45">
      <c r="A70" s="192"/>
      <c r="B70" s="196"/>
      <c r="C70" s="199"/>
      <c r="D70" s="212"/>
      <c r="E70" s="5" t="str">
        <f t="shared" si="1"/>
        <v>DEL_AL_DEN_HH_PT_SFOO</v>
      </c>
      <c r="F70" s="20" t="s">
        <v>91</v>
      </c>
      <c r="G70" s="6"/>
      <c r="H70" s="7">
        <v>10</v>
      </c>
      <c r="I70" s="5">
        <v>0</v>
      </c>
      <c r="J70" s="5">
        <v>3600</v>
      </c>
      <c r="K70" s="5" t="s">
        <v>31</v>
      </c>
      <c r="L70" s="32"/>
      <c r="M70" s="4" t="s">
        <v>215</v>
      </c>
      <c r="N70" s="4">
        <v>65</v>
      </c>
      <c r="O70" s="4" t="s">
        <v>215</v>
      </c>
    </row>
    <row r="71" spans="1:15" thickBot="1" x14ac:dyDescent="0.45">
      <c r="A71" s="192"/>
      <c r="B71" s="196"/>
      <c r="C71" s="199"/>
      <c r="D71" s="212"/>
      <c r="E71" s="5" t="str">
        <f t="shared" si="1"/>
        <v>DEL_AL_NOT_HO_PT_SFOO</v>
      </c>
      <c r="F71" s="20" t="s">
        <v>92</v>
      </c>
      <c r="G71" s="6"/>
      <c r="H71" s="7">
        <v>10</v>
      </c>
      <c r="I71" s="5">
        <v>0</v>
      </c>
      <c r="J71" s="5">
        <v>3600</v>
      </c>
      <c r="K71" s="5" t="s">
        <v>31</v>
      </c>
      <c r="L71" s="32"/>
      <c r="M71" s="4" t="s">
        <v>216</v>
      </c>
      <c r="N71" s="4">
        <v>66</v>
      </c>
      <c r="O71" s="4" t="s">
        <v>216</v>
      </c>
    </row>
    <row r="72" spans="1:15" thickBot="1" x14ac:dyDescent="0.45">
      <c r="A72" s="192"/>
      <c r="B72" s="196"/>
      <c r="C72" s="199"/>
      <c r="D72" s="212"/>
      <c r="E72" s="5" t="str">
        <f t="shared" si="1"/>
        <v>DEL_AL_NOT_LO_PT_SFOO</v>
      </c>
      <c r="F72" s="20" t="s">
        <v>93</v>
      </c>
      <c r="G72" s="6"/>
      <c r="H72" s="7">
        <v>10</v>
      </c>
      <c r="I72" s="5">
        <v>0</v>
      </c>
      <c r="J72" s="5">
        <v>3600</v>
      </c>
      <c r="K72" s="5" t="s">
        <v>31</v>
      </c>
      <c r="L72" s="32"/>
      <c r="M72" s="4" t="s">
        <v>217</v>
      </c>
      <c r="N72" s="4">
        <v>67</v>
      </c>
      <c r="O72" s="4" t="s">
        <v>217</v>
      </c>
    </row>
    <row r="73" spans="1:15" thickBot="1" x14ac:dyDescent="0.45">
      <c r="A73" s="192"/>
      <c r="B73" s="196"/>
      <c r="C73" s="199"/>
      <c r="D73" s="212"/>
      <c r="E73" s="5" t="str">
        <f t="shared" si="1"/>
        <v>DEL_AL_NOT_LL_PT_SFOO</v>
      </c>
      <c r="F73" s="20" t="s">
        <v>94</v>
      </c>
      <c r="G73" s="6"/>
      <c r="H73" s="7">
        <v>10</v>
      </c>
      <c r="I73" s="5">
        <v>0</v>
      </c>
      <c r="J73" s="5">
        <v>3600</v>
      </c>
      <c r="K73" s="5" t="s">
        <v>31</v>
      </c>
      <c r="L73" s="32"/>
      <c r="M73" s="4" t="s">
        <v>218</v>
      </c>
      <c r="N73" s="4">
        <v>68</v>
      </c>
      <c r="O73" s="4" t="s">
        <v>218</v>
      </c>
    </row>
    <row r="74" spans="1:15" thickBot="1" x14ac:dyDescent="0.45">
      <c r="A74" s="192"/>
      <c r="B74" s="196"/>
      <c r="C74" s="199"/>
      <c r="D74" s="212"/>
      <c r="E74" s="5" t="str">
        <f t="shared" si="1"/>
        <v>DEL_AL_DEN_HH_PT_DFOI</v>
      </c>
      <c r="F74" s="20" t="s">
        <v>95</v>
      </c>
      <c r="G74" s="6"/>
      <c r="H74" s="7">
        <v>10</v>
      </c>
      <c r="I74" s="5">
        <v>0</v>
      </c>
      <c r="J74" s="5">
        <v>3600</v>
      </c>
      <c r="K74" s="5" t="s">
        <v>31</v>
      </c>
      <c r="L74" s="32"/>
      <c r="M74" s="4" t="s">
        <v>219</v>
      </c>
      <c r="N74" s="4">
        <v>69</v>
      </c>
      <c r="O74" s="4" t="s">
        <v>219</v>
      </c>
    </row>
    <row r="75" spans="1:15" thickBot="1" x14ac:dyDescent="0.45">
      <c r="A75" s="192"/>
      <c r="B75" s="196"/>
      <c r="C75" s="199"/>
      <c r="D75" s="212"/>
      <c r="E75" s="5" t="str">
        <f t="shared" si="1"/>
        <v>DEL_AL_NOT_HO_PT_DFOI</v>
      </c>
      <c r="F75" s="20" t="s">
        <v>96</v>
      </c>
      <c r="G75" s="6"/>
      <c r="H75" s="7">
        <v>10</v>
      </c>
      <c r="I75" s="5">
        <v>0</v>
      </c>
      <c r="J75" s="5">
        <v>3600</v>
      </c>
      <c r="K75" s="5" t="s">
        <v>31</v>
      </c>
      <c r="L75" s="32"/>
      <c r="M75" s="4" t="s">
        <v>220</v>
      </c>
      <c r="N75" s="4">
        <v>70</v>
      </c>
      <c r="O75" s="4" t="s">
        <v>220</v>
      </c>
    </row>
    <row r="76" spans="1:15" thickBot="1" x14ac:dyDescent="0.45">
      <c r="A76" s="192"/>
      <c r="B76" s="196"/>
      <c r="C76" s="199"/>
      <c r="D76" s="212"/>
      <c r="E76" s="5" t="str">
        <f t="shared" si="1"/>
        <v>DEL_AL_NOT_LO_PT_DFOI</v>
      </c>
      <c r="F76" s="20" t="s">
        <v>97</v>
      </c>
      <c r="G76" s="6"/>
      <c r="H76" s="7">
        <v>10</v>
      </c>
      <c r="I76" s="5">
        <v>0</v>
      </c>
      <c r="J76" s="5">
        <v>3600</v>
      </c>
      <c r="K76" s="5" t="s">
        <v>31</v>
      </c>
      <c r="L76" s="32"/>
      <c r="M76" s="4" t="s">
        <v>221</v>
      </c>
      <c r="N76" s="4">
        <v>71</v>
      </c>
      <c r="O76" s="4" t="s">
        <v>221</v>
      </c>
    </row>
    <row r="77" spans="1:15" thickBot="1" x14ac:dyDescent="0.45">
      <c r="A77" s="192"/>
      <c r="B77" s="196"/>
      <c r="C77" s="199"/>
      <c r="D77" s="212"/>
      <c r="E77" s="5" t="str">
        <f t="shared" si="1"/>
        <v>DEL_AL_DEN_LL_PT_DFOI</v>
      </c>
      <c r="F77" s="20" t="s">
        <v>98</v>
      </c>
      <c r="G77" s="6"/>
      <c r="H77" s="7">
        <v>10</v>
      </c>
      <c r="I77" s="5">
        <v>0</v>
      </c>
      <c r="J77" s="5">
        <v>3600</v>
      </c>
      <c r="K77" s="5" t="s">
        <v>31</v>
      </c>
      <c r="L77" s="32"/>
      <c r="M77" s="4" t="s">
        <v>222</v>
      </c>
      <c r="N77" s="4">
        <v>72</v>
      </c>
      <c r="O77" s="4" t="s">
        <v>222</v>
      </c>
    </row>
    <row r="78" spans="1:15" thickBot="1" x14ac:dyDescent="0.45">
      <c r="A78" s="192"/>
      <c r="B78" s="196"/>
      <c r="C78" s="199"/>
      <c r="D78" s="212"/>
      <c r="E78" s="5" t="str">
        <f t="shared" si="1"/>
        <v>DEL_AL_NOT_LO_PT_DFOM</v>
      </c>
      <c r="F78" s="20" t="s">
        <v>99</v>
      </c>
      <c r="G78" s="6"/>
      <c r="H78" s="7">
        <v>10</v>
      </c>
      <c r="I78" s="5">
        <v>0</v>
      </c>
      <c r="J78" s="5">
        <v>3600</v>
      </c>
      <c r="K78" s="5" t="s">
        <v>31</v>
      </c>
      <c r="L78" s="32"/>
      <c r="M78" s="4" t="s">
        <v>223</v>
      </c>
      <c r="N78" s="4">
        <v>73</v>
      </c>
      <c r="O78" s="4" t="s">
        <v>223</v>
      </c>
    </row>
    <row r="79" spans="1:15" thickBot="1" x14ac:dyDescent="0.45">
      <c r="A79" s="192"/>
      <c r="B79" s="196"/>
      <c r="C79" s="199"/>
      <c r="D79" s="212"/>
      <c r="E79" s="5" t="str">
        <f t="shared" si="1"/>
        <v>DEL_AL_DEN_LL_PT_DFOM</v>
      </c>
      <c r="F79" s="20" t="s">
        <v>100</v>
      </c>
      <c r="G79" s="6"/>
      <c r="H79" s="7">
        <v>10</v>
      </c>
      <c r="I79" s="5">
        <v>0</v>
      </c>
      <c r="J79" s="5">
        <v>3600</v>
      </c>
      <c r="K79" s="5" t="s">
        <v>31</v>
      </c>
      <c r="L79" s="32"/>
      <c r="M79" s="4" t="s">
        <v>224</v>
      </c>
      <c r="N79" s="4">
        <v>74</v>
      </c>
      <c r="O79" s="4" t="s">
        <v>224</v>
      </c>
    </row>
    <row r="80" spans="1:15" thickBot="1" x14ac:dyDescent="0.45">
      <c r="A80" s="192"/>
      <c r="B80" s="196"/>
      <c r="C80" s="199"/>
      <c r="D80" s="212"/>
      <c r="E80" s="5" t="str">
        <f t="shared" si="1"/>
        <v>DEL_AL_NOT_LO_PT_DFOO</v>
      </c>
      <c r="F80" s="20" t="s">
        <v>101</v>
      </c>
      <c r="G80" s="6"/>
      <c r="H80" s="7">
        <v>10</v>
      </c>
      <c r="I80" s="5">
        <v>0</v>
      </c>
      <c r="J80" s="5">
        <v>3600</v>
      </c>
      <c r="K80" s="5" t="s">
        <v>31</v>
      </c>
      <c r="L80" s="32"/>
      <c r="M80" s="4" t="s">
        <v>225</v>
      </c>
      <c r="N80" s="4">
        <v>75</v>
      </c>
      <c r="O80" s="4" t="s">
        <v>225</v>
      </c>
    </row>
    <row r="81" spans="1:15" thickBot="1" x14ac:dyDescent="0.45">
      <c r="A81" s="192"/>
      <c r="B81" s="196"/>
      <c r="C81" s="199"/>
      <c r="D81" s="212"/>
      <c r="E81" s="5" t="str">
        <f t="shared" si="1"/>
        <v>DEL_AL_DEN_LL_PT_DFOO</v>
      </c>
      <c r="F81" s="20" t="s">
        <v>102</v>
      </c>
      <c r="G81" s="6"/>
      <c r="H81" s="7">
        <v>10</v>
      </c>
      <c r="I81" s="5">
        <v>0</v>
      </c>
      <c r="J81" s="5">
        <v>3600</v>
      </c>
      <c r="K81" s="5" t="s">
        <v>31</v>
      </c>
      <c r="L81" s="32"/>
      <c r="M81" s="4" t="s">
        <v>226</v>
      </c>
      <c r="N81" s="4">
        <v>76</v>
      </c>
      <c r="O81" s="4" t="s">
        <v>226</v>
      </c>
    </row>
    <row r="82" spans="1:15" thickBot="1" x14ac:dyDescent="0.45">
      <c r="A82" s="192"/>
      <c r="B82" s="196"/>
      <c r="C82" s="199"/>
      <c r="D82" s="212"/>
      <c r="E82" s="5" t="str">
        <f t="shared" si="1"/>
        <v>DEL_AL_NOT_LO_PT_DAI</v>
      </c>
      <c r="F82" s="20" t="s">
        <v>103</v>
      </c>
      <c r="G82" s="6"/>
      <c r="H82" s="7">
        <v>10</v>
      </c>
      <c r="I82" s="5">
        <v>0</v>
      </c>
      <c r="J82" s="5">
        <v>3600</v>
      </c>
      <c r="K82" s="5" t="s">
        <v>31</v>
      </c>
      <c r="L82" s="32"/>
      <c r="M82" s="4" t="s">
        <v>227</v>
      </c>
      <c r="N82" s="4">
        <v>77</v>
      </c>
      <c r="O82" s="4" t="s">
        <v>227</v>
      </c>
    </row>
    <row r="83" spans="1:15" thickBot="1" x14ac:dyDescent="0.45">
      <c r="A83" s="192"/>
      <c r="B83" s="196"/>
      <c r="C83" s="199"/>
      <c r="D83" s="212"/>
      <c r="E83" s="5" t="str">
        <f t="shared" si="1"/>
        <v>DEL_AL_DEN_LL_PT_DAI</v>
      </c>
      <c r="F83" s="20" t="s">
        <v>104</v>
      </c>
      <c r="G83" s="6"/>
      <c r="H83" s="7">
        <v>10</v>
      </c>
      <c r="I83" s="5">
        <v>0</v>
      </c>
      <c r="J83" s="5">
        <v>3600</v>
      </c>
      <c r="K83" s="5" t="s">
        <v>31</v>
      </c>
      <c r="L83" s="32"/>
      <c r="M83" s="4" t="s">
        <v>228</v>
      </c>
      <c r="N83" s="4">
        <v>78</v>
      </c>
      <c r="O83" s="4" t="s">
        <v>228</v>
      </c>
    </row>
    <row r="84" spans="1:15" thickBot="1" x14ac:dyDescent="0.45">
      <c r="A84" s="192"/>
      <c r="B84" s="196"/>
      <c r="C84" s="199"/>
      <c r="D84" s="212"/>
      <c r="E84" s="5" t="str">
        <f t="shared" si="1"/>
        <v>DEL_AL_NOT_LO_PT_DAO</v>
      </c>
      <c r="F84" s="20" t="s">
        <v>105</v>
      </c>
      <c r="G84" s="6"/>
      <c r="H84" s="7">
        <v>10</v>
      </c>
      <c r="I84" s="5">
        <v>0</v>
      </c>
      <c r="J84" s="5">
        <v>3600</v>
      </c>
      <c r="K84" s="5" t="s">
        <v>31</v>
      </c>
      <c r="L84" s="32"/>
      <c r="M84" s="4" t="s">
        <v>229</v>
      </c>
      <c r="N84" s="4">
        <v>79</v>
      </c>
      <c r="O84" s="4" t="s">
        <v>229</v>
      </c>
    </row>
    <row r="85" spans="1:15" ht="15" x14ac:dyDescent="0.4">
      <c r="A85" s="192"/>
      <c r="B85" s="196"/>
      <c r="C85" s="199"/>
      <c r="D85" s="217"/>
      <c r="E85" s="8" t="str">
        <f t="shared" si="1"/>
        <v>DEL_AL_DEN_LL_PT_DAO</v>
      </c>
      <c r="F85" s="20" t="s">
        <v>106</v>
      </c>
      <c r="G85" s="9"/>
      <c r="H85" s="10">
        <v>10</v>
      </c>
      <c r="I85" s="8">
        <v>0</v>
      </c>
      <c r="J85" s="8">
        <v>3600</v>
      </c>
      <c r="K85" s="8" t="s">
        <v>31</v>
      </c>
      <c r="L85" s="33"/>
      <c r="M85" s="4" t="s">
        <v>230</v>
      </c>
      <c r="N85" s="4">
        <v>80</v>
      </c>
      <c r="O85" s="4" t="s">
        <v>230</v>
      </c>
    </row>
    <row r="86" spans="1:15" ht="15" x14ac:dyDescent="0.4">
      <c r="A86" s="192"/>
      <c r="B86" s="196"/>
      <c r="C86" s="199"/>
      <c r="D86" s="212" t="s">
        <v>66</v>
      </c>
      <c r="E86" s="18"/>
      <c r="F86" s="16"/>
      <c r="G86" s="16"/>
      <c r="H86" s="17"/>
      <c r="I86" s="18">
        <v>0</v>
      </c>
      <c r="J86" s="18">
        <v>3600</v>
      </c>
      <c r="K86" s="18" t="s">
        <v>31</v>
      </c>
      <c r="L86" s="29"/>
      <c r="M86" s="4"/>
      <c r="N86" s="4"/>
      <c r="O86" s="4"/>
    </row>
    <row r="87" spans="1:15" thickBot="1" x14ac:dyDescent="0.45">
      <c r="A87" s="193"/>
      <c r="B87" s="196"/>
      <c r="C87" s="200"/>
      <c r="D87" s="213"/>
      <c r="E87" s="13"/>
      <c r="F87" s="14"/>
      <c r="G87" s="14"/>
      <c r="H87" s="15"/>
      <c r="I87" s="13">
        <v>0</v>
      </c>
      <c r="J87" s="13">
        <v>3600</v>
      </c>
      <c r="K87" s="13" t="s">
        <v>31</v>
      </c>
      <c r="L87" s="34"/>
      <c r="M87" s="4"/>
      <c r="N87" s="4"/>
      <c r="O87" s="4"/>
    </row>
    <row r="88" spans="1:15" ht="15" x14ac:dyDescent="0.4">
      <c r="A88" s="204" t="s">
        <v>231</v>
      </c>
      <c r="B88" s="196"/>
      <c r="C88" s="194" t="s">
        <v>113</v>
      </c>
      <c r="D88" s="207" t="s">
        <v>28</v>
      </c>
      <c r="E88" s="19" t="str">
        <f t="shared" ref="E88:E129" si="2">CONCATENATE("THR_",M88)</f>
        <v>THR_AL_VSD_ER_RTV_FA</v>
      </c>
      <c r="F88" s="20" t="s">
        <v>67</v>
      </c>
      <c r="G88" s="20"/>
      <c r="H88" s="21">
        <v>10</v>
      </c>
      <c r="I88" s="19">
        <v>0</v>
      </c>
      <c r="J88" s="19">
        <v>100</v>
      </c>
      <c r="K88" s="19" t="s">
        <v>10</v>
      </c>
      <c r="L88" s="28"/>
      <c r="M88" s="4" t="s">
        <v>188</v>
      </c>
      <c r="N88" s="4">
        <v>39</v>
      </c>
      <c r="O88" s="4" t="s">
        <v>188</v>
      </c>
    </row>
    <row r="89" spans="1:15" ht="15" x14ac:dyDescent="0.4">
      <c r="A89" s="205"/>
      <c r="B89" s="196"/>
      <c r="C89" s="196"/>
      <c r="D89" s="208"/>
      <c r="E89" s="5" t="str">
        <f t="shared" si="2"/>
        <v>THR_AL_VSD_ER_RTV_DV</v>
      </c>
      <c r="F89" s="6" t="s">
        <v>68</v>
      </c>
      <c r="G89" s="6"/>
      <c r="H89" s="7">
        <v>2</v>
      </c>
      <c r="I89" s="5">
        <v>0</v>
      </c>
      <c r="J89" s="5">
        <v>100</v>
      </c>
      <c r="K89" s="5" t="s">
        <v>10</v>
      </c>
      <c r="L89" s="32"/>
      <c r="M89" s="4" t="s">
        <v>189</v>
      </c>
      <c r="N89" s="4">
        <v>40</v>
      </c>
      <c r="O89" s="4" t="s">
        <v>189</v>
      </c>
    </row>
    <row r="90" spans="1:15" ht="15" x14ac:dyDescent="0.4">
      <c r="A90" s="205"/>
      <c r="B90" s="196"/>
      <c r="C90" s="196"/>
      <c r="D90" s="208"/>
      <c r="E90" s="5" t="str">
        <f t="shared" si="2"/>
        <v>THR_AL_DEN_HH_PDT_CH</v>
      </c>
      <c r="F90" s="6" t="s">
        <v>69</v>
      </c>
      <c r="G90" s="6"/>
      <c r="H90" s="7">
        <v>33</v>
      </c>
      <c r="I90" s="5">
        <v>0</v>
      </c>
      <c r="J90" s="5">
        <v>100</v>
      </c>
      <c r="K90" s="5" t="s">
        <v>107</v>
      </c>
      <c r="L90" s="32"/>
      <c r="M90" s="4" t="s">
        <v>190</v>
      </c>
      <c r="N90" s="4">
        <v>41</v>
      </c>
      <c r="O90" s="4" t="s">
        <v>190</v>
      </c>
    </row>
    <row r="91" spans="1:15" ht="15" x14ac:dyDescent="0.4">
      <c r="A91" s="205"/>
      <c r="B91" s="196"/>
      <c r="C91" s="196"/>
      <c r="D91" s="208"/>
      <c r="E91" s="5" t="str">
        <f t="shared" si="2"/>
        <v>THR_AL_NOT_HO_PDT_CH</v>
      </c>
      <c r="F91" s="6" t="s">
        <v>70</v>
      </c>
      <c r="G91" s="6"/>
      <c r="H91" s="7">
        <v>30</v>
      </c>
      <c r="I91" s="5">
        <v>0</v>
      </c>
      <c r="J91" s="5">
        <v>100</v>
      </c>
      <c r="K91" s="5" t="s">
        <v>107</v>
      </c>
      <c r="L91" s="32"/>
      <c r="M91" s="4" t="s">
        <v>191</v>
      </c>
      <c r="N91" s="4">
        <v>42</v>
      </c>
      <c r="O91" s="4" t="s">
        <v>191</v>
      </c>
    </row>
    <row r="92" spans="1:15" ht="15" x14ac:dyDescent="0.4">
      <c r="A92" s="205"/>
      <c r="B92" s="196"/>
      <c r="C92" s="196"/>
      <c r="D92" s="208"/>
      <c r="E92" s="5" t="str">
        <f t="shared" si="2"/>
        <v>THR_AL_DEN_LO_PDT_CH</v>
      </c>
      <c r="F92" s="6" t="s">
        <v>71</v>
      </c>
      <c r="G92" s="6"/>
      <c r="H92" s="7">
        <v>20</v>
      </c>
      <c r="I92" s="5">
        <v>0</v>
      </c>
      <c r="J92" s="5">
        <v>100</v>
      </c>
      <c r="K92" s="5" t="s">
        <v>107</v>
      </c>
      <c r="L92" s="32"/>
      <c r="M92" s="4" t="s">
        <v>259</v>
      </c>
      <c r="N92" s="4">
        <v>43</v>
      </c>
      <c r="O92" s="4" t="s">
        <v>192</v>
      </c>
    </row>
    <row r="93" spans="1:15" ht="15" x14ac:dyDescent="0.4">
      <c r="A93" s="205"/>
      <c r="B93" s="196"/>
      <c r="C93" s="196"/>
      <c r="D93" s="208"/>
      <c r="E93" s="5" t="str">
        <f t="shared" si="2"/>
        <v>THR_AL_MSD_HH_PDT_RBV</v>
      </c>
      <c r="F93" s="6" t="s">
        <v>72</v>
      </c>
      <c r="G93" s="6"/>
      <c r="H93" s="7">
        <v>80</v>
      </c>
      <c r="I93" s="5">
        <v>0</v>
      </c>
      <c r="J93" s="5">
        <v>100</v>
      </c>
      <c r="K93" s="5" t="s">
        <v>107</v>
      </c>
      <c r="L93" s="32"/>
      <c r="M93" s="4" t="s">
        <v>193</v>
      </c>
      <c r="N93" s="4">
        <v>44</v>
      </c>
      <c r="O93" s="4" t="s">
        <v>193</v>
      </c>
    </row>
    <row r="94" spans="1:15" ht="15" x14ac:dyDescent="0.4">
      <c r="A94" s="205"/>
      <c r="B94" s="196"/>
      <c r="C94" s="196"/>
      <c r="D94" s="208"/>
      <c r="E94" s="5" t="str">
        <f t="shared" si="2"/>
        <v>THR_AL_NOT_HO_PDT_RBV</v>
      </c>
      <c r="F94" s="6" t="s">
        <v>73</v>
      </c>
      <c r="G94" s="6"/>
      <c r="H94" s="7">
        <v>70</v>
      </c>
      <c r="I94" s="5">
        <v>0</v>
      </c>
      <c r="J94" s="5">
        <v>100</v>
      </c>
      <c r="K94" s="5" t="s">
        <v>107</v>
      </c>
      <c r="L94" s="32"/>
      <c r="M94" s="4" t="s">
        <v>194</v>
      </c>
      <c r="N94" s="4">
        <v>45</v>
      </c>
      <c r="O94" s="4" t="s">
        <v>194</v>
      </c>
    </row>
    <row r="95" spans="1:15" ht="15" x14ac:dyDescent="0.4">
      <c r="A95" s="205"/>
      <c r="B95" s="196"/>
      <c r="C95" s="196"/>
      <c r="D95" s="208"/>
      <c r="E95" s="5" t="str">
        <f t="shared" si="2"/>
        <v>THR_AL_NOT_HH_PDT_RTV</v>
      </c>
      <c r="F95" s="6" t="s">
        <v>74</v>
      </c>
      <c r="G95" s="6"/>
      <c r="H95" s="7">
        <v>0.7</v>
      </c>
      <c r="I95" s="5">
        <v>0</v>
      </c>
      <c r="J95" s="5">
        <v>5</v>
      </c>
      <c r="K95" s="5" t="s">
        <v>108</v>
      </c>
      <c r="L95" s="32"/>
      <c r="M95" s="4" t="s">
        <v>195</v>
      </c>
      <c r="N95" s="4">
        <v>46</v>
      </c>
      <c r="O95" s="4" t="s">
        <v>195</v>
      </c>
    </row>
    <row r="96" spans="1:15" ht="15" x14ac:dyDescent="0.4">
      <c r="A96" s="205"/>
      <c r="B96" s="196"/>
      <c r="C96" s="196"/>
      <c r="D96" s="208"/>
      <c r="E96" s="5" t="str">
        <f t="shared" si="2"/>
        <v>THR_AL_NOT_HO_PDT_RTV</v>
      </c>
      <c r="F96" s="6" t="s">
        <v>75</v>
      </c>
      <c r="G96" s="6"/>
      <c r="H96" s="7">
        <v>0.5</v>
      </c>
      <c r="I96" s="5">
        <v>0</v>
      </c>
      <c r="J96" s="5">
        <v>5</v>
      </c>
      <c r="K96" s="5" t="s">
        <v>108</v>
      </c>
      <c r="L96" s="32"/>
      <c r="M96" s="4" t="s">
        <v>196</v>
      </c>
      <c r="N96" s="4">
        <v>47</v>
      </c>
      <c r="O96" s="4" t="s">
        <v>196</v>
      </c>
    </row>
    <row r="97" spans="1:15" ht="15" x14ac:dyDescent="0.4">
      <c r="A97" s="205"/>
      <c r="B97" s="196"/>
      <c r="C97" s="196"/>
      <c r="D97" s="208"/>
      <c r="E97" s="5" t="str">
        <f t="shared" si="2"/>
        <v>THR_AL_NOT_LO_PDT_RTV</v>
      </c>
      <c r="F97" s="6" t="s">
        <v>76</v>
      </c>
      <c r="G97" s="6"/>
      <c r="H97" s="7">
        <v>0.05</v>
      </c>
      <c r="I97" s="5">
        <v>0</v>
      </c>
      <c r="J97" s="5">
        <v>5</v>
      </c>
      <c r="K97" s="5" t="s">
        <v>108</v>
      </c>
      <c r="L97" s="32"/>
      <c r="M97" s="4" t="s">
        <v>197</v>
      </c>
      <c r="N97" s="4">
        <v>48</v>
      </c>
      <c r="O97" s="4" t="s">
        <v>197</v>
      </c>
    </row>
    <row r="98" spans="1:15" ht="15" x14ac:dyDescent="0.4">
      <c r="A98" s="205"/>
      <c r="B98" s="196"/>
      <c r="C98" s="196"/>
      <c r="D98" s="208"/>
      <c r="E98" s="5" t="str">
        <f t="shared" si="2"/>
        <v>THR_AL_MSD_HH_TC_CHI</v>
      </c>
      <c r="F98" s="6" t="s">
        <v>77</v>
      </c>
      <c r="G98" s="6"/>
      <c r="H98" s="7">
        <v>620</v>
      </c>
      <c r="I98" s="5">
        <v>0</v>
      </c>
      <c r="J98" s="5">
        <v>800</v>
      </c>
      <c r="K98" s="5" t="s">
        <v>9</v>
      </c>
      <c r="L98" s="32"/>
      <c r="M98" s="4" t="s">
        <v>198</v>
      </c>
      <c r="N98" s="4">
        <v>49</v>
      </c>
      <c r="O98" s="4" t="s">
        <v>198</v>
      </c>
    </row>
    <row r="99" spans="1:15" ht="15" x14ac:dyDescent="0.4">
      <c r="A99" s="205"/>
      <c r="B99" s="196"/>
      <c r="C99" s="196"/>
      <c r="D99" s="208"/>
      <c r="E99" s="5" t="str">
        <f t="shared" si="2"/>
        <v>THR_AL_NOT_HO_TC_CHI</v>
      </c>
      <c r="F99" s="6" t="s">
        <v>78</v>
      </c>
      <c r="G99" s="6"/>
      <c r="H99" s="7">
        <v>600</v>
      </c>
      <c r="I99" s="5">
        <v>0</v>
      </c>
      <c r="J99" s="5">
        <v>800</v>
      </c>
      <c r="K99" s="5" t="s">
        <v>9</v>
      </c>
      <c r="L99" s="32"/>
      <c r="M99" s="4" t="s">
        <v>199</v>
      </c>
      <c r="N99" s="4">
        <v>50</v>
      </c>
      <c r="O99" s="4" t="s">
        <v>199</v>
      </c>
    </row>
    <row r="100" spans="1:15" ht="15" x14ac:dyDescent="0.4">
      <c r="A100" s="205"/>
      <c r="B100" s="196"/>
      <c r="C100" s="196"/>
      <c r="D100" s="208"/>
      <c r="E100" s="5" t="str">
        <f t="shared" si="2"/>
        <v>THR_AL_NOT_LO_TC_CHI</v>
      </c>
      <c r="F100" s="6" t="s">
        <v>79</v>
      </c>
      <c r="G100" s="6"/>
      <c r="H100" s="7">
        <v>300</v>
      </c>
      <c r="I100" s="5">
        <v>0</v>
      </c>
      <c r="J100" s="5">
        <v>800</v>
      </c>
      <c r="K100" s="5" t="s">
        <v>9</v>
      </c>
      <c r="L100" s="32"/>
      <c r="M100" s="4" t="s">
        <v>200</v>
      </c>
      <c r="N100" s="4">
        <v>51</v>
      </c>
      <c r="O100" s="4" t="s">
        <v>200</v>
      </c>
    </row>
    <row r="101" spans="1:15" ht="15" x14ac:dyDescent="0.4">
      <c r="A101" s="205"/>
      <c r="B101" s="196"/>
      <c r="C101" s="196"/>
      <c r="D101" s="208"/>
      <c r="E101" s="5" t="str">
        <f t="shared" si="2"/>
        <v>THR_AL_MSD_LL_TC_CHI</v>
      </c>
      <c r="F101" s="6" t="s">
        <v>80</v>
      </c>
      <c r="G101" s="6"/>
      <c r="H101" s="7">
        <v>200</v>
      </c>
      <c r="I101" s="5">
        <v>0</v>
      </c>
      <c r="J101" s="5">
        <v>800</v>
      </c>
      <c r="K101" s="5" t="s">
        <v>9</v>
      </c>
      <c r="L101" s="32"/>
      <c r="M101" s="4" t="s">
        <v>201</v>
      </c>
      <c r="N101" s="4">
        <v>52</v>
      </c>
      <c r="O101" s="4" t="s">
        <v>201</v>
      </c>
    </row>
    <row r="102" spans="1:15" ht="15" x14ac:dyDescent="0.4">
      <c r="A102" s="205"/>
      <c r="B102" s="196"/>
      <c r="C102" s="196"/>
      <c r="D102" s="208"/>
      <c r="E102" s="5" t="str">
        <f t="shared" si="2"/>
        <v>THR_AL_MSD_HH_TC_CHM</v>
      </c>
      <c r="F102" s="6" t="s">
        <v>81</v>
      </c>
      <c r="G102" s="6"/>
      <c r="H102" s="7">
        <v>620</v>
      </c>
      <c r="I102" s="5">
        <v>0</v>
      </c>
      <c r="J102" s="5">
        <v>800</v>
      </c>
      <c r="K102" s="5" t="s">
        <v>9</v>
      </c>
      <c r="L102" s="32"/>
      <c r="M102" s="4" t="s">
        <v>202</v>
      </c>
      <c r="N102" s="4">
        <v>53</v>
      </c>
      <c r="O102" s="4" t="s">
        <v>202</v>
      </c>
    </row>
    <row r="103" spans="1:15" ht="15" x14ac:dyDescent="0.4">
      <c r="A103" s="205"/>
      <c r="B103" s="196"/>
      <c r="C103" s="196"/>
      <c r="D103" s="208"/>
      <c r="E103" s="5" t="str">
        <f t="shared" si="2"/>
        <v>THR_AL_NOT_HO_TC_CHM</v>
      </c>
      <c r="F103" s="6" t="s">
        <v>82</v>
      </c>
      <c r="G103" s="6"/>
      <c r="H103" s="7">
        <v>600</v>
      </c>
      <c r="I103" s="5">
        <v>0</v>
      </c>
      <c r="J103" s="5">
        <v>800</v>
      </c>
      <c r="K103" s="5" t="s">
        <v>9</v>
      </c>
      <c r="L103" s="32"/>
      <c r="M103" s="4" t="s">
        <v>203</v>
      </c>
      <c r="N103" s="4">
        <v>54</v>
      </c>
      <c r="O103" s="4" t="s">
        <v>203</v>
      </c>
    </row>
    <row r="104" spans="1:15" ht="15" x14ac:dyDescent="0.4">
      <c r="A104" s="205"/>
      <c r="B104" s="196"/>
      <c r="C104" s="196"/>
      <c r="D104" s="208"/>
      <c r="E104" s="5" t="str">
        <f t="shared" si="2"/>
        <v>THR_AL_NOT_LO_TC_CHM</v>
      </c>
      <c r="F104" s="6" t="s">
        <v>83</v>
      </c>
      <c r="G104" s="6"/>
      <c r="H104" s="7">
        <v>300</v>
      </c>
      <c r="I104" s="5">
        <v>0</v>
      </c>
      <c r="J104" s="5">
        <v>800</v>
      </c>
      <c r="K104" s="5" t="s">
        <v>9</v>
      </c>
      <c r="L104" s="32"/>
      <c r="M104" s="4" t="s">
        <v>204</v>
      </c>
      <c r="N104" s="4">
        <v>55</v>
      </c>
      <c r="O104" s="4" t="s">
        <v>204</v>
      </c>
    </row>
    <row r="105" spans="1:15" ht="15" x14ac:dyDescent="0.4">
      <c r="A105" s="205"/>
      <c r="B105" s="196"/>
      <c r="C105" s="196"/>
      <c r="D105" s="208"/>
      <c r="E105" s="5" t="str">
        <f t="shared" si="2"/>
        <v>THR_AL_MSD_LL_TC_CHM</v>
      </c>
      <c r="F105" s="6" t="s">
        <v>84</v>
      </c>
      <c r="G105" s="6"/>
      <c r="H105" s="7">
        <v>200</v>
      </c>
      <c r="I105" s="5">
        <v>0</v>
      </c>
      <c r="J105" s="5">
        <v>800</v>
      </c>
      <c r="K105" s="5" t="s">
        <v>9</v>
      </c>
      <c r="L105" s="32"/>
      <c r="M105" s="4" t="s">
        <v>205</v>
      </c>
      <c r="N105" s="4">
        <v>56</v>
      </c>
      <c r="O105" s="4" t="s">
        <v>205</v>
      </c>
    </row>
    <row r="106" spans="1:15" ht="15" x14ac:dyDescent="0.4">
      <c r="A106" s="205"/>
      <c r="B106" s="196"/>
      <c r="C106" s="196"/>
      <c r="D106" s="208"/>
      <c r="E106" s="5" t="str">
        <f t="shared" si="2"/>
        <v>THR_AL_MSD_HH_TC_CHO</v>
      </c>
      <c r="F106" s="6" t="s">
        <v>85</v>
      </c>
      <c r="G106" s="6"/>
      <c r="H106" s="7">
        <v>620</v>
      </c>
      <c r="I106" s="5">
        <v>0</v>
      </c>
      <c r="J106" s="5">
        <v>800</v>
      </c>
      <c r="K106" s="5" t="s">
        <v>9</v>
      </c>
      <c r="L106" s="32"/>
      <c r="M106" s="4" t="s">
        <v>206</v>
      </c>
      <c r="N106" s="4">
        <v>57</v>
      </c>
      <c r="O106" s="4" t="s">
        <v>206</v>
      </c>
    </row>
    <row r="107" spans="1:15" ht="15" x14ac:dyDescent="0.4">
      <c r="A107" s="205"/>
      <c r="B107" s="196"/>
      <c r="C107" s="196"/>
      <c r="D107" s="208"/>
      <c r="E107" s="5" t="str">
        <f t="shared" si="2"/>
        <v>THR_AL_NOT_HO_TC_CHO</v>
      </c>
      <c r="F107" s="6" t="s">
        <v>86</v>
      </c>
      <c r="G107" s="6"/>
      <c r="H107" s="7">
        <v>600</v>
      </c>
      <c r="I107" s="5">
        <v>0</v>
      </c>
      <c r="J107" s="5">
        <v>800</v>
      </c>
      <c r="K107" s="5" t="s">
        <v>9</v>
      </c>
      <c r="L107" s="32"/>
      <c r="M107" s="4" t="s">
        <v>207</v>
      </c>
      <c r="N107" s="4">
        <v>58</v>
      </c>
      <c r="O107" s="4" t="s">
        <v>207</v>
      </c>
    </row>
    <row r="108" spans="1:15" ht="15" x14ac:dyDescent="0.4">
      <c r="A108" s="205"/>
      <c r="B108" s="196"/>
      <c r="C108" s="196"/>
      <c r="D108" s="208"/>
      <c r="E108" s="5" t="str">
        <f t="shared" si="2"/>
        <v>THR_AL_NOT_LO_TC_CHO</v>
      </c>
      <c r="F108" s="6" t="s">
        <v>87</v>
      </c>
      <c r="G108" s="6"/>
      <c r="H108" s="7">
        <v>300</v>
      </c>
      <c r="I108" s="5">
        <v>0</v>
      </c>
      <c r="J108" s="5">
        <v>800</v>
      </c>
      <c r="K108" s="5" t="s">
        <v>9</v>
      </c>
      <c r="L108" s="32"/>
      <c r="M108" s="4" t="s">
        <v>208</v>
      </c>
      <c r="N108" s="4">
        <v>59</v>
      </c>
      <c r="O108" s="4" t="s">
        <v>208</v>
      </c>
    </row>
    <row r="109" spans="1:15" ht="15" x14ac:dyDescent="0.4">
      <c r="A109" s="206"/>
      <c r="B109" s="196"/>
      <c r="C109" s="196"/>
      <c r="D109" s="209"/>
      <c r="E109" s="8" t="str">
        <f t="shared" si="2"/>
        <v>THR_AL_MSD_LL_TC_CHO</v>
      </c>
      <c r="F109" s="9" t="s">
        <v>88</v>
      </c>
      <c r="G109" s="9"/>
      <c r="H109" s="10">
        <v>200</v>
      </c>
      <c r="I109" s="8">
        <v>0</v>
      </c>
      <c r="J109" s="8">
        <v>800</v>
      </c>
      <c r="K109" s="8" t="s">
        <v>9</v>
      </c>
      <c r="L109" s="33"/>
      <c r="M109" s="4" t="s">
        <v>209</v>
      </c>
      <c r="N109" s="4">
        <v>60</v>
      </c>
      <c r="O109" s="4" t="s">
        <v>209</v>
      </c>
    </row>
    <row r="110" spans="1:15" ht="15" x14ac:dyDescent="0.4">
      <c r="A110" s="204" t="s">
        <v>232</v>
      </c>
      <c r="B110" s="196"/>
      <c r="C110" s="196"/>
      <c r="D110" s="210" t="s">
        <v>65</v>
      </c>
      <c r="E110" s="18" t="str">
        <f t="shared" si="2"/>
        <v>THR_AL_NOT_HH_FM_FO</v>
      </c>
      <c r="F110" s="16" t="s">
        <v>89</v>
      </c>
      <c r="G110" s="16"/>
      <c r="H110" s="17">
        <v>160</v>
      </c>
      <c r="I110" s="18">
        <v>0</v>
      </c>
      <c r="J110" s="18">
        <v>100</v>
      </c>
      <c r="K110" s="18" t="s">
        <v>109</v>
      </c>
      <c r="L110" s="29"/>
      <c r="M110" s="4" t="s">
        <v>210</v>
      </c>
      <c r="N110" s="4">
        <v>61</v>
      </c>
      <c r="O110" s="4" t="s">
        <v>210</v>
      </c>
    </row>
    <row r="111" spans="1:15" ht="15" x14ac:dyDescent="0.4">
      <c r="A111" s="205"/>
      <c r="B111" s="196"/>
      <c r="C111" s="196"/>
      <c r="D111" s="208"/>
      <c r="E111" s="5" t="str">
        <f t="shared" si="2"/>
        <v>THR_AL_NOT_HO_FM_FO</v>
      </c>
      <c r="F111" s="6" t="s">
        <v>90</v>
      </c>
      <c r="G111" s="6"/>
      <c r="H111" s="7">
        <v>120</v>
      </c>
      <c r="I111" s="5">
        <v>0</v>
      </c>
      <c r="J111" s="5">
        <v>100</v>
      </c>
      <c r="K111" s="5" t="s">
        <v>109</v>
      </c>
      <c r="L111" s="32"/>
      <c r="M111" s="4" t="s">
        <v>211</v>
      </c>
      <c r="N111" s="4">
        <v>62</v>
      </c>
      <c r="O111" s="4" t="s">
        <v>211</v>
      </c>
    </row>
    <row r="112" spans="1:15" ht="15" x14ac:dyDescent="0.4">
      <c r="A112" s="205"/>
      <c r="B112" s="196"/>
      <c r="C112" s="196"/>
      <c r="D112" s="208"/>
      <c r="E112" s="5" t="str">
        <f t="shared" si="2"/>
        <v>THR_AL_NOT_ER_FM_FO</v>
      </c>
      <c r="F112" s="6" t="s">
        <v>64</v>
      </c>
      <c r="G112" s="6"/>
      <c r="H112" s="7">
        <v>5</v>
      </c>
      <c r="I112" s="5">
        <v>0</v>
      </c>
      <c r="J112" s="5">
        <v>100</v>
      </c>
      <c r="K112" s="5" t="s">
        <v>10</v>
      </c>
      <c r="L112" s="32"/>
      <c r="M112" s="4" t="s">
        <v>212</v>
      </c>
      <c r="N112" s="4">
        <v>63</v>
      </c>
      <c r="O112" s="4" t="s">
        <v>212</v>
      </c>
    </row>
    <row r="113" spans="1:15" ht="15" x14ac:dyDescent="0.4">
      <c r="A113" s="205"/>
      <c r="B113" s="196"/>
      <c r="C113" s="196"/>
      <c r="D113" s="208"/>
      <c r="E113" s="5" t="str">
        <f t="shared" si="2"/>
        <v>THR_AL_DEN_LO_PT_SFOI</v>
      </c>
      <c r="F113" s="6" t="s">
        <v>214</v>
      </c>
      <c r="G113" s="6"/>
      <c r="H113" s="7">
        <v>-0.2</v>
      </c>
      <c r="I113" s="5">
        <v>-1</v>
      </c>
      <c r="J113" s="5">
        <v>5</v>
      </c>
      <c r="K113" s="5" t="s">
        <v>233</v>
      </c>
      <c r="L113" s="32"/>
      <c r="M113" s="4" t="s">
        <v>213</v>
      </c>
      <c r="N113" s="4">
        <v>64</v>
      </c>
      <c r="O113" s="4" t="s">
        <v>213</v>
      </c>
    </row>
    <row r="114" spans="1:15" ht="15" x14ac:dyDescent="0.4">
      <c r="A114" s="205"/>
      <c r="B114" s="196"/>
      <c r="C114" s="196"/>
      <c r="D114" s="208"/>
      <c r="E114" s="5" t="str">
        <f t="shared" si="2"/>
        <v>THR_AL_DEN_HH_PT_SFOO</v>
      </c>
      <c r="F114" s="6" t="s">
        <v>91</v>
      </c>
      <c r="G114" s="6"/>
      <c r="H114" s="7">
        <v>12</v>
      </c>
      <c r="I114" s="5" t="s">
        <v>110</v>
      </c>
      <c r="J114" s="5" t="s">
        <v>111</v>
      </c>
      <c r="K114" s="5" t="s">
        <v>108</v>
      </c>
      <c r="L114" s="32"/>
      <c r="M114" s="4" t="s">
        <v>215</v>
      </c>
      <c r="N114" s="4">
        <v>65</v>
      </c>
      <c r="O114" s="4" t="s">
        <v>215</v>
      </c>
    </row>
    <row r="115" spans="1:15" ht="15" x14ac:dyDescent="0.4">
      <c r="A115" s="205"/>
      <c r="B115" s="196"/>
      <c r="C115" s="196"/>
      <c r="D115" s="208"/>
      <c r="E115" s="5" t="str">
        <f t="shared" si="2"/>
        <v>THR_AL_NOT_HO_PT_SFOO</v>
      </c>
      <c r="F115" s="6" t="s">
        <v>92</v>
      </c>
      <c r="G115" s="6"/>
      <c r="H115" s="7">
        <v>11</v>
      </c>
      <c r="I115" s="5" t="s">
        <v>110</v>
      </c>
      <c r="J115" s="5" t="s">
        <v>111</v>
      </c>
      <c r="K115" s="5" t="s">
        <v>108</v>
      </c>
      <c r="L115" s="32"/>
      <c r="M115" s="4" t="s">
        <v>216</v>
      </c>
      <c r="N115" s="4">
        <v>66</v>
      </c>
      <c r="O115" s="4" t="s">
        <v>216</v>
      </c>
    </row>
    <row r="116" spans="1:15" ht="15" x14ac:dyDescent="0.4">
      <c r="A116" s="205"/>
      <c r="B116" s="196"/>
      <c r="C116" s="196"/>
      <c r="D116" s="208"/>
      <c r="E116" s="5" t="str">
        <f t="shared" si="2"/>
        <v>THR_AL_NOT_LO_PT_SFOO</v>
      </c>
      <c r="F116" s="6" t="s">
        <v>93</v>
      </c>
      <c r="G116" s="6"/>
      <c r="H116" s="7">
        <v>5</v>
      </c>
      <c r="I116" s="5" t="s">
        <v>110</v>
      </c>
      <c r="J116" s="5" t="s">
        <v>111</v>
      </c>
      <c r="K116" s="5" t="s">
        <v>108</v>
      </c>
      <c r="L116" s="32"/>
      <c r="M116" s="4" t="s">
        <v>217</v>
      </c>
      <c r="N116" s="4">
        <v>67</v>
      </c>
      <c r="O116" s="4" t="s">
        <v>217</v>
      </c>
    </row>
    <row r="117" spans="1:15" ht="15" x14ac:dyDescent="0.4">
      <c r="A117" s="205"/>
      <c r="B117" s="196"/>
      <c r="C117" s="196"/>
      <c r="D117" s="208"/>
      <c r="E117" s="5" t="str">
        <f t="shared" si="2"/>
        <v>THR_AL_NOT_LL_PT_SFOO</v>
      </c>
      <c r="F117" s="6" t="s">
        <v>94</v>
      </c>
      <c r="G117" s="6"/>
      <c r="H117" s="7">
        <v>4</v>
      </c>
      <c r="I117" s="5" t="s">
        <v>110</v>
      </c>
      <c r="J117" s="5" t="s">
        <v>111</v>
      </c>
      <c r="K117" s="5" t="s">
        <v>108</v>
      </c>
      <c r="L117" s="32"/>
      <c r="M117" s="4" t="s">
        <v>218</v>
      </c>
      <c r="N117" s="4">
        <v>68</v>
      </c>
      <c r="O117" s="4" t="s">
        <v>218</v>
      </c>
    </row>
    <row r="118" spans="1:15" ht="15" x14ac:dyDescent="0.4">
      <c r="A118" s="205"/>
      <c r="B118" s="196"/>
      <c r="C118" s="196"/>
      <c r="D118" s="208"/>
      <c r="E118" s="5" t="str">
        <f t="shared" si="2"/>
        <v>THR_AL_DEN_HH_PT_DFOI</v>
      </c>
      <c r="F118" s="6" t="s">
        <v>95</v>
      </c>
      <c r="G118" s="6"/>
      <c r="H118" s="7">
        <v>12</v>
      </c>
      <c r="I118" s="5" t="s">
        <v>110</v>
      </c>
      <c r="J118" s="5" t="s">
        <v>111</v>
      </c>
      <c r="K118" s="5" t="s">
        <v>108</v>
      </c>
      <c r="L118" s="32"/>
      <c r="M118" s="4" t="s">
        <v>219</v>
      </c>
      <c r="N118" s="4">
        <v>69</v>
      </c>
      <c r="O118" s="4" t="s">
        <v>219</v>
      </c>
    </row>
    <row r="119" spans="1:15" ht="15" x14ac:dyDescent="0.4">
      <c r="A119" s="205"/>
      <c r="B119" s="196"/>
      <c r="C119" s="196"/>
      <c r="D119" s="208"/>
      <c r="E119" s="5" t="str">
        <f t="shared" si="2"/>
        <v>THR_AL_NOT_HO_PT_DFOI</v>
      </c>
      <c r="F119" s="6" t="s">
        <v>96</v>
      </c>
      <c r="G119" s="6"/>
      <c r="H119" s="7">
        <v>11</v>
      </c>
      <c r="I119" s="5" t="s">
        <v>110</v>
      </c>
      <c r="J119" s="5" t="s">
        <v>111</v>
      </c>
      <c r="K119" s="5" t="s">
        <v>108</v>
      </c>
      <c r="L119" s="32"/>
      <c r="M119" s="4" t="s">
        <v>220</v>
      </c>
      <c r="N119" s="4">
        <v>70</v>
      </c>
      <c r="O119" s="4" t="s">
        <v>220</v>
      </c>
    </row>
    <row r="120" spans="1:15" ht="15" x14ac:dyDescent="0.4">
      <c r="A120" s="205"/>
      <c r="B120" s="196"/>
      <c r="C120" s="196"/>
      <c r="D120" s="208"/>
      <c r="E120" s="5" t="str">
        <f t="shared" si="2"/>
        <v>THR_AL_NOT_LO_PT_DFOI</v>
      </c>
      <c r="F120" s="6" t="s">
        <v>97</v>
      </c>
      <c r="G120" s="6"/>
      <c r="H120" s="7">
        <v>5</v>
      </c>
      <c r="I120" s="5" t="s">
        <v>110</v>
      </c>
      <c r="J120" s="5" t="s">
        <v>112</v>
      </c>
      <c r="K120" s="5" t="s">
        <v>108</v>
      </c>
      <c r="L120" s="32"/>
      <c r="M120" s="4" t="s">
        <v>221</v>
      </c>
      <c r="N120" s="4">
        <v>71</v>
      </c>
      <c r="O120" s="4" t="s">
        <v>221</v>
      </c>
    </row>
    <row r="121" spans="1:15" ht="15" x14ac:dyDescent="0.4">
      <c r="A121" s="205"/>
      <c r="B121" s="196"/>
      <c r="C121" s="196"/>
      <c r="D121" s="208"/>
      <c r="E121" s="5" t="str">
        <f t="shared" si="2"/>
        <v>THR_AL_DEN_LL_PT_DFOI</v>
      </c>
      <c r="F121" s="6" t="s">
        <v>98</v>
      </c>
      <c r="G121" s="6"/>
      <c r="H121" s="7">
        <v>4</v>
      </c>
      <c r="I121" s="5" t="s">
        <v>110</v>
      </c>
      <c r="J121" s="5" t="s">
        <v>112</v>
      </c>
      <c r="K121" s="5" t="s">
        <v>108</v>
      </c>
      <c r="L121" s="32"/>
      <c r="M121" s="4" t="s">
        <v>222</v>
      </c>
      <c r="N121" s="4">
        <v>72</v>
      </c>
      <c r="O121" s="4" t="s">
        <v>222</v>
      </c>
    </row>
    <row r="122" spans="1:15" ht="15" x14ac:dyDescent="0.4">
      <c r="A122" s="205"/>
      <c r="B122" s="196"/>
      <c r="C122" s="196"/>
      <c r="D122" s="208"/>
      <c r="E122" s="5" t="str">
        <f t="shared" si="2"/>
        <v>THR_AL_NOT_LO_PT_DFOM</v>
      </c>
      <c r="F122" s="6" t="s">
        <v>99</v>
      </c>
      <c r="G122" s="6"/>
      <c r="H122" s="7">
        <v>5</v>
      </c>
      <c r="I122" s="5" t="s">
        <v>110</v>
      </c>
      <c r="J122" s="5" t="s">
        <v>112</v>
      </c>
      <c r="K122" s="5" t="s">
        <v>108</v>
      </c>
      <c r="L122" s="32"/>
      <c r="M122" s="4" t="s">
        <v>223</v>
      </c>
      <c r="N122" s="4">
        <v>73</v>
      </c>
      <c r="O122" s="4" t="s">
        <v>223</v>
      </c>
    </row>
    <row r="123" spans="1:15" ht="15" x14ac:dyDescent="0.4">
      <c r="A123" s="205"/>
      <c r="B123" s="196"/>
      <c r="C123" s="196"/>
      <c r="D123" s="208"/>
      <c r="E123" s="5" t="str">
        <f t="shared" si="2"/>
        <v>THR_AL_DEN_LL_PT_DFOM</v>
      </c>
      <c r="F123" s="6" t="s">
        <v>100</v>
      </c>
      <c r="G123" s="6"/>
      <c r="H123" s="7">
        <v>4</v>
      </c>
      <c r="I123" s="5" t="s">
        <v>110</v>
      </c>
      <c r="J123" s="5" t="s">
        <v>112</v>
      </c>
      <c r="K123" s="5" t="s">
        <v>108</v>
      </c>
      <c r="L123" s="32"/>
      <c r="M123" s="4" t="s">
        <v>224</v>
      </c>
      <c r="N123" s="4">
        <v>74</v>
      </c>
      <c r="O123" s="4" t="s">
        <v>224</v>
      </c>
    </row>
    <row r="124" spans="1:15" ht="15" x14ac:dyDescent="0.4">
      <c r="A124" s="205"/>
      <c r="B124" s="196"/>
      <c r="C124" s="196"/>
      <c r="D124" s="208"/>
      <c r="E124" s="5" t="str">
        <f t="shared" si="2"/>
        <v>THR_AL_NOT_LO_PT_DFOO</v>
      </c>
      <c r="F124" s="6" t="s">
        <v>101</v>
      </c>
      <c r="G124" s="6"/>
      <c r="H124" s="7">
        <v>4</v>
      </c>
      <c r="I124" s="5" t="s">
        <v>110</v>
      </c>
      <c r="J124" s="5" t="s">
        <v>112</v>
      </c>
      <c r="K124" s="5" t="s">
        <v>108</v>
      </c>
      <c r="L124" s="32"/>
      <c r="M124" s="4" t="s">
        <v>225</v>
      </c>
      <c r="N124" s="4">
        <v>75</v>
      </c>
      <c r="O124" s="4" t="s">
        <v>225</v>
      </c>
    </row>
    <row r="125" spans="1:15" ht="15" x14ac:dyDescent="0.4">
      <c r="A125" s="205"/>
      <c r="B125" s="196"/>
      <c r="C125" s="196"/>
      <c r="D125" s="208"/>
      <c r="E125" s="5" t="str">
        <f t="shared" si="2"/>
        <v>THR_AL_DEN_LL_PT_DFOO</v>
      </c>
      <c r="F125" s="6" t="s">
        <v>102</v>
      </c>
      <c r="G125" s="6"/>
      <c r="H125" s="7">
        <v>3</v>
      </c>
      <c r="I125" s="5" t="s">
        <v>110</v>
      </c>
      <c r="J125" s="5" t="s">
        <v>112</v>
      </c>
      <c r="K125" s="5" t="s">
        <v>108</v>
      </c>
      <c r="L125" s="32"/>
      <c r="M125" s="4" t="s">
        <v>226</v>
      </c>
      <c r="N125" s="4">
        <v>76</v>
      </c>
      <c r="O125" s="4" t="s">
        <v>226</v>
      </c>
    </row>
    <row r="126" spans="1:15" ht="15" x14ac:dyDescent="0.4">
      <c r="A126" s="205"/>
      <c r="B126" s="196"/>
      <c r="C126" s="196"/>
      <c r="D126" s="208"/>
      <c r="E126" s="5" t="str">
        <f t="shared" si="2"/>
        <v>THR_AL_NOT_LO_PT_DAI</v>
      </c>
      <c r="F126" s="6" t="s">
        <v>103</v>
      </c>
      <c r="G126" s="6"/>
      <c r="H126" s="7">
        <v>4</v>
      </c>
      <c r="I126" s="5" t="s">
        <v>110</v>
      </c>
      <c r="J126" s="5" t="s">
        <v>112</v>
      </c>
      <c r="K126" s="5" t="s">
        <v>108</v>
      </c>
      <c r="L126" s="32"/>
      <c r="M126" s="4" t="s">
        <v>227</v>
      </c>
      <c r="N126" s="4">
        <v>77</v>
      </c>
      <c r="O126" s="4" t="s">
        <v>227</v>
      </c>
    </row>
    <row r="127" spans="1:15" ht="15" x14ac:dyDescent="0.4">
      <c r="A127" s="205"/>
      <c r="B127" s="196"/>
      <c r="C127" s="196"/>
      <c r="D127" s="208"/>
      <c r="E127" s="5" t="str">
        <f t="shared" si="2"/>
        <v>THR_AL_DEN_LL_PT_DAI</v>
      </c>
      <c r="F127" s="6" t="s">
        <v>104</v>
      </c>
      <c r="G127" s="6"/>
      <c r="H127" s="7">
        <v>3.5</v>
      </c>
      <c r="I127" s="5" t="s">
        <v>110</v>
      </c>
      <c r="J127" s="5" t="s">
        <v>112</v>
      </c>
      <c r="K127" s="5" t="s">
        <v>108</v>
      </c>
      <c r="L127" s="32"/>
      <c r="M127" s="4" t="s">
        <v>228</v>
      </c>
      <c r="N127" s="4">
        <v>78</v>
      </c>
      <c r="O127" s="4" t="s">
        <v>228</v>
      </c>
    </row>
    <row r="128" spans="1:15" ht="15" x14ac:dyDescent="0.4">
      <c r="A128" s="205"/>
      <c r="B128" s="196"/>
      <c r="C128" s="196"/>
      <c r="D128" s="208"/>
      <c r="E128" s="5" t="str">
        <f t="shared" si="2"/>
        <v>THR_AL_NOT_LO_PT_DAO</v>
      </c>
      <c r="F128" s="6" t="s">
        <v>105</v>
      </c>
      <c r="G128" s="6"/>
      <c r="H128" s="7">
        <v>3</v>
      </c>
      <c r="I128" s="5" t="s">
        <v>110</v>
      </c>
      <c r="J128" s="5" t="s">
        <v>112</v>
      </c>
      <c r="K128" s="5" t="s">
        <v>108</v>
      </c>
      <c r="L128" s="32"/>
      <c r="M128" s="4" t="s">
        <v>229</v>
      </c>
      <c r="N128" s="4">
        <v>79</v>
      </c>
      <c r="O128" s="4" t="s">
        <v>229</v>
      </c>
    </row>
    <row r="129" spans="1:15" thickBot="1" x14ac:dyDescent="0.45">
      <c r="A129" s="206"/>
      <c r="B129" s="197"/>
      <c r="C129" s="197"/>
      <c r="D129" s="211"/>
      <c r="E129" s="8" t="str">
        <f t="shared" si="2"/>
        <v>THR_AL_DEN_LL_PT_DAO</v>
      </c>
      <c r="F129" s="14" t="s">
        <v>106</v>
      </c>
      <c r="G129" s="14"/>
      <c r="H129" s="15">
        <v>2.5</v>
      </c>
      <c r="I129" s="13" t="s">
        <v>110</v>
      </c>
      <c r="J129" s="13" t="s">
        <v>112</v>
      </c>
      <c r="K129" s="13" t="s">
        <v>108</v>
      </c>
      <c r="L129" s="34"/>
      <c r="M129" s="4" t="s">
        <v>230</v>
      </c>
      <c r="N129" s="4">
        <v>80</v>
      </c>
      <c r="O129" s="4" t="s">
        <v>230</v>
      </c>
    </row>
  </sheetData>
  <mergeCells count="29">
    <mergeCell ref="I27:I43"/>
    <mergeCell ref="J27:J43"/>
    <mergeCell ref="K27:K43"/>
    <mergeCell ref="D44:D65"/>
    <mergeCell ref="D66:D85"/>
    <mergeCell ref="H27:H43"/>
    <mergeCell ref="A5:A87"/>
    <mergeCell ref="B5:B129"/>
    <mergeCell ref="C5:C87"/>
    <mergeCell ref="D5:D26"/>
    <mergeCell ref="D27:D43"/>
    <mergeCell ref="A88:A109"/>
    <mergeCell ref="C88:C129"/>
    <mergeCell ref="D88:D109"/>
    <mergeCell ref="A110:A129"/>
    <mergeCell ref="D110:D129"/>
    <mergeCell ref="D86:D87"/>
    <mergeCell ref="L3:L4"/>
    <mergeCell ref="M3:M4"/>
    <mergeCell ref="B2:L2"/>
    <mergeCell ref="A3:A4"/>
    <mergeCell ref="B3:B4"/>
    <mergeCell ref="C3:C4"/>
    <mergeCell ref="D3:D4"/>
    <mergeCell ref="E3:E4"/>
    <mergeCell ref="F3:F4"/>
    <mergeCell ref="G3:G4"/>
    <mergeCell ref="H3:H4"/>
    <mergeCell ref="I3:K3"/>
  </mergeCells>
  <phoneticPr fontId="1" type="noConversion"/>
  <pageMargins left="0.7" right="0.7" top="0.75" bottom="0.75" header="0.3" footer="0.3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History</vt:lpstr>
      <vt:lpstr>AccessRights</vt:lpstr>
      <vt:lpstr>CmmnParameters</vt:lpstr>
      <vt:lpstr>IndvParameters</vt:lpstr>
      <vt:lpstr>IndvLifetime</vt:lpstr>
      <vt:lpstr>Alarm_Paramters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HHI</cp:lastModifiedBy>
  <cp:lastPrinted>2022-11-03T00:47:22Z</cp:lastPrinted>
  <dcterms:created xsi:type="dcterms:W3CDTF">2022-11-02T06:12:54Z</dcterms:created>
  <dcterms:modified xsi:type="dcterms:W3CDTF">2026-04-07T05:34:15Z</dcterms:modified>
</cp:coreProperties>
</file>