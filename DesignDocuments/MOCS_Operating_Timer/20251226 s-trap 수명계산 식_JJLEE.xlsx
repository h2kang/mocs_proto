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5. 기술2과 (후처리개발)\대외비\04. CEO Project\202506 MOCS 내황 시스템 검증 시험\1. 부품\7. 촉매\"/>
    </mc:Choice>
  </mc:AlternateContent>
  <xr:revisionPtr revIDLastSave="0" documentId="8_{A121B48B-AEBA-49E8-8A8E-BF966D5AD799}" xr6:coauthVersionLast="47" xr6:coauthVersionMax="47" xr10:uidLastSave="{00000000-0000-0000-0000-000000000000}"/>
  <bookViews>
    <workbookView xWindow="-120" yWindow="-120" windowWidth="38640" windowHeight="21120" xr2:uid="{1D093950-900F-4146-AFC3-CB2226FD8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" l="1"/>
  <c r="C6" i="1"/>
  <c r="P21" i="1" l="1"/>
  <c r="W21" i="1" s="1"/>
  <c r="D35" i="1"/>
  <c r="D36" i="1" s="1"/>
  <c r="D38" i="1" s="1"/>
  <c r="I21" i="1"/>
  <c r="I20" i="1"/>
  <c r="S20" i="1" s="1"/>
  <c r="T20" i="1" s="1"/>
  <c r="I19" i="1"/>
  <c r="S19" i="1" s="1"/>
  <c r="T19" i="1" s="1"/>
  <c r="I18" i="1"/>
  <c r="G19" i="1"/>
  <c r="Q19" i="1" s="1"/>
  <c r="R19" i="1" s="1"/>
  <c r="G20" i="1"/>
  <c r="Q20" i="1" s="1"/>
  <c r="R20" i="1" s="1"/>
  <c r="G21" i="1"/>
  <c r="Q21" i="1" s="1"/>
  <c r="R21" i="1" s="1"/>
  <c r="G18" i="1"/>
  <c r="S21" i="1"/>
  <c r="T21" i="1" s="1"/>
  <c r="P19" i="1"/>
  <c r="W19" i="1" s="1"/>
  <c r="P20" i="1"/>
  <c r="W20" i="1" s="1"/>
  <c r="P18" i="1"/>
  <c r="M18" i="1" s="1"/>
  <c r="M21" i="1" l="1"/>
  <c r="S18" i="1"/>
  <c r="T18" i="1" s="1"/>
  <c r="Q18" i="1"/>
  <c r="R18" i="1" s="1"/>
  <c r="M19" i="1"/>
  <c r="M20" i="1"/>
  <c r="U19" i="1"/>
  <c r="W18" i="1"/>
  <c r="U20" i="1"/>
  <c r="U21" i="1"/>
  <c r="V21" i="1" s="1"/>
  <c r="V19" i="1"/>
  <c r="X19" i="1"/>
  <c r="Y19" i="1" s="1"/>
  <c r="J19" i="1" s="1"/>
  <c r="N19" i="1" s="1"/>
  <c r="X20" i="1"/>
  <c r="Y20" i="1" s="1"/>
  <c r="J20" i="1" s="1"/>
  <c r="V20" i="1"/>
  <c r="U18" i="1"/>
  <c r="X21" i="1" l="1"/>
  <c r="Y21" i="1" s="1"/>
  <c r="J21" i="1" s="1"/>
  <c r="L21" i="1" s="1"/>
  <c r="L20" i="1"/>
  <c r="L19" i="1"/>
  <c r="N20" i="1"/>
  <c r="X18" i="1"/>
  <c r="Y18" i="1" s="1"/>
  <c r="J18" i="1" s="1"/>
  <c r="L18" i="1" s="1"/>
  <c r="V18" i="1"/>
  <c r="N21" i="1"/>
  <c r="O18" i="1" l="1"/>
  <c r="O19" i="1" l="1"/>
  <c r="K18" i="1"/>
  <c r="O20" i="1" l="1"/>
  <c r="K19" i="1"/>
  <c r="O21" i="1" l="1"/>
  <c r="K21" i="1" s="1"/>
  <c r="K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HHI</author>
  </authors>
  <commentList>
    <comment ref="L15" authorId="0" shapeId="0" xr:uid="{A25363B3-1642-4AD2-A2B8-AD01B52C9363}">
      <text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부하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배기량</t>
        </r>
        <r>
          <rPr>
            <sz val="11"/>
            <color indexed="81"/>
            <rFont val="Tahoma"/>
            <family val="2"/>
          </rPr>
          <t>, SO2</t>
        </r>
        <r>
          <rPr>
            <sz val="11"/>
            <color indexed="81"/>
            <rFont val="돋움"/>
            <family val="3"/>
            <charset val="129"/>
          </rPr>
          <t>농도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조건에서만</t>
        </r>
        <r>
          <rPr>
            <sz val="11"/>
            <color indexed="81"/>
            <rFont val="Tahoma"/>
            <family val="2"/>
          </rPr>
          <t xml:space="preserve"> Fresh </t>
        </r>
        <r>
          <rPr>
            <sz val="11"/>
            <color indexed="81"/>
            <rFont val="돋움"/>
            <family val="3"/>
            <charset val="129"/>
          </rPr>
          <t>상태</t>
        </r>
        <r>
          <rPr>
            <sz val="11"/>
            <color indexed="81"/>
            <rFont val="Tahoma"/>
            <family val="2"/>
          </rPr>
          <t xml:space="preserve"> S-trap</t>
        </r>
        <r>
          <rPr>
            <sz val="11"/>
            <color indexed="81"/>
            <rFont val="돋움"/>
            <family val="3"/>
            <charset val="129"/>
          </rPr>
          <t>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지속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사용할때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수명을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의미함</t>
        </r>
      </text>
    </comment>
  </commentList>
</comments>
</file>

<file path=xl/sharedStrings.xml><?xml version="1.0" encoding="utf-8"?>
<sst xmlns="http://schemas.openxmlformats.org/spreadsheetml/2006/main" count="110" uniqueCount="66">
  <si>
    <t>-</t>
    <phoneticPr fontId="1" type="noConversion"/>
  </si>
  <si>
    <t>공간속도</t>
    <phoneticPr fontId="1" type="noConversion"/>
  </si>
  <si>
    <t>ppm</t>
    <phoneticPr fontId="1" type="noConversion"/>
  </si>
  <si>
    <t>h</t>
    <phoneticPr fontId="1" type="noConversion"/>
  </si>
  <si>
    <t>항목</t>
    <phoneticPr fontId="1" type="noConversion"/>
  </si>
  <si>
    <t>값</t>
    <phoneticPr fontId="1" type="noConversion"/>
  </si>
  <si>
    <t>단위</t>
    <phoneticPr fontId="1" type="noConversion"/>
  </si>
  <si>
    <t>S-trap부피</t>
    <phoneticPr fontId="1" type="noConversion"/>
  </si>
  <si>
    <t>m3</t>
    <phoneticPr fontId="1" type="noConversion"/>
  </si>
  <si>
    <t>유량</t>
    <phoneticPr fontId="1" type="noConversion"/>
  </si>
  <si>
    <t>Nm3/h</t>
    <phoneticPr fontId="1" type="noConversion"/>
  </si>
  <si>
    <t>h-1</t>
    <phoneticPr fontId="1" type="noConversion"/>
  </si>
  <si>
    <t>배가스내SO2농도</t>
    <phoneticPr fontId="1" type="noConversion"/>
  </si>
  <si>
    <t>S-trap수명</t>
    <phoneticPr fontId="1" type="noConversion"/>
  </si>
  <si>
    <t>g/L</t>
    <phoneticPr fontId="1" type="noConversion"/>
  </si>
  <si>
    <t>공기분자량</t>
    <phoneticPr fontId="1" type="noConversion"/>
  </si>
  <si>
    <t>g/mol</t>
    <phoneticPr fontId="1" type="noConversion"/>
  </si>
  <si>
    <t>SO2분자량</t>
    <phoneticPr fontId="1" type="noConversion"/>
  </si>
  <si>
    <t>S-trap 부피</t>
    <phoneticPr fontId="1" type="noConversion"/>
  </si>
  <si>
    <t>공기밀도(0℃ 1기압)</t>
    <phoneticPr fontId="1" type="noConversion"/>
  </si>
  <si>
    <t>(%)</t>
    <phoneticPr fontId="1" type="noConversion"/>
  </si>
  <si>
    <t>엔진부하</t>
    <phoneticPr fontId="1" type="noConversion"/>
  </si>
  <si>
    <t>(h)</t>
    <phoneticPr fontId="1" type="noConversion"/>
  </si>
  <si>
    <t>(kg/h)</t>
    <phoneticPr fontId="1" type="noConversion"/>
  </si>
  <si>
    <t>DOC_FO황함량</t>
    <phoneticPr fontId="1" type="noConversion"/>
  </si>
  <si>
    <t>(vol.ppm)</t>
    <phoneticPr fontId="1" type="noConversion"/>
  </si>
  <si>
    <t>(/h)</t>
    <phoneticPr fontId="1" type="noConversion"/>
  </si>
  <si>
    <t>S-trap사용량
Factor</t>
    <phoneticPr fontId="1" type="noConversion"/>
  </si>
  <si>
    <t>S-trap사용량
Factor (누적)</t>
    <phoneticPr fontId="1" type="noConversion"/>
  </si>
  <si>
    <t>촉매통과배기량</t>
    <phoneticPr fontId="1" type="noConversion"/>
  </si>
  <si>
    <t>엔진FO황함량</t>
    <phoneticPr fontId="1" type="noConversion"/>
  </si>
  <si>
    <t>(g/kg)</t>
    <phoneticPr fontId="1" type="noConversion"/>
  </si>
  <si>
    <t>엔진FO황량</t>
    <phoneticPr fontId="1" type="noConversion"/>
  </si>
  <si>
    <t>(g/h)</t>
    <phoneticPr fontId="1" type="noConversion"/>
  </si>
  <si>
    <t>DOC_FO황량</t>
    <phoneticPr fontId="1" type="noConversion"/>
  </si>
  <si>
    <t>촉매통과황량</t>
    <phoneticPr fontId="1" type="noConversion"/>
  </si>
  <si>
    <t>(wt.ppm)</t>
    <phoneticPr fontId="1" type="noConversion"/>
  </si>
  <si>
    <t>(mol/h)</t>
    <phoneticPr fontId="1" type="noConversion"/>
  </si>
  <si>
    <t>촉매통과
배기가스
황함량</t>
    <phoneticPr fontId="1" type="noConversion"/>
  </si>
  <si>
    <t>촉매통과
배기량</t>
    <phoneticPr fontId="1" type="noConversion"/>
  </si>
  <si>
    <t>촉매통과
배기가스
SO2량</t>
    <phoneticPr fontId="1" type="noConversion"/>
  </si>
  <si>
    <t>실제
(EMD 설계기준)
Ex&gt; 6H35DF L100%</t>
    <phoneticPr fontId="1" type="noConversion"/>
  </si>
  <si>
    <t>%</t>
    <phoneticPr fontId="1" type="noConversion"/>
  </si>
  <si>
    <t>운전시간 *1)</t>
    <phoneticPr fontId="1" type="noConversion"/>
  </si>
  <si>
    <t>*1) 운전시간 자동 카운팅 (제어기/제어로직)</t>
    <phoneticPr fontId="1" type="noConversion"/>
  </si>
  <si>
    <t>엔진
배기량 *2)</t>
    <phoneticPr fontId="1" type="noConversion"/>
  </si>
  <si>
    <t>*2) 엔진 배기량 커미셔닝 단계에서 입력하는 값 동일 사용</t>
    <phoneticPr fontId="1" type="noConversion"/>
  </si>
  <si>
    <t>엔진
MP소모량 *3)</t>
    <phoneticPr fontId="1" type="noConversion"/>
  </si>
  <si>
    <t>*3) 커미셔닝 단계에서 입력</t>
    <phoneticPr fontId="1" type="noConversion"/>
  </si>
  <si>
    <t>연료 황함량 *4)</t>
    <phoneticPr fontId="1" type="noConversion"/>
  </si>
  <si>
    <t>*4) 엔진 MP, MOCS heating 용 연료 황함량으로 default 0.1</t>
    <phoneticPr fontId="1" type="noConversion"/>
  </si>
  <si>
    <t>S-trap SV</t>
    <phoneticPr fontId="1" type="noConversion"/>
  </si>
  <si>
    <t>hr-1</t>
    <phoneticPr fontId="1" type="noConversion"/>
  </si>
  <si>
    <t>기대 수명</t>
    <phoneticPr fontId="1" type="noConversion"/>
  </si>
  <si>
    <t>기대수명 기준 SO2 농도</t>
    <phoneticPr fontId="1" type="noConversion"/>
  </si>
  <si>
    <t>설계 입력 값</t>
    <phoneticPr fontId="1" type="noConversion"/>
  </si>
  <si>
    <t>default value</t>
    <phoneticPr fontId="1" type="noConversion"/>
  </si>
  <si>
    <t>유져 입력 값</t>
    <phoneticPr fontId="1" type="noConversion"/>
  </si>
  <si>
    <t>MOCS
F.O 소모량</t>
    <phoneticPr fontId="1" type="noConversion"/>
  </si>
  <si>
    <t>MOCS
F.O 황함량</t>
    <phoneticPr fontId="1" type="noConversion"/>
  </si>
  <si>
    <t>엔진
MP 황함량</t>
    <phoneticPr fontId="1" type="noConversion"/>
  </si>
  <si>
    <t>SO2
계산값</t>
    <phoneticPr fontId="1" type="noConversion"/>
  </si>
  <si>
    <t>S-trap
잔여수명</t>
    <phoneticPr fontId="1" type="noConversion"/>
  </si>
  <si>
    <t>S-trap
기준 수명</t>
    <phoneticPr fontId="1" type="noConversion"/>
  </si>
  <si>
    <t>S-trap
SV</t>
    <phoneticPr fontId="1" type="noConversion"/>
  </si>
  <si>
    <t>S-trap 수명 Factor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</si>
</sst>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.0_ "/>
    <numFmt numFmtId="178" formatCode="0.000_ "/>
    <numFmt numFmtId="179" formatCode="#,##0.00_ "/>
    <numFmt numFmtId="180" formatCode="#,##0.0_ "/>
    <numFmt numFmtId="181" formatCode="0.00_ "/>
    <numFmt numFmtId="182" formatCode="0.0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theme="1"/>
      <name val="HD Light"/>
      <family val="3"/>
      <charset val="129"/>
    </font>
    <font>
      <sz val="11"/>
      <color rgb="FF0000FF"/>
      <name val="HD Light"/>
      <family val="3"/>
      <charset val="129"/>
    </font>
    <font>
      <sz val="11"/>
      <name val="HD Light"/>
      <family val="3"/>
      <charset val="129"/>
    </font>
    <font>
      <b/>
      <sz val="10"/>
      <color theme="0"/>
      <name val="HD Light"/>
      <family val="3"/>
      <charset val="129"/>
    </font>
    <font>
      <b/>
      <sz val="10"/>
      <color theme="1"/>
      <name val="HD Light"/>
      <family val="3"/>
      <charset val="129"/>
    </font>
    <font>
      <sz val="10"/>
      <color theme="1"/>
      <name val="HD Light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4" fillId="0" borderId="0" xfId="0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182" fontId="4" fillId="7" borderId="0" xfId="0" applyNumberFormat="1" applyFont="1" applyFill="1">
      <alignment vertical="center"/>
    </xf>
    <xf numFmtId="176" fontId="6" fillId="7" borderId="2" xfId="0" applyNumberFormat="1" applyFont="1" applyFill="1" applyBorder="1">
      <alignment vertical="center"/>
    </xf>
    <xf numFmtId="179" fontId="6" fillId="0" borderId="2" xfId="0" applyNumberFormat="1" applyFont="1" applyBorder="1">
      <alignment vertical="center"/>
    </xf>
    <xf numFmtId="176" fontId="6" fillId="0" borderId="2" xfId="0" applyNumberFormat="1" applyFont="1" applyBorder="1">
      <alignment vertical="center"/>
    </xf>
    <xf numFmtId="176" fontId="6" fillId="0" borderId="2" xfId="0" applyNumberFormat="1" applyFont="1" applyFill="1" applyBorder="1">
      <alignment vertical="center"/>
    </xf>
    <xf numFmtId="0" fontId="4" fillId="0" borderId="0" xfId="0" applyFont="1" applyFill="1">
      <alignment vertical="center"/>
    </xf>
    <xf numFmtId="0" fontId="4" fillId="7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center" vertical="center"/>
    </xf>
    <xf numFmtId="179" fontId="6" fillId="3" borderId="2" xfId="0" applyNumberFormat="1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/>
    </xf>
    <xf numFmtId="180" fontId="6" fillId="3" borderId="0" xfId="0" applyNumberFormat="1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81" fontId="6" fillId="3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8" fontId="6" fillId="0" borderId="2" xfId="0" applyNumberFormat="1" applyFont="1" applyBorder="1">
      <alignment vertical="center"/>
    </xf>
    <xf numFmtId="177" fontId="6" fillId="7" borderId="2" xfId="0" applyNumberFormat="1" applyFont="1" applyFill="1" applyBorder="1">
      <alignment vertical="center"/>
    </xf>
    <xf numFmtId="176" fontId="6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179" fontId="6" fillId="3" borderId="2" xfId="0" applyNumberFormat="1" applyFont="1" applyFill="1" applyBorder="1">
      <alignment vertical="center"/>
    </xf>
    <xf numFmtId="176" fontId="6" fillId="0" borderId="3" xfId="0" applyNumberFormat="1" applyFont="1" applyBorder="1">
      <alignment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" fontId="8" fillId="5" borderId="7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366245</xdr:colOff>
      <xdr:row>1</xdr:row>
      <xdr:rowOff>194422</xdr:rowOff>
    </xdr:from>
    <xdr:ext cx="11825756" cy="6445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5684893-5B73-4873-9DC9-E05BF9B7DC01}"/>
                </a:ext>
              </a:extLst>
            </xdr:cNvPr>
            <xdr:cNvSpPr txBox="1"/>
          </xdr:nvSpPr>
          <xdr:spPr>
            <a:xfrm>
              <a:off x="4604870" y="623047"/>
              <a:ext cx="11825756" cy="64452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𝑺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−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𝒕𝒓𝒂𝒑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 </m:t>
                  </m:r>
                  <m:r>
                    <a:rPr lang="ko-KR" altLang="en-US" sz="1400" b="1" i="1">
                      <a:latin typeface="Cambria Math" panose="02040503050406030204" pitchFamily="18" charset="0"/>
                      <a:ea typeface="+mn-ea"/>
                    </a:rPr>
                    <m:t>실제수명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(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𝒉𝒓</m:t>
                  </m:r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)=</m:t>
                  </m:r>
                  <m:r>
                    <a:rPr lang="ko-KR" altLang="en-US" sz="1400" b="1" i="1">
                      <a:latin typeface="Cambria Math" panose="02040503050406030204" pitchFamily="18" charset="0"/>
                      <a:ea typeface="+mn-ea"/>
                    </a:rPr>
                    <m:t>기준수명</m:t>
                  </m:r>
                  <m:r>
                    <a:rPr lang="ko-KR" altLang="en-US" sz="1400" b="1" i="0">
                      <a:latin typeface="Cambria Math" panose="02040503050406030204" pitchFamily="18" charset="0"/>
                      <a:ea typeface="+mn-ea"/>
                    </a:rPr>
                    <m:t>×</m:t>
                  </m:r>
                  <m:f>
                    <m:fPr>
                      <m:ctrlP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</m:ctrlPr>
                    </m:fPr>
                    <m:num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기준</m:t>
                      </m:r>
                      <m: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  <m:t>𝑺𝑶</m:t>
                      </m:r>
                      <m: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  <m:t>𝟐</m:t>
                      </m:r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농도</m:t>
                      </m:r>
                    </m:num>
                    <m:den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실제</m:t>
                      </m:r>
                      <m: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  <m:t>𝑺𝑶</m:t>
                      </m:r>
                      <m: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  <m:t>𝟐</m:t>
                      </m:r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농도</m:t>
                      </m:r>
                    </m:den>
                  </m:f>
                  <m:r>
                    <a:rPr lang="en-US" altLang="ko-KR" sz="1400" b="1" i="1">
                      <a:latin typeface="Cambria Math" panose="02040503050406030204" pitchFamily="18" charset="0"/>
                      <a:ea typeface="+mn-ea"/>
                    </a:rPr>
                    <m:t>×</m:t>
                  </m:r>
                  <m:f>
                    <m:fPr>
                      <m:ctrlPr>
                        <a:rPr lang="en-US" altLang="ko-KR" sz="1400" b="1" i="1">
                          <a:latin typeface="Cambria Math" panose="02040503050406030204" pitchFamily="18" charset="0"/>
                          <a:ea typeface="+mn-ea"/>
                        </a:rPr>
                      </m:ctrlPr>
                    </m:fPr>
                    <m:num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기준공간속도</m:t>
                      </m:r>
                    </m:num>
                    <m:den>
                      <m:r>
                        <a:rPr lang="ko-KR" altLang="en-US" sz="1400" b="1" i="1">
                          <a:latin typeface="Cambria Math" panose="02040503050406030204" pitchFamily="18" charset="0"/>
                          <a:ea typeface="+mn-ea"/>
                        </a:rPr>
                        <m:t>실제공간속도</m:t>
                      </m:r>
                    </m:den>
                  </m:f>
                </m:oMath>
              </a14:m>
              <a:r>
                <a:rPr lang="en-US" altLang="ko-KR" sz="1400" b="1">
                  <a:latin typeface="+mn-ea"/>
                  <a:ea typeface="+mn-ea"/>
                </a:rPr>
                <a:t> = </a:t>
              </a:r>
              <a14:m>
                <m:oMath xmlns:m="http://schemas.openxmlformats.org/officeDocument/2006/math">
                  <m:r>
                    <a:rPr lang="ko-KR" altLang="ko-KR" sz="1400" b="1" i="1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기준수명</m:t>
                  </m:r>
                  <m:r>
                    <a:rPr lang="en-US" altLang="ko-KR" sz="1400" b="1" i="0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en-US" altLang="ko-KR" sz="1400" b="1" i="1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𝒉𝒓</m:t>
                  </m:r>
                  <m:r>
                    <a:rPr lang="en-US" altLang="ko-KR" sz="1400" b="1" i="0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ko-KR" altLang="ko-KR" sz="14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f>
                    <m:fPr>
                      <m:ctrlPr>
                        <a:rPr lang="en-US" altLang="ko-KR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ko-KR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기준</m:t>
                      </m:r>
                      <m: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𝑺𝑶</m:t>
                      </m:r>
                      <m: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  <m:r>
                        <a:rPr lang="ko-KR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농도</m:t>
                      </m:r>
                      <m:d>
                        <m:dPr>
                          <m:ctrlPr>
                            <a:rPr lang="en-US" altLang="ko-KR" sz="1400" b="1" i="1">
                              <a:solidFill>
                                <a:schemeClr val="accent6">
                                  <a:lumMod val="75000"/>
                                </a:schemeClr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US" altLang="ko-KR" sz="1400" b="1" i="1">
                              <a:solidFill>
                                <a:schemeClr val="accent6">
                                  <a:lumMod val="75000"/>
                                </a:schemeClr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𝒑𝒑𝒎</m:t>
                          </m:r>
                        </m:e>
                      </m:d>
                    </m:num>
                    <m:den>
                      <m:r>
                        <a:rPr lang="ko-KR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실제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𝑺𝑶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  <m:r>
                        <a:rPr lang="ko-KR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농도</m:t>
                      </m:r>
                      <m:d>
                        <m:dPr>
                          <m:ctrlPr>
                            <a:rPr lang="en-US" altLang="ko-KR" sz="1400" b="1" i="1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US" altLang="ko-KR" sz="1400" b="1" i="1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𝒑𝒑𝒎</m:t>
                          </m:r>
                        </m:e>
                      </m:d>
                    </m:den>
                  </m:f>
                  <m:r>
                    <a:rPr lang="en-US" altLang="ko-KR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r>
                    <a:rPr lang="ko-KR" altLang="en-US" sz="1400" b="1" i="1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기준공간속도</m:t>
                  </m:r>
                  <m:r>
                    <a:rPr lang="en-US" altLang="ko-KR" sz="1400" b="1" i="1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sSup>
                    <m:sSupPr>
                      <m:ctrlP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𝒉𝒓</m:t>
                      </m:r>
                    </m:e>
                    <m:sup>
                      <m: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altLang="ko-KR" sz="1400" b="1" i="1">
                          <a:solidFill>
                            <a:schemeClr val="accent6">
                              <a:lumMod val="75000"/>
                            </a:schemeClr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</m:t>
                      </m:r>
                    </m:sup>
                  </m:sSup>
                  <m:r>
                    <a:rPr lang="en-US" altLang="ko-KR" sz="1400" b="1" i="0">
                      <a:solidFill>
                        <a:schemeClr val="accent6">
                          <a:lumMod val="75000"/>
                        </a:schemeClr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ko-KR" altLang="en-US" sz="14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f>
                    <m:fPr>
                      <m:ctrlP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𝑺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𝒕𝒓𝒂𝒑</m:t>
                      </m:r>
                      <m:r>
                        <a:rPr lang="ko-KR" altLang="en-US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부피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𝒎</m:t>
                      </m:r>
                      <m:r>
                        <a:rPr lang="en-US" altLang="ko-KR" sz="1400" b="1" i="1" baseline="30000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𝟑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a:rPr lang="ko-KR" altLang="en-US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유량</m:t>
                      </m:r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f>
                        <m:fPr>
                          <m:ctrlPr>
                            <a:rPr lang="en-US" altLang="ko-KR" sz="1400" b="1" i="1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altLang="ko-KR" sz="1400" b="1" i="1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𝑵𝒎</m:t>
                          </m:r>
                          <m:r>
                            <a:rPr lang="en-US" altLang="ko-KR" sz="1400" b="1" i="1" baseline="30000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𝟑</m:t>
                          </m:r>
                        </m:num>
                        <m:den>
                          <m:r>
                            <a:rPr lang="en-US" altLang="ko-KR" sz="1400" b="1" i="1">
                              <a:solidFill>
                                <a:srgbClr val="0070C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𝒉𝒓</m:t>
                          </m:r>
                        </m:den>
                      </m:f>
                      <m:r>
                        <a:rPr lang="en-US" altLang="ko-KR" sz="14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den>
                  </m:f>
                </m:oMath>
              </a14:m>
              <a:endParaRPr lang="ko-KR" altLang="en-US" sz="1400" b="1">
                <a:latin typeface="+mn-ea"/>
                <a:ea typeface="+mn-ea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5684893-5B73-4873-9DC9-E05BF9B7DC01}"/>
                </a:ext>
              </a:extLst>
            </xdr:cNvPr>
            <xdr:cNvSpPr txBox="1"/>
          </xdr:nvSpPr>
          <xdr:spPr>
            <a:xfrm>
              <a:off x="4604870" y="623047"/>
              <a:ext cx="11825756" cy="64452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𝑺−𝒕𝒓𝒂𝒑 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실제수명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(𝒉𝒓)=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기준수명×기준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𝑺𝑶𝟐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농도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/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실제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𝑺𝑶𝟐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농도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×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기준공간속도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/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실제공간속도</a:t>
              </a:r>
              <a:r>
                <a:rPr lang="en-US" altLang="ko-KR" sz="1400" b="1">
                  <a:latin typeface="+mn-ea"/>
                  <a:ea typeface="+mn-ea"/>
                </a:rPr>
                <a:t> = </a:t>
              </a:r>
              <a:r>
                <a:rPr lang="ko-KR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기준수명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(𝒉𝒓)</a:t>
              </a:r>
              <a:r>
                <a:rPr lang="ko-KR" altLang="ko-K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ko-KR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𝑺𝑶𝟐</a:t>
              </a:r>
              <a:r>
                <a:rPr lang="ko-KR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농도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(𝒑𝒑𝒎)</a:t>
              </a:r>
              <a:r>
                <a:rPr lang="en-US" altLang="ko-K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ko-KR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실제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𝑺𝑶𝟐</a:t>
              </a:r>
              <a:r>
                <a:rPr lang="ko-KR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농도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(𝒑𝒑𝒎) </a:t>
              </a:r>
              <a:r>
                <a:rPr lang="en-US" altLang="ko-K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ko-KR" altLang="en-US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기준공간속도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(〖𝒉𝒓〗^(−𝟏))</a:t>
              </a:r>
              <a:r>
                <a:rPr lang="ko-KR" alt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(𝑺−𝒕𝒓𝒂𝒑</a:t>
              </a:r>
              <a:r>
                <a:rPr lang="ko-KR" altLang="en-US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부피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(𝒎</a:t>
              </a:r>
              <a:r>
                <a:rPr lang="en-US" altLang="ko-KR" sz="1400" b="1" i="0" baseline="3000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))/(</a:t>
              </a:r>
              <a:r>
                <a:rPr lang="ko-KR" altLang="en-US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유량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(𝑵𝒎</a:t>
              </a:r>
              <a:r>
                <a:rPr lang="en-US" altLang="ko-KR" sz="1400" b="1" i="0" baseline="3000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𝟑/</a:t>
              </a:r>
              <a:r>
                <a:rPr lang="en-US" altLang="ko-KR" sz="14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𝒉𝒓))</a:t>
              </a:r>
              <a:endParaRPr lang="ko-KR" altLang="en-US" sz="1400" b="1">
                <a:latin typeface="+mn-ea"/>
                <a:ea typeface="+mn-ea"/>
              </a:endParaRPr>
            </a:p>
          </xdr:txBody>
        </xdr:sp>
      </mc:Fallback>
    </mc:AlternateContent>
    <xdr:clientData/>
  </xdr:oneCellAnchor>
  <xdr:oneCellAnchor>
    <xdr:from>
      <xdr:col>5</xdr:col>
      <xdr:colOff>368775</xdr:colOff>
      <xdr:row>5</xdr:row>
      <xdr:rowOff>11206</xdr:rowOff>
    </xdr:from>
    <xdr:ext cx="7363284" cy="128358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AB2B773-C5B6-4D33-B02A-C56C111B7815}"/>
                </a:ext>
              </a:extLst>
            </xdr:cNvPr>
            <xdr:cNvSpPr txBox="1"/>
          </xdr:nvSpPr>
          <xdr:spPr>
            <a:xfrm>
              <a:off x="4607400" y="1297081"/>
              <a:ext cx="7363284" cy="12835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altLang="ko-KR" sz="1400" b="1" i="0" baseline="0">
                        <a:latin typeface="Cambria Math" panose="02040503050406030204" pitchFamily="18" charset="0"/>
                        <a:ea typeface="+mn-ea"/>
                      </a:rPr>
                      <m:t>𝐒</m:t>
                    </m:r>
                    <m:r>
                      <a:rPr lang="en-US" altLang="ko-KR" sz="1400" b="1" i="0" baseline="0">
                        <a:latin typeface="Cambria Math" panose="02040503050406030204" pitchFamily="18" charset="0"/>
                        <a:ea typeface="+mn-ea"/>
                      </a:rPr>
                      <m:t>−</m:t>
                    </m:r>
                    <m:r>
                      <a:rPr lang="en-US" altLang="ko-KR" sz="1400" b="1" i="1" baseline="0">
                        <a:latin typeface="Cambria Math" panose="02040503050406030204" pitchFamily="18" charset="0"/>
                        <a:ea typeface="+mn-ea"/>
                      </a:rPr>
                      <m:t>𝒕𝒓𝒂𝒑</m:t>
                    </m:r>
                    <m:r>
                      <a:rPr lang="en-US" altLang="ko-KR" sz="1400" b="1" i="1" baseline="0">
                        <a:latin typeface="Cambria Math" panose="02040503050406030204" pitchFamily="18" charset="0"/>
                        <a:ea typeface="+mn-ea"/>
                      </a:rPr>
                      <m:t> </m:t>
                    </m:r>
                    <m:r>
                      <a:rPr lang="ko-KR" altLang="en-US" sz="1400" b="1" i="1" baseline="0">
                        <a:latin typeface="Cambria Math" panose="02040503050406030204" pitchFamily="18" charset="0"/>
                        <a:ea typeface="+mn-ea"/>
                      </a:rPr>
                      <m:t>잔여수명</m:t>
                    </m:r>
                    <m:d>
                      <m:dPr>
                        <m:ctrlPr>
                          <a:rPr lang="en-US" altLang="ko-KR" sz="1400" b="1" i="1" baseline="0">
                            <a:latin typeface="Cambria Math" panose="02040503050406030204" pitchFamily="18" charset="0"/>
                            <a:ea typeface="+mn-ea"/>
                          </a:rPr>
                        </m:ctrlPr>
                      </m:dPr>
                      <m:e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%</m:t>
                        </m:r>
                      </m:e>
                    </m:d>
                    <m:r>
                      <a:rPr lang="en-US" altLang="ko-KR" sz="1400" b="1" i="1">
                        <a:latin typeface="Cambria Math" panose="02040503050406030204" pitchFamily="18" charset="0"/>
                        <a:ea typeface="+mn-ea"/>
                      </a:rPr>
                      <m:t>=[</m:t>
                    </m:r>
                    <m:r>
                      <a:rPr lang="en-US" altLang="ko-KR" sz="1400" b="1" i="1">
                        <a:latin typeface="Cambria Math" panose="02040503050406030204" pitchFamily="18" charset="0"/>
                        <a:ea typeface="+mn-ea"/>
                      </a:rPr>
                      <m:t>𝟏</m:t>
                    </m:r>
                    <m:r>
                      <a:rPr lang="en-US" altLang="ko-KR" sz="1400" b="1" i="1">
                        <a:latin typeface="Cambria Math" panose="02040503050406030204" pitchFamily="18" charset="0"/>
                        <a:ea typeface="+mn-ea"/>
                      </a:rPr>
                      <m:t>−</m:t>
                    </m:r>
                    <m:f>
                      <m:fPr>
                        <m:ctrlP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</m:ctrlPr>
                      </m:fPr>
                      <m:num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𝑺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−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𝒕𝒓𝒂𝒑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 </m:t>
                        </m:r>
                        <m:r>
                          <a:rPr lang="ko-KR" altLang="en-US" sz="1400" b="1" i="1">
                            <a:latin typeface="Cambria Math" panose="02040503050406030204" pitchFamily="18" charset="0"/>
                            <a:ea typeface="+mn-ea"/>
                          </a:rPr>
                          <m:t>사용량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𝑭𝒂𝒄𝒕𝒐𝒓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 </m:t>
                        </m:r>
                        <m:d>
                          <m:dPr>
                            <m:ctrlPr>
                              <a:rPr lang="en-US" altLang="ko-KR" sz="1400" b="1" i="1">
                                <a:latin typeface="Cambria Math" panose="02040503050406030204" pitchFamily="18" charset="0"/>
                                <a:ea typeface="+mn-ea"/>
                              </a:rPr>
                            </m:ctrlPr>
                          </m:dPr>
                          <m:e>
                            <m:r>
                              <a:rPr lang="ko-KR" altLang="en-US" sz="1400" b="1" i="1">
                                <a:latin typeface="Cambria Math" panose="02040503050406030204" pitchFamily="18" charset="0"/>
                                <a:ea typeface="+mn-ea"/>
                              </a:rPr>
                              <m:t>누적</m:t>
                            </m:r>
                          </m:e>
                        </m:d>
                      </m:num>
                      <m:den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𝑺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−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𝒕𝒓𝒂𝒑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 </m:t>
                        </m:r>
                        <m:r>
                          <a:rPr lang="ko-KR" altLang="en-US" sz="1400" b="1" i="1">
                            <a:latin typeface="Cambria Math" panose="02040503050406030204" pitchFamily="18" charset="0"/>
                            <a:ea typeface="+mn-ea"/>
                          </a:rPr>
                          <m:t>수명</m:t>
                        </m:r>
                        <m:r>
                          <a:rPr lang="en-US" altLang="ko-KR" sz="1400" b="1" i="1">
                            <a:latin typeface="Cambria Math" panose="02040503050406030204" pitchFamily="18" charset="0"/>
                            <a:ea typeface="+mn-ea"/>
                          </a:rPr>
                          <m:t>𝑭𝒂𝒄𝒕𝒐𝒓</m:t>
                        </m:r>
                      </m:den>
                    </m:f>
                    <m:r>
                      <a:rPr lang="en-US" altLang="ko-KR" sz="1400" b="1" i="1">
                        <a:latin typeface="Cambria Math" panose="02040503050406030204" pitchFamily="18" charset="0"/>
                        <a:ea typeface="+mn-ea"/>
                      </a:rPr>
                      <m:t>]×</m:t>
                    </m:r>
                    <m:r>
                      <a:rPr lang="en-US" altLang="ko-KR" sz="1400" b="1" i="1">
                        <a:latin typeface="Cambria Math" panose="02040503050406030204" pitchFamily="18" charset="0"/>
                        <a:ea typeface="+mn-ea"/>
                      </a:rPr>
                      <m:t>𝟏𝟎𝟎</m:t>
                    </m:r>
                  </m:oMath>
                </m:oMathPara>
              </a14:m>
              <a:endParaRPr lang="en-US" altLang="ko-KR" sz="1400" b="1">
                <a:latin typeface="+mn-ea"/>
                <a:ea typeface="+mn-ea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𝐒</m:t>
                    </m:r>
                    <m:r>
                      <a:rPr lang="en-US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𝐭𝐫𝐚𝐩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사용량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𝑭𝒂𝒄𝒕𝒐𝒓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공간속도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운전</m:t>
                    </m:r>
                    <m:r>
                      <a:rPr lang="en-US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𝐋𝐨𝐚𝐝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기준</m:t>
                    </m:r>
                    <m:r>
                      <a:rPr lang="en-US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ko-KR" altLang="ko-KR" sz="1400" b="1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운전시간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𝑺𝑶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농도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운전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𝑳𝒐𝒂𝒅</m:t>
                    </m:r>
                    <m:r>
                      <a:rPr lang="ko-KR" altLang="en-US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기준</m:t>
                    </m:r>
                    <m:r>
                      <a:rPr lang="en-US" altLang="ko-KR" sz="1400" b="1" i="1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altLang="ko-KR" sz="1400" b="1">
                <a:solidFill>
                  <a:srgbClr val="FF0000"/>
                </a:solidFill>
                <a:effectLst/>
                <a:latin typeface="+mn-ea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altLang="ko-KR" sz="1400" b="1" i="0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𝐒</m:t>
                    </m:r>
                    <m:r>
                      <a:rPr lang="en-US" altLang="ko-KR" sz="1400" b="1" i="0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altLang="ko-KR" sz="1400" b="1" i="0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𝐭𝐫𝐚𝐩</m:t>
                    </m:r>
                    <m:r>
                      <a:rPr lang="ko-KR" altLang="en-US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초기수명</m:t>
                    </m:r>
                    <m:r>
                      <a:rPr lang="en-US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𝑭𝒂𝒄𝒕𝒐𝒓</m:t>
                    </m:r>
                    <m:r>
                      <a:rPr lang="en-US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ko-KR" altLang="en-US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기준</m:t>
                    </m:r>
                    <m:r>
                      <a:rPr lang="ko-KR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공간속도</m:t>
                    </m:r>
                    <m:r>
                      <a:rPr lang="ko-KR" altLang="ko-KR" sz="1400" b="1" i="0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ko-KR" altLang="en-US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기준수명</m:t>
                    </m:r>
                    <m:r>
                      <a:rPr lang="en-US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ko-KR" altLang="en-US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기준</m:t>
                    </m:r>
                    <m:r>
                      <a:rPr lang="en-US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𝑺𝑶</m:t>
                    </m:r>
                    <m:r>
                      <a:rPr lang="en-US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  <m:r>
                      <a:rPr lang="ko-KR" altLang="ko-KR" sz="1400" b="1" i="1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농도</m:t>
                    </m:r>
                  </m:oMath>
                </m:oMathPara>
              </a14:m>
              <a:endParaRPr lang="ko-KR" altLang="ko-KR" sz="1400">
                <a:solidFill>
                  <a:schemeClr val="accent6">
                    <a:lumMod val="75000"/>
                  </a:schemeClr>
                </a:solidFill>
                <a:effectLst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AB2B773-C5B6-4D33-B02A-C56C111B7815}"/>
                </a:ext>
              </a:extLst>
            </xdr:cNvPr>
            <xdr:cNvSpPr txBox="1"/>
          </xdr:nvSpPr>
          <xdr:spPr>
            <a:xfrm>
              <a:off x="4607400" y="1297081"/>
              <a:ext cx="7363284" cy="128358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:r>
                <a:rPr lang="en-US" altLang="ko-KR" sz="1400" b="1" i="0" baseline="0">
                  <a:latin typeface="Cambria Math" panose="02040503050406030204" pitchFamily="18" charset="0"/>
                  <a:ea typeface="+mn-ea"/>
                </a:rPr>
                <a:t>𝐒−𝒕𝒓𝒂𝒑 </a:t>
              </a:r>
              <a:r>
                <a:rPr lang="ko-KR" altLang="en-US" sz="1400" b="1" i="0" baseline="0">
                  <a:latin typeface="Cambria Math" panose="02040503050406030204" pitchFamily="18" charset="0"/>
                  <a:ea typeface="+mn-ea"/>
                </a:rPr>
                <a:t>잔여수명</a:t>
              </a:r>
              <a:r>
                <a:rPr lang="en-US" altLang="ko-KR" sz="1400" b="1" i="0" baseline="0">
                  <a:latin typeface="Cambria Math" panose="02040503050406030204" pitchFamily="18" charset="0"/>
                  <a:ea typeface="+mn-ea"/>
                </a:rPr>
                <a:t>(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%)=[𝟏−(𝑺−𝒕𝒓𝒂𝒑 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사용량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𝑭𝒂𝒄𝒕𝒐𝒓 (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누적)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)/(𝑺−𝒕𝒓𝒂𝒑 </a:t>
              </a:r>
              <a:r>
                <a:rPr lang="ko-KR" altLang="en-US" sz="1400" b="1" i="0">
                  <a:latin typeface="Cambria Math" panose="02040503050406030204" pitchFamily="18" charset="0"/>
                  <a:ea typeface="+mn-ea"/>
                </a:rPr>
                <a:t>수명</a:t>
              </a:r>
              <a:r>
                <a:rPr lang="en-US" altLang="ko-KR" sz="1400" b="1" i="0">
                  <a:latin typeface="Cambria Math" panose="02040503050406030204" pitchFamily="18" charset="0"/>
                  <a:ea typeface="+mn-ea"/>
                </a:rPr>
                <a:t>𝑭𝒂𝒄𝒕𝒐𝒓)]×𝟏𝟎𝟎</a:t>
              </a:r>
              <a:endParaRPr lang="en-US" altLang="ko-KR" sz="1400" b="1">
                <a:latin typeface="+mn-ea"/>
                <a:ea typeface="+mn-ea"/>
              </a:endParaRPr>
            </a:p>
            <a:p>
              <a:pPr algn="l"/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𝐒−𝐭𝐫𝐚𝐩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사용량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𝑭𝒂𝒄𝒕𝒐𝒓=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공간속도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운전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𝐋𝐨𝐚𝐝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ko-KR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운전시간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×𝑺𝑶𝟐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농도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운전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𝑳𝒐𝒂𝒅</a:t>
              </a:r>
              <a:r>
                <a:rPr lang="ko-KR" altLang="en-US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</a:t>
              </a:r>
              <a:r>
                <a:rPr lang="en-US" altLang="ko-KR" sz="1400" b="1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altLang="ko-KR" sz="1400" b="1">
                <a:solidFill>
                  <a:srgbClr val="FF0000"/>
                </a:solidFill>
                <a:effectLst/>
                <a:latin typeface="+mn-ea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𝐒−𝐭𝐫𝐚𝐩</a:t>
              </a:r>
              <a:r>
                <a:rPr lang="ko-KR" altLang="en-US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초기수명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𝑭𝒂𝒄𝒕𝒐𝒓=</a:t>
              </a:r>
              <a:r>
                <a:rPr lang="ko-KR" altLang="en-US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</a:t>
              </a:r>
              <a:r>
                <a:rPr lang="ko-KR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공간속도×</a:t>
              </a:r>
              <a:r>
                <a:rPr lang="ko-KR" altLang="en-US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기준수명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ko-KR" altLang="en-US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기준</a:t>
              </a:r>
              <a:r>
                <a:rPr lang="en-US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𝑺𝑶𝟐</a:t>
              </a:r>
              <a:r>
                <a:rPr lang="ko-KR" altLang="ko-KR" sz="1400" b="1" i="0">
                  <a:solidFill>
                    <a:schemeClr val="accent6">
                      <a:lumMod val="75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농도</a:t>
              </a:r>
              <a:endParaRPr lang="ko-KR" altLang="ko-KR" sz="1400">
                <a:solidFill>
                  <a:schemeClr val="accent6">
                    <a:lumMod val="75000"/>
                  </a:schemeClr>
                </a:solidFill>
                <a:effectLst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FA78-CD08-4093-8F67-0B35E82235A9}">
  <dimension ref="A3:Y41"/>
  <sheetViews>
    <sheetView tabSelected="1" zoomScaleNormal="100" workbookViewId="0">
      <selection activeCell="K27" sqref="K27"/>
    </sheetView>
  </sheetViews>
  <sheetFormatPr defaultRowHeight="14.25" x14ac:dyDescent="0.3"/>
  <cols>
    <col min="1" max="25" width="12.125" style="1" customWidth="1"/>
    <col min="26" max="26" width="12.625" style="1" customWidth="1"/>
    <col min="27" max="27" width="8.25" style="1" bestFit="1" customWidth="1"/>
    <col min="28" max="28" width="8.375" style="1" bestFit="1" customWidth="1"/>
    <col min="29" max="16384" width="9" style="1"/>
  </cols>
  <sheetData>
    <row r="3" spans="1:25" x14ac:dyDescent="0.3">
      <c r="A3" s="11" t="s">
        <v>51</v>
      </c>
      <c r="B3" s="11"/>
      <c r="C3" s="10">
        <v>15000</v>
      </c>
      <c r="D3" s="1" t="s">
        <v>52</v>
      </c>
      <c r="E3" s="12" t="s">
        <v>55</v>
      </c>
    </row>
    <row r="4" spans="1:25" x14ac:dyDescent="0.3">
      <c r="A4" s="11" t="s">
        <v>53</v>
      </c>
      <c r="B4" s="11"/>
      <c r="C4" s="9">
        <v>1000</v>
      </c>
      <c r="D4" s="1" t="s">
        <v>3</v>
      </c>
      <c r="E4" s="12" t="s">
        <v>56</v>
      </c>
    </row>
    <row r="5" spans="1:25" x14ac:dyDescent="0.3">
      <c r="A5" s="11" t="s">
        <v>54</v>
      </c>
      <c r="B5" s="11"/>
      <c r="C5" s="9">
        <v>2</v>
      </c>
      <c r="D5" s="1" t="s">
        <v>2</v>
      </c>
      <c r="E5" s="12" t="s">
        <v>56</v>
      </c>
    </row>
    <row r="6" spans="1:25" x14ac:dyDescent="0.3">
      <c r="A6" s="11" t="s">
        <v>65</v>
      </c>
      <c r="B6" s="11"/>
      <c r="C6" s="9">
        <f>$C$3*$C$5*$C$4</f>
        <v>30000000</v>
      </c>
      <c r="E6" s="12" t="s">
        <v>56</v>
      </c>
    </row>
    <row r="7" spans="1:25" x14ac:dyDescent="0.3">
      <c r="A7" s="11" t="s">
        <v>19</v>
      </c>
      <c r="B7" s="11"/>
      <c r="C7" s="9">
        <v>1.2929999999999999</v>
      </c>
      <c r="D7" s="1" t="s">
        <v>14</v>
      </c>
      <c r="E7" s="12" t="s">
        <v>56</v>
      </c>
      <c r="H7" s="2"/>
    </row>
    <row r="8" spans="1:25" x14ac:dyDescent="0.3">
      <c r="A8" s="11" t="s">
        <v>15</v>
      </c>
      <c r="B8" s="11"/>
      <c r="C8" s="9">
        <v>28.96</v>
      </c>
      <c r="D8" s="1" t="s">
        <v>16</v>
      </c>
      <c r="E8" s="12" t="s">
        <v>56</v>
      </c>
    </row>
    <row r="9" spans="1:25" x14ac:dyDescent="0.3">
      <c r="A9" s="11" t="s">
        <v>17</v>
      </c>
      <c r="B9" s="11"/>
      <c r="C9" s="9">
        <v>64.069999999999993</v>
      </c>
      <c r="D9" s="1" t="s">
        <v>16</v>
      </c>
      <c r="E9" s="12" t="s">
        <v>56</v>
      </c>
    </row>
    <row r="10" spans="1:25" x14ac:dyDescent="0.3">
      <c r="A10" s="11" t="s">
        <v>18</v>
      </c>
      <c r="B10" s="11"/>
      <c r="C10" s="4">
        <v>1.008</v>
      </c>
      <c r="D10" s="1" t="s">
        <v>8</v>
      </c>
      <c r="E10" s="12" t="s">
        <v>55</v>
      </c>
    </row>
    <row r="11" spans="1:25" x14ac:dyDescent="0.3">
      <c r="A11" s="11" t="s">
        <v>49</v>
      </c>
      <c r="B11" s="11"/>
      <c r="C11" s="4">
        <v>0.1</v>
      </c>
      <c r="D11" s="1" t="s">
        <v>42</v>
      </c>
      <c r="E11" s="12" t="s">
        <v>57</v>
      </c>
    </row>
    <row r="15" spans="1:25" ht="106.5" customHeight="1" x14ac:dyDescent="0.3">
      <c r="A15" s="3"/>
      <c r="B15" s="3"/>
      <c r="C15" s="13" t="s">
        <v>21</v>
      </c>
      <c r="D15" s="13" t="s">
        <v>43</v>
      </c>
      <c r="E15" s="13" t="s">
        <v>45</v>
      </c>
      <c r="F15" s="13" t="s">
        <v>47</v>
      </c>
      <c r="G15" s="13" t="s">
        <v>60</v>
      </c>
      <c r="H15" s="13" t="s">
        <v>58</v>
      </c>
      <c r="I15" s="13" t="s">
        <v>59</v>
      </c>
      <c r="J15" s="13" t="s">
        <v>61</v>
      </c>
      <c r="K15" s="13" t="s">
        <v>62</v>
      </c>
      <c r="L15" s="13" t="s">
        <v>63</v>
      </c>
      <c r="M15" s="14" t="s">
        <v>64</v>
      </c>
      <c r="N15" s="15" t="s">
        <v>27</v>
      </c>
      <c r="O15" s="15" t="s">
        <v>28</v>
      </c>
      <c r="P15" s="15" t="s">
        <v>29</v>
      </c>
      <c r="Q15" s="15" t="s">
        <v>30</v>
      </c>
      <c r="R15" s="15" t="s">
        <v>32</v>
      </c>
      <c r="S15" s="15" t="s">
        <v>24</v>
      </c>
      <c r="T15" s="15" t="s">
        <v>34</v>
      </c>
      <c r="U15" s="15" t="s">
        <v>35</v>
      </c>
      <c r="V15" s="15" t="s">
        <v>38</v>
      </c>
      <c r="W15" s="15" t="s">
        <v>39</v>
      </c>
      <c r="X15" s="15" t="s">
        <v>40</v>
      </c>
      <c r="Y15" s="15" t="s">
        <v>40</v>
      </c>
    </row>
    <row r="16" spans="1:25" x14ac:dyDescent="0.3">
      <c r="A16" s="3"/>
      <c r="B16" s="3"/>
      <c r="C16" s="16" t="s">
        <v>20</v>
      </c>
      <c r="D16" s="16" t="s">
        <v>22</v>
      </c>
      <c r="E16" s="16" t="s">
        <v>23</v>
      </c>
      <c r="F16" s="16" t="s">
        <v>23</v>
      </c>
      <c r="G16" s="16" t="s">
        <v>20</v>
      </c>
      <c r="H16" s="16" t="s">
        <v>23</v>
      </c>
      <c r="I16" s="16" t="s">
        <v>20</v>
      </c>
      <c r="J16" s="16" t="s">
        <v>25</v>
      </c>
      <c r="K16" s="16" t="s">
        <v>20</v>
      </c>
      <c r="L16" s="16" t="s">
        <v>22</v>
      </c>
      <c r="M16" s="17" t="s">
        <v>26</v>
      </c>
      <c r="N16" s="18"/>
      <c r="O16" s="18"/>
      <c r="P16" s="18" t="s">
        <v>23</v>
      </c>
      <c r="Q16" s="18" t="s">
        <v>31</v>
      </c>
      <c r="R16" s="18" t="s">
        <v>33</v>
      </c>
      <c r="S16" s="18" t="s">
        <v>31</v>
      </c>
      <c r="T16" s="18" t="s">
        <v>33</v>
      </c>
      <c r="U16" s="18" t="s">
        <v>33</v>
      </c>
      <c r="V16" s="18" t="s">
        <v>36</v>
      </c>
      <c r="W16" s="18" t="s">
        <v>37</v>
      </c>
      <c r="X16" s="18" t="s">
        <v>33</v>
      </c>
      <c r="Y16" s="18" t="s">
        <v>37</v>
      </c>
    </row>
    <row r="17" spans="3:25" x14ac:dyDescent="0.3">
      <c r="C17" s="19" t="s">
        <v>0</v>
      </c>
      <c r="D17" s="19" t="s">
        <v>0</v>
      </c>
      <c r="E17" s="19" t="s">
        <v>0</v>
      </c>
      <c r="F17" s="20" t="s">
        <v>0</v>
      </c>
      <c r="G17" s="21" t="s">
        <v>0</v>
      </c>
      <c r="H17" s="21" t="s">
        <v>0</v>
      </c>
      <c r="I17" s="21" t="s">
        <v>0</v>
      </c>
      <c r="J17" s="22" t="s">
        <v>0</v>
      </c>
      <c r="K17" s="34">
        <v>100</v>
      </c>
      <c r="L17" s="19" t="s">
        <v>0</v>
      </c>
      <c r="M17" s="23" t="s">
        <v>0</v>
      </c>
      <c r="N17" s="24" t="s">
        <v>0</v>
      </c>
      <c r="O17" s="24" t="s">
        <v>0</v>
      </c>
      <c r="P17" s="24" t="s">
        <v>0</v>
      </c>
      <c r="Q17" s="25" t="s">
        <v>0</v>
      </c>
      <c r="R17" s="26" t="s">
        <v>0</v>
      </c>
      <c r="S17" s="25" t="s">
        <v>0</v>
      </c>
      <c r="T17" s="25" t="s">
        <v>0</v>
      </c>
      <c r="U17" s="26" t="s">
        <v>0</v>
      </c>
      <c r="V17" s="25" t="s">
        <v>0</v>
      </c>
      <c r="W17" s="27" t="s">
        <v>0</v>
      </c>
      <c r="X17" s="25" t="s">
        <v>0</v>
      </c>
      <c r="Y17" s="25" t="s">
        <v>0</v>
      </c>
    </row>
    <row r="18" spans="3:25" x14ac:dyDescent="0.3">
      <c r="C18" s="8">
        <v>25</v>
      </c>
      <c r="D18" s="6">
        <v>100</v>
      </c>
      <c r="E18" s="5">
        <v>1000</v>
      </c>
      <c r="F18" s="29">
        <v>17.8</v>
      </c>
      <c r="G18" s="28">
        <f>$C$11</f>
        <v>0.1</v>
      </c>
      <c r="H18" s="29">
        <v>4</v>
      </c>
      <c r="I18" s="28">
        <f>$C$11</f>
        <v>0.1</v>
      </c>
      <c r="J18" s="6">
        <f>Y18/W18*1000000</f>
        <v>19.628929264990919</v>
      </c>
      <c r="K18" s="6">
        <f t="shared" ref="K18:K20" si="0">(1-O18/$C$6)*100</f>
        <v>94.959773991094991</v>
      </c>
      <c r="L18" s="7">
        <f>$C$4*$C$5/M18*$C$3/J18</f>
        <v>1984.0380138374981</v>
      </c>
      <c r="M18" s="35">
        <f>(P18/$C$7)/$C$10</f>
        <v>770.32617635865893</v>
      </c>
      <c r="N18" s="30">
        <f>M18*D18*J18</f>
        <v>1512067.8026715037</v>
      </c>
      <c r="O18" s="30">
        <f>N18</f>
        <v>1512067.8026715037</v>
      </c>
      <c r="P18" s="31">
        <f>E18+H18</f>
        <v>1004</v>
      </c>
      <c r="Q18" s="32">
        <f>G18*10</f>
        <v>1</v>
      </c>
      <c r="R18" s="33">
        <f>Q18*F18</f>
        <v>17.8</v>
      </c>
      <c r="S18" s="32">
        <f>I18*10</f>
        <v>1</v>
      </c>
      <c r="T18" s="33">
        <f>H18*S18</f>
        <v>4</v>
      </c>
      <c r="U18" s="33">
        <f t="shared" ref="U18:U21" si="1">R18+T18</f>
        <v>21.8</v>
      </c>
      <c r="V18" s="32">
        <f t="shared" ref="V18:V21" si="2">U18/(P18*1000)*1000000</f>
        <v>21.71314741035857</v>
      </c>
      <c r="W18" s="30">
        <f>P18/$C$8*1000</f>
        <v>34668.508287292818</v>
      </c>
      <c r="X18" s="32">
        <f t="shared" ref="X18:X21" si="3">U18*2</f>
        <v>43.6</v>
      </c>
      <c r="Y18" s="32">
        <f>X18/$C$9</f>
        <v>0.68050569689402229</v>
      </c>
    </row>
    <row r="19" spans="3:25" x14ac:dyDescent="0.3">
      <c r="C19" s="8">
        <v>50</v>
      </c>
      <c r="D19" s="6">
        <v>100</v>
      </c>
      <c r="E19" s="5">
        <v>2000</v>
      </c>
      <c r="F19" s="29">
        <v>8.8000000000000007</v>
      </c>
      <c r="G19" s="28">
        <f>$C$11</f>
        <v>0.1</v>
      </c>
      <c r="H19" s="29">
        <v>2</v>
      </c>
      <c r="I19" s="28">
        <f>$C$11</f>
        <v>0.1</v>
      </c>
      <c r="J19" s="6">
        <f>Y19/W19*1000000</f>
        <v>4.8767838997275561</v>
      </c>
      <c r="K19" s="6">
        <f t="shared" si="0"/>
        <v>92.462781289435625</v>
      </c>
      <c r="L19" s="7">
        <f>$C$4*$C$5/M19*$C$3/J19</f>
        <v>4004.8174723756892</v>
      </c>
      <c r="M19" s="35">
        <f>(P19/$C$7)/$C$10</f>
        <v>1536.0488098307126</v>
      </c>
      <c r="N19" s="30">
        <f>M19*D19*J19</f>
        <v>749097.81049780932</v>
      </c>
      <c r="O19" s="30">
        <f>O18+N19</f>
        <v>2261165.6131693129</v>
      </c>
      <c r="P19" s="31">
        <f>E19+H19</f>
        <v>2002</v>
      </c>
      <c r="Q19" s="32">
        <f>G19*10</f>
        <v>1</v>
      </c>
      <c r="R19" s="33">
        <f>Q19*F19</f>
        <v>8.8000000000000007</v>
      </c>
      <c r="S19" s="32">
        <f>I19*10</f>
        <v>1</v>
      </c>
      <c r="T19" s="33">
        <f>H19*S19</f>
        <v>2</v>
      </c>
      <c r="U19" s="33">
        <f>R19+T19</f>
        <v>10.8</v>
      </c>
      <c r="V19" s="32">
        <f>U19/(P19*1000)*1000000</f>
        <v>5.3946053946053949</v>
      </c>
      <c r="W19" s="30">
        <f>P19/$C$8*1000</f>
        <v>69129.834254143643</v>
      </c>
      <c r="X19" s="32">
        <f>U19*2</f>
        <v>21.6</v>
      </c>
      <c r="Y19" s="32">
        <f>X19/$C$9</f>
        <v>0.33713126268144222</v>
      </c>
    </row>
    <row r="20" spans="3:25" x14ac:dyDescent="0.3">
      <c r="C20" s="8">
        <v>75</v>
      </c>
      <c r="D20" s="6">
        <v>100</v>
      </c>
      <c r="E20" s="5">
        <v>3000</v>
      </c>
      <c r="F20" s="29">
        <v>5.4</v>
      </c>
      <c r="G20" s="28">
        <f>$C$11</f>
        <v>0.1</v>
      </c>
      <c r="H20" s="29">
        <v>3</v>
      </c>
      <c r="I20" s="28">
        <f>$C$11</f>
        <v>0.1</v>
      </c>
      <c r="J20" s="6">
        <f>Y20/W20*1000000</f>
        <v>2.5287027628216956</v>
      </c>
      <c r="K20" s="6">
        <f t="shared" si="0"/>
        <v>90.520675854811671</v>
      </c>
      <c r="L20" s="7">
        <f>$C$4*$C$5/M20*$C$3/J20</f>
        <v>5149.0510359116015</v>
      </c>
      <c r="M20" s="35">
        <f>(P20/$C$7)/$C$10</f>
        <v>2304.0732147460685</v>
      </c>
      <c r="N20" s="30">
        <f>M20*D20*J20</f>
        <v>582631.63038718491</v>
      </c>
      <c r="O20" s="30">
        <f>O19+N20</f>
        <v>2843797.2435564976</v>
      </c>
      <c r="P20" s="31">
        <f>E20+H20</f>
        <v>3003</v>
      </c>
      <c r="Q20" s="32">
        <f>G20*10</f>
        <v>1</v>
      </c>
      <c r="R20" s="33">
        <f>Q20*F20</f>
        <v>5.4</v>
      </c>
      <c r="S20" s="32">
        <f>I20*10</f>
        <v>1</v>
      </c>
      <c r="T20" s="33">
        <f>H20*S20</f>
        <v>3</v>
      </c>
      <c r="U20" s="33">
        <f>R20+T20</f>
        <v>8.4</v>
      </c>
      <c r="V20" s="32">
        <f>U20/(P20*1000)*1000000</f>
        <v>2.7972027972027975</v>
      </c>
      <c r="W20" s="30">
        <f>P20/$C$8*1000</f>
        <v>103694.75138121546</v>
      </c>
      <c r="X20" s="32">
        <f>U20*2</f>
        <v>16.8</v>
      </c>
      <c r="Y20" s="32">
        <f>X20/$C$9</f>
        <v>0.26221320430778838</v>
      </c>
    </row>
    <row r="21" spans="3:25" x14ac:dyDescent="0.3">
      <c r="C21" s="8">
        <v>100</v>
      </c>
      <c r="D21" s="6">
        <v>100</v>
      </c>
      <c r="E21" s="5">
        <v>16027</v>
      </c>
      <c r="F21" s="29">
        <v>3.6</v>
      </c>
      <c r="G21" s="28">
        <f>$C$11</f>
        <v>0.1</v>
      </c>
      <c r="H21" s="29">
        <v>5</v>
      </c>
      <c r="I21" s="28">
        <f>$C$11</f>
        <v>0.1</v>
      </c>
      <c r="J21" s="6">
        <f>Y21/W21*1000000</f>
        <v>0.48493616793259126</v>
      </c>
      <c r="K21" s="6">
        <f>(1-O21/$C$6)*100</f>
        <v>88.532329814601439</v>
      </c>
      <c r="L21" s="7">
        <f>$C$4*$C$5/M21*$C$3/J21</f>
        <v>5029.3056629834246</v>
      </c>
      <c r="M21" s="35">
        <f>(P21/$C$7)/$C$10</f>
        <v>12300.666593009981</v>
      </c>
      <c r="N21" s="30">
        <f t="shared" ref="N21" si="4">M21*D21*J21</f>
        <v>596503.81206307036</v>
      </c>
      <c r="O21" s="30">
        <f>O20+N21</f>
        <v>3440301.0556195681</v>
      </c>
      <c r="P21" s="31">
        <f>E21+H21</f>
        <v>16032</v>
      </c>
      <c r="Q21" s="32">
        <f>G21*10</f>
        <v>1</v>
      </c>
      <c r="R21" s="33">
        <f>Q21*F21</f>
        <v>3.6</v>
      </c>
      <c r="S21" s="32">
        <f>I21*10</f>
        <v>1</v>
      </c>
      <c r="T21" s="33">
        <f>H21*S21</f>
        <v>5</v>
      </c>
      <c r="U21" s="33">
        <f t="shared" si="1"/>
        <v>8.6</v>
      </c>
      <c r="V21" s="32">
        <f t="shared" si="2"/>
        <v>0.53642714570858285</v>
      </c>
      <c r="W21" s="30">
        <f>P21/$C$8*1000</f>
        <v>553591.16022099438</v>
      </c>
      <c r="X21" s="32">
        <f t="shared" si="3"/>
        <v>17.2</v>
      </c>
      <c r="Y21" s="32">
        <f>X21/$C$9</f>
        <v>0.26845637583892618</v>
      </c>
    </row>
    <row r="23" spans="3:25" x14ac:dyDescent="0.3">
      <c r="C23" s="12" t="s">
        <v>44</v>
      </c>
    </row>
    <row r="24" spans="3:25" x14ac:dyDescent="0.3">
      <c r="C24" s="12" t="s">
        <v>46</v>
      </c>
    </row>
    <row r="25" spans="3:25" x14ac:dyDescent="0.3">
      <c r="C25" s="12" t="s">
        <v>48</v>
      </c>
    </row>
    <row r="26" spans="3:25" x14ac:dyDescent="0.3">
      <c r="C26" s="12" t="s">
        <v>50</v>
      </c>
    </row>
    <row r="32" spans="3:25" ht="15" thickBot="1" x14ac:dyDescent="0.35"/>
    <row r="33" spans="1:5" x14ac:dyDescent="0.3">
      <c r="A33" s="36" t="s">
        <v>41</v>
      </c>
      <c r="B33" s="37"/>
      <c r="C33" s="38" t="s">
        <v>4</v>
      </c>
      <c r="D33" s="38" t="s">
        <v>5</v>
      </c>
      <c r="E33" s="39" t="s">
        <v>6</v>
      </c>
    </row>
    <row r="34" spans="1:5" x14ac:dyDescent="0.3">
      <c r="A34" s="40"/>
      <c r="B34" s="41"/>
      <c r="C34" s="42" t="s">
        <v>7</v>
      </c>
      <c r="D34" s="43">
        <v>0.75600000000000001</v>
      </c>
      <c r="E34" s="44" t="s">
        <v>8</v>
      </c>
    </row>
    <row r="35" spans="1:5" x14ac:dyDescent="0.3">
      <c r="A35" s="40"/>
      <c r="B35" s="41"/>
      <c r="C35" s="42" t="s">
        <v>9</v>
      </c>
      <c r="D35" s="45">
        <f>E21/1.293</f>
        <v>12395.204949729312</v>
      </c>
      <c r="E35" s="44" t="s">
        <v>10</v>
      </c>
    </row>
    <row r="36" spans="1:5" x14ac:dyDescent="0.3">
      <c r="A36" s="40"/>
      <c r="B36" s="41"/>
      <c r="C36" s="46" t="s">
        <v>1</v>
      </c>
      <c r="D36" s="47">
        <f>D35/D34</f>
        <v>16395.773743028189</v>
      </c>
      <c r="E36" s="48" t="s">
        <v>11</v>
      </c>
    </row>
    <row r="37" spans="1:5" x14ac:dyDescent="0.3">
      <c r="A37" s="40"/>
      <c r="B37" s="41"/>
      <c r="C37" s="42" t="s">
        <v>12</v>
      </c>
      <c r="D37" s="42">
        <v>0.4</v>
      </c>
      <c r="E37" s="44" t="s">
        <v>2</v>
      </c>
    </row>
    <row r="38" spans="1:5" ht="15" thickBot="1" x14ac:dyDescent="0.35">
      <c r="A38" s="49"/>
      <c r="B38" s="50"/>
      <c r="C38" s="51" t="s">
        <v>13</v>
      </c>
      <c r="D38" s="52">
        <f>$C$4*C5/D37*C3/D36</f>
        <v>4574.3495351594192</v>
      </c>
      <c r="E38" s="53" t="s">
        <v>3</v>
      </c>
    </row>
    <row r="41" spans="1:5" ht="15.75" customHeight="1" x14ac:dyDescent="0.3"/>
  </sheetData>
  <mergeCells count="10">
    <mergeCell ref="A6:B6"/>
    <mergeCell ref="A33:A38"/>
    <mergeCell ref="A3:B3"/>
    <mergeCell ref="A5:B5"/>
    <mergeCell ref="A7:B7"/>
    <mergeCell ref="A8:B8"/>
    <mergeCell ref="A9:B9"/>
    <mergeCell ref="A10:B10"/>
    <mergeCell ref="A11:B11"/>
    <mergeCell ref="A4:B4"/>
  </mergeCells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이정주(Lee, Jungju)/책임엔지니어/친환경시스템설계부/HD현대중공업</dc:creator>
  <cp:lastModifiedBy>이정주(Lee, Jungju)/책임엔지니어/친환경시스템설계부/HD현대중공업</cp:lastModifiedBy>
  <dcterms:created xsi:type="dcterms:W3CDTF">2025-12-25T23:38:01Z</dcterms:created>
  <dcterms:modified xsi:type="dcterms:W3CDTF">2025-12-26T04:49:54Z</dcterms:modified>
</cp:coreProperties>
</file>